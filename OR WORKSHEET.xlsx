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filterPrivacy="1"/>
  <xr:revisionPtr revIDLastSave="0" documentId="13_ncr:1_{A6A556D9-8422-4749-8E18-A90DCBA175AB}" xr6:coauthVersionLast="36" xr6:coauthVersionMax="36" xr10:uidLastSave="{00000000-0000-0000-0000-000000000000}"/>
  <bookViews>
    <workbookView xWindow="0" yWindow="0" windowWidth="22260" windowHeight="12648" xr2:uid="{00000000-000D-0000-FFFF-FFFF00000000}"/>
  </bookViews>
  <sheets>
    <sheet name="sumproduct " sheetId="4" r:id="rId1"/>
    <sheet name="MIN" sheetId="5" r:id="rId2"/>
    <sheet name="MAX 1" sheetId="2" r:id="rId3"/>
    <sheet name="MAX 2" sheetId="6" r:id="rId4"/>
    <sheet name="MAX 3" sheetId="7" r:id="rId5"/>
    <sheet name="BIN MIN" sheetId="9" r:id="rId6"/>
    <sheet name="BIN MIN 2" sheetId="11" r:id="rId7"/>
    <sheet name="BIN MAX" sheetId="10" r:id="rId8"/>
    <sheet name="BIN MAX2" sheetId="24" r:id="rId9"/>
    <sheet name="BIN MIN 3" sheetId="15" r:id="rId10"/>
    <sheet name="BIN MIN 4" sheetId="13" r:id="rId11"/>
    <sheet name="BIN MIN 4(2)" sheetId="32" r:id="rId12"/>
    <sheet name="MIX INT" sheetId="17" r:id="rId13"/>
    <sheet name="TR" sheetId="26" r:id="rId14"/>
    <sheet name="TS " sheetId="28" r:id="rId15"/>
    <sheet name="TR 2" sheetId="21" r:id="rId16"/>
    <sheet name="TSM" sheetId="25" r:id="rId17"/>
    <sheet name="JS" sheetId="23" r:id="rId18"/>
    <sheet name="TR 3" sheetId="20" r:id="rId19"/>
    <sheet name="tr 4" sheetId="39" r:id="rId20"/>
    <sheet name="Topics Optimistic" sheetId="8" r:id="rId21"/>
    <sheet name="Internal q1 TS" sheetId="33" r:id="rId22"/>
    <sheet name="Internal q2 TR" sheetId="34" r:id="rId23"/>
    <sheet name="Internal q3 Bin" sheetId="35" r:id="rId24"/>
    <sheet name="job sch" sheetId="36" r:id="rId25"/>
    <sheet name="SIMUL O" sheetId="43" r:id="rId26"/>
    <sheet name="SIMUL1" sheetId="37" r:id="rId27"/>
    <sheet name="SIMUL2" sheetId="38" r:id="rId28"/>
    <sheet name="SIMUL3" sheetId="42" r:id="rId29"/>
    <sheet name="Internal q4" sheetId="41" r:id="rId30"/>
    <sheet name="Internal q5" sheetId="45" r:id="rId31"/>
    <sheet name="TSP " sheetId="46" r:id="rId32"/>
    <sheet name="BAYES 1" sheetId="50" r:id="rId33"/>
    <sheet name="BAYES 2" sheetId="51" r:id="rId34"/>
    <sheet name="BAYES 3" sheetId="52" r:id="rId35"/>
  </sheets>
  <definedNames>
    <definedName name="cet">SIMUL2!$W$7:$Y$8</definedName>
    <definedName name="CITYTAB">'TSP '!$N$4:$O$10</definedName>
    <definedName name="CITYTABLE">TSM!$M$5:$N$11</definedName>
    <definedName name="ct">SIMUL2!$P$18:$R$19</definedName>
    <definedName name="datapoints">SIMUL1!$P$3:$P$5003</definedName>
    <definedName name="DISTMAT">'TSP '!$C$4:$I$10</definedName>
    <definedName name="JT">JS!$A$2:$C$6</definedName>
    <definedName name="outcome">#REF!</definedName>
    <definedName name="pet">SIMUL2!$W$13:$Y$15</definedName>
    <definedName name="profit_runs">SIMUL2!$AI$2:$AI$1001</definedName>
    <definedName name="pt">'Internal q5'!$L$10:$N$12</definedName>
    <definedName name="runs">'Internal q5'!$Y$2:$Y$1001</definedName>
    <definedName name="scenario_1">'Internal q4'!$P$2:$P$1001</definedName>
    <definedName name="scenario_2">'Internal q4'!$Q$2:$Q$1001</definedName>
    <definedName name="solver_adj" localSheetId="7" hidden="1">'BIN MAX'!$P$5:$P$8</definedName>
    <definedName name="solver_adj" localSheetId="8" hidden="1">'BIN MAX2'!$O$3:$O$8</definedName>
    <definedName name="solver_adj" localSheetId="5" hidden="1">'BIN MIN'!$S$3:$S$15</definedName>
    <definedName name="solver_adj" localSheetId="6" hidden="1">'BIN MIN 2'!$M$3:$M$15</definedName>
    <definedName name="solver_adj" localSheetId="9" hidden="1">'BIN MIN 3'!$S$14:$S$17</definedName>
    <definedName name="solver_adj" localSheetId="10" hidden="1">'BIN MIN 4'!$W$15:$W$26</definedName>
    <definedName name="solver_adj" localSheetId="11" hidden="1">'BIN MIN 4(2)'!$R$16:$R$27</definedName>
    <definedName name="solver_adj" localSheetId="21" hidden="1">'Internal q1 TS'!$L$31:$M$32,'Internal q1 TS'!$Q$31:$S$32</definedName>
    <definedName name="solver_adj" localSheetId="22" hidden="1">'Internal q2 TR'!$L$12:$N$14</definedName>
    <definedName name="solver_adj" localSheetId="23" hidden="1">'Internal q3 Bin'!$R$5:$R$10</definedName>
    <definedName name="solver_adj" localSheetId="24" hidden="1">'job sch'!$M$4:$Q$4</definedName>
    <definedName name="solver_adj" localSheetId="2" hidden="1">'MAX 1'!$Q$5:$Q$6</definedName>
    <definedName name="solver_adj" localSheetId="3" hidden="1">'MAX 2'!$M$4:$M$5</definedName>
    <definedName name="solver_adj" localSheetId="4" hidden="1">'MAX 3'!$N$4:$N$6</definedName>
    <definedName name="solver_adj" localSheetId="1" hidden="1">MIN!$G$5:$G$7</definedName>
    <definedName name="solver_adj" localSheetId="12" hidden="1">'MIX INT'!$L$6:$M$7</definedName>
    <definedName name="solver_adj" localSheetId="13" hidden="1">TR!$T$13:$W$15</definedName>
    <definedName name="solver_adj" localSheetId="15" hidden="1">'TR 2'!$L$23:$N$25</definedName>
    <definedName name="solver_adj" localSheetId="18" hidden="1">'TR 3'!$P$4:$R$53</definedName>
    <definedName name="solver_adj" localSheetId="14" hidden="1">'TS '!$M$16:$O$18</definedName>
    <definedName name="solver_adj" localSheetId="16" hidden="1">TSM!$E$12:$K$12</definedName>
    <definedName name="solver_adj" localSheetId="31" hidden="1">'TSP '!$H$15:$M$15</definedName>
    <definedName name="solver_cvg" localSheetId="7" hidden="1">0.0001</definedName>
    <definedName name="solver_cvg" localSheetId="8" hidden="1">0.0001</definedName>
    <definedName name="solver_cvg" localSheetId="5" hidden="1">0.0001</definedName>
    <definedName name="solver_cvg" localSheetId="6" hidden="1">0.0001</definedName>
    <definedName name="solver_cvg" localSheetId="9" hidden="1">0.0001</definedName>
    <definedName name="solver_cvg" localSheetId="10" hidden="1">0.0001</definedName>
    <definedName name="solver_cvg" localSheetId="11" hidden="1">0.0001</definedName>
    <definedName name="solver_cvg" localSheetId="21" hidden="1">0.0001</definedName>
    <definedName name="solver_cvg" localSheetId="22" hidden="1">0.0001</definedName>
    <definedName name="solver_cvg" localSheetId="23" hidden="1">0.0001</definedName>
    <definedName name="solver_cvg" localSheetId="24" hidden="1">0.0001</definedName>
    <definedName name="solver_cvg" localSheetId="2" hidden="1">0.0001</definedName>
    <definedName name="solver_cvg" localSheetId="3" hidden="1">0.0001</definedName>
    <definedName name="solver_cvg" localSheetId="4" hidden="1">0.0001</definedName>
    <definedName name="solver_cvg" localSheetId="1" hidden="1">0.0001</definedName>
    <definedName name="solver_cvg" localSheetId="12" hidden="1">0.0001</definedName>
    <definedName name="solver_cvg" localSheetId="13" hidden="1">0.0001</definedName>
    <definedName name="solver_cvg" localSheetId="15" hidden="1">0.0001</definedName>
    <definedName name="solver_cvg" localSheetId="18" hidden="1">0.0001</definedName>
    <definedName name="solver_cvg" localSheetId="14" hidden="1">0.0001</definedName>
    <definedName name="solver_cvg" localSheetId="16" hidden="1">0.0001</definedName>
    <definedName name="solver_cvg" localSheetId="31" hidden="1">0.0001</definedName>
    <definedName name="solver_drv" localSheetId="7" hidden="1">1</definedName>
    <definedName name="solver_drv" localSheetId="8" hidden="1">1</definedName>
    <definedName name="solver_drv" localSheetId="5" hidden="1">1</definedName>
    <definedName name="solver_drv" localSheetId="6" hidden="1">1</definedName>
    <definedName name="solver_drv" localSheetId="9" hidden="1">1</definedName>
    <definedName name="solver_drv" localSheetId="10" hidden="1">1</definedName>
    <definedName name="solver_drv" localSheetId="11" hidden="1">1</definedName>
    <definedName name="solver_drv" localSheetId="21" hidden="1">1</definedName>
    <definedName name="solver_drv" localSheetId="22" hidden="1">1</definedName>
    <definedName name="solver_drv" localSheetId="23" hidden="1">1</definedName>
    <definedName name="solver_drv" localSheetId="24" hidden="1">1</definedName>
    <definedName name="solver_drv" localSheetId="2" hidden="1">1</definedName>
    <definedName name="solver_drv" localSheetId="3" hidden="1">1</definedName>
    <definedName name="solver_drv" localSheetId="4" hidden="1">1</definedName>
    <definedName name="solver_drv" localSheetId="1" hidden="1">1</definedName>
    <definedName name="solver_drv" localSheetId="12" hidden="1">1</definedName>
    <definedName name="solver_drv" localSheetId="13" hidden="1">1</definedName>
    <definedName name="solver_drv" localSheetId="15" hidden="1">2</definedName>
    <definedName name="solver_drv" localSheetId="18" hidden="1">2</definedName>
    <definedName name="solver_drv" localSheetId="14" hidden="1">1</definedName>
    <definedName name="solver_drv" localSheetId="16" hidden="1">1</definedName>
    <definedName name="solver_drv" localSheetId="31" hidden="1">1</definedName>
    <definedName name="solver_eng" localSheetId="7" hidden="1">2</definedName>
    <definedName name="solver_eng" localSheetId="8" hidden="1">1</definedName>
    <definedName name="solver_eng" localSheetId="5" hidden="1">2</definedName>
    <definedName name="solver_eng" localSheetId="6" hidden="1">2</definedName>
    <definedName name="solver_eng" localSheetId="9" hidden="1">1</definedName>
    <definedName name="solver_eng" localSheetId="10" hidden="1">2</definedName>
    <definedName name="solver_eng" localSheetId="11" hidden="1">2</definedName>
    <definedName name="solver_eng" localSheetId="21" hidden="1">2</definedName>
    <definedName name="solver_eng" localSheetId="22" hidden="1">2</definedName>
    <definedName name="solver_eng" localSheetId="23" hidden="1">1</definedName>
    <definedName name="solver_eng" localSheetId="24" hidden="1">2</definedName>
    <definedName name="solver_eng" localSheetId="2" hidden="1">2</definedName>
    <definedName name="solver_eng" localSheetId="3" hidden="1">2</definedName>
    <definedName name="solver_eng" localSheetId="4" hidden="1">2</definedName>
    <definedName name="solver_eng" localSheetId="1" hidden="1">2</definedName>
    <definedName name="solver_eng" localSheetId="12" hidden="1">1</definedName>
    <definedName name="solver_eng" localSheetId="13" hidden="1">2</definedName>
    <definedName name="solver_eng" localSheetId="15" hidden="1">1</definedName>
    <definedName name="solver_eng" localSheetId="18" hidden="1">2</definedName>
    <definedName name="solver_eng" localSheetId="14" hidden="1">2</definedName>
    <definedName name="solver_eng" localSheetId="16" hidden="1">3</definedName>
    <definedName name="solver_eng" localSheetId="31" hidden="1">3</definedName>
    <definedName name="solver_est" localSheetId="7" hidden="1">1</definedName>
    <definedName name="solver_est" localSheetId="8" hidden="1">1</definedName>
    <definedName name="solver_est" localSheetId="5" hidden="1">1</definedName>
    <definedName name="solver_est" localSheetId="6" hidden="1">1</definedName>
    <definedName name="solver_est" localSheetId="9" hidden="1">1</definedName>
    <definedName name="solver_est" localSheetId="10" hidden="1">1</definedName>
    <definedName name="solver_est" localSheetId="11" hidden="1">1</definedName>
    <definedName name="solver_est" localSheetId="21" hidden="1">1</definedName>
    <definedName name="solver_est" localSheetId="22" hidden="1">1</definedName>
    <definedName name="solver_est" localSheetId="23" hidden="1">1</definedName>
    <definedName name="solver_est" localSheetId="24" hidden="1">1</definedName>
    <definedName name="solver_est" localSheetId="2" hidden="1">1</definedName>
    <definedName name="solver_est" localSheetId="3" hidden="1">1</definedName>
    <definedName name="solver_est" localSheetId="4" hidden="1">1</definedName>
    <definedName name="solver_est" localSheetId="1" hidden="1">1</definedName>
    <definedName name="solver_est" localSheetId="12" hidden="1">1</definedName>
    <definedName name="solver_est" localSheetId="13" hidden="1">1</definedName>
    <definedName name="solver_est" localSheetId="15" hidden="1">1</definedName>
    <definedName name="solver_est" localSheetId="18" hidden="1">1</definedName>
    <definedName name="solver_est" localSheetId="14" hidden="1">1</definedName>
    <definedName name="solver_est" localSheetId="16" hidden="1">1</definedName>
    <definedName name="solver_est" localSheetId="31" hidden="1">1</definedName>
    <definedName name="solver_itr" localSheetId="7" hidden="1">2147483647</definedName>
    <definedName name="solver_itr" localSheetId="8" hidden="1">2147483647</definedName>
    <definedName name="solver_itr" localSheetId="5" hidden="1">2147483647</definedName>
    <definedName name="solver_itr" localSheetId="6" hidden="1">2147483647</definedName>
    <definedName name="solver_itr" localSheetId="9" hidden="1">2147483647</definedName>
    <definedName name="solver_itr" localSheetId="10" hidden="1">2147483647</definedName>
    <definedName name="solver_itr" localSheetId="11" hidden="1">2147483647</definedName>
    <definedName name="solver_itr" localSheetId="21" hidden="1">2147483647</definedName>
    <definedName name="solver_itr" localSheetId="22" hidden="1">2147483647</definedName>
    <definedName name="solver_itr" localSheetId="23" hidden="1">2147483647</definedName>
    <definedName name="solver_itr" localSheetId="24" hidden="1">2147483647</definedName>
    <definedName name="solver_itr" localSheetId="2" hidden="1">2147483647</definedName>
    <definedName name="solver_itr" localSheetId="3" hidden="1">2147483647</definedName>
    <definedName name="solver_itr" localSheetId="4" hidden="1">2147483647</definedName>
    <definedName name="solver_itr" localSheetId="1" hidden="1">2147483647</definedName>
    <definedName name="solver_itr" localSheetId="12" hidden="1">2147483647</definedName>
    <definedName name="solver_itr" localSheetId="13" hidden="1">2147483647</definedName>
    <definedName name="solver_itr" localSheetId="15" hidden="1">2147483647</definedName>
    <definedName name="solver_itr" localSheetId="18" hidden="1">2147483647</definedName>
    <definedName name="solver_itr" localSheetId="14" hidden="1">2147483647</definedName>
    <definedName name="solver_itr" localSheetId="16" hidden="1">2147483647</definedName>
    <definedName name="solver_itr" localSheetId="31" hidden="1">2147483647</definedName>
    <definedName name="solver_lhs1" localSheetId="7" hidden="1">'BIN MAX'!$O$18</definedName>
    <definedName name="solver_lhs1" localSheetId="8" hidden="1">'BIN MAX2'!$N$16:$N$17</definedName>
    <definedName name="solver_lhs1" localSheetId="5" hidden="1">'BIN MIN'!$S$3:$S$15</definedName>
    <definedName name="solver_lhs1" localSheetId="6" hidden="1">'BIN MIN 2'!$M$3:$M$15</definedName>
    <definedName name="solver_lhs1" localSheetId="9" hidden="1">'BIN MIN 3'!$N$21:$N$26</definedName>
    <definedName name="solver_lhs1" localSheetId="10" hidden="1">'BIN MIN 4'!$J$33:$U$33</definedName>
    <definedName name="solver_lhs1" localSheetId="11" hidden="1">'BIN MIN 4(2)'!$E$30:$O$30</definedName>
    <definedName name="solver_lhs1" localSheetId="21" hidden="1">'Internal q1 TS'!$L$31:$M$32</definedName>
    <definedName name="solver_lhs1" localSheetId="22" hidden="1">'Internal q2 TR'!$L$12:$N$14</definedName>
    <definedName name="solver_lhs1" localSheetId="23" hidden="1">'Internal q3 Bin'!$O$24:$O$25</definedName>
    <definedName name="solver_lhs1" localSheetId="24" hidden="1">'job sch'!$M$22:$M$31</definedName>
    <definedName name="solver_lhs1" localSheetId="2" hidden="1">'MAX 1'!$Q$10:$Q$12</definedName>
    <definedName name="solver_lhs1" localSheetId="3" hidden="1">'MAX 2'!$L$11:$L$12</definedName>
    <definedName name="solver_lhs1" localSheetId="4" hidden="1">'MAX 3'!$L$12:$L$14</definedName>
    <definedName name="solver_lhs1" localSheetId="1" hidden="1">MIN!$G$5:$G$7</definedName>
    <definedName name="solver_lhs1" localSheetId="12" hidden="1">'MIX INT'!$L$6:$L$7</definedName>
    <definedName name="solver_lhs1" localSheetId="13" hidden="1">TR!$T$13:$W$15</definedName>
    <definedName name="solver_lhs1" localSheetId="15" hidden="1">'TR 2'!$L$23:$N$25</definedName>
    <definedName name="solver_lhs1" localSheetId="18" hidden="1">'TR 3'!$P$2:$R$2</definedName>
    <definedName name="solver_lhs1" localSheetId="14" hidden="1">'TS '!$M$16:$O$18</definedName>
    <definedName name="solver_lhs1" localSheetId="16" hidden="1">TSM!$E$12:$K$12</definedName>
    <definedName name="solver_lhs1" localSheetId="31" hidden="1">'TSP '!$H$15:$M$15</definedName>
    <definedName name="solver_lhs2" localSheetId="7" hidden="1">'BIN MAX'!$P$5:$P$8</definedName>
    <definedName name="solver_lhs2" localSheetId="8" hidden="1">'BIN MAX2'!$O$3:$O$8</definedName>
    <definedName name="solver_lhs2" localSheetId="5" hidden="1">'BIN MIN'!$W$9:$W$15</definedName>
    <definedName name="solver_lhs2" localSheetId="6" hidden="1">'BIN MIN 2'!$Q$9:$Q$15</definedName>
    <definedName name="solver_lhs2" localSheetId="9" hidden="1">'BIN MIN 3'!$S$14:$S$17</definedName>
    <definedName name="solver_lhs2" localSheetId="10" hidden="1">'BIN MIN 4'!$W$15:$W$26</definedName>
    <definedName name="solver_lhs2" localSheetId="11" hidden="1">'BIN MIN 4(2)'!$P$30</definedName>
    <definedName name="solver_lhs2" localSheetId="21" hidden="1">'Internal q1 TS'!$N$46:$N$47</definedName>
    <definedName name="solver_lhs2" localSheetId="22" hidden="1">'Internal q2 TR'!$L$22:$L$24</definedName>
    <definedName name="solver_lhs2" localSheetId="23" hidden="1">'Internal q3 Bin'!$O$26:$O$27</definedName>
    <definedName name="solver_lhs2" localSheetId="2" hidden="1">'MAX 1'!$Q$5:$Q$6</definedName>
    <definedName name="solver_lhs2" localSheetId="3" hidden="1">'MAX 2'!$M$4:$M$5</definedName>
    <definedName name="solver_lhs2" localSheetId="4" hidden="1">'MAX 3'!$N$4:$N$6</definedName>
    <definedName name="solver_lhs2" localSheetId="1" hidden="1">MIN!$L$8:$L$9</definedName>
    <definedName name="solver_lhs2" localSheetId="12" hidden="1">'MIX INT'!$M$14:$M$16</definedName>
    <definedName name="solver_lhs2" localSheetId="13" hidden="1">TR!$T$23:$T$25</definedName>
    <definedName name="solver_lhs2" localSheetId="15" hidden="1">'TR 2'!$R$13:$R$15</definedName>
    <definedName name="solver_lhs2" localSheetId="18" hidden="1">'TR 3'!$P$4</definedName>
    <definedName name="solver_lhs2" localSheetId="14" hidden="1">'TS '!$P$25:$P$26</definedName>
    <definedName name="solver_lhs3" localSheetId="11" hidden="1">'BIN MIN 4(2)'!$R$16:$R$27</definedName>
    <definedName name="solver_lhs3" localSheetId="21" hidden="1">'Internal q1 TS'!$N$49:$N$51</definedName>
    <definedName name="solver_lhs3" localSheetId="22" hidden="1">'Internal q2 TR'!$L$27:$L$29</definedName>
    <definedName name="solver_lhs3" localSheetId="23" hidden="1">'Internal q3 Bin'!$O$28</definedName>
    <definedName name="solver_lhs3" localSheetId="12" hidden="1">'MIX INT'!$M$6:$M$7</definedName>
    <definedName name="solver_lhs3" localSheetId="13" hidden="1">TR!$T$26:$T$29</definedName>
    <definedName name="solver_lhs3" localSheetId="15" hidden="1">'TR 2'!$R$9:$R$11</definedName>
    <definedName name="solver_lhs3" localSheetId="18" hidden="1">'TR 3'!$S$4:$S$53</definedName>
    <definedName name="solver_lhs3" localSheetId="14" hidden="1">'TS '!$P$27:$P$28</definedName>
    <definedName name="solver_lhs4" localSheetId="11" hidden="1">'BIN MIN 4(2)'!$R$16:$R$27</definedName>
    <definedName name="solver_lhs4" localSheetId="21" hidden="1">'Internal q1 TS'!$N$54:$N$55</definedName>
    <definedName name="solver_lhs4" localSheetId="23" hidden="1">'Internal q3 Bin'!$R$5:$R$10</definedName>
    <definedName name="solver_lhs4" localSheetId="14" hidden="1">'TS '!$P$29</definedName>
    <definedName name="solver_lhs5" localSheetId="21" hidden="1">'Internal q1 TS'!$Q$31:$S$32</definedName>
    <definedName name="solver_mip" localSheetId="7" hidden="1">2147483647</definedName>
    <definedName name="solver_mip" localSheetId="8" hidden="1">2147483647</definedName>
    <definedName name="solver_mip" localSheetId="5" hidden="1">2147483647</definedName>
    <definedName name="solver_mip" localSheetId="6" hidden="1">2147483647</definedName>
    <definedName name="solver_mip" localSheetId="9" hidden="1">2147483647</definedName>
    <definedName name="solver_mip" localSheetId="10" hidden="1">2147483647</definedName>
    <definedName name="solver_mip" localSheetId="11" hidden="1">2147483647</definedName>
    <definedName name="solver_mip" localSheetId="21" hidden="1">2147483647</definedName>
    <definedName name="solver_mip" localSheetId="22" hidden="1">2147483647</definedName>
    <definedName name="solver_mip" localSheetId="23" hidden="1">2147483647</definedName>
    <definedName name="solver_mip" localSheetId="24" hidden="1">2147483647</definedName>
    <definedName name="solver_mip" localSheetId="2" hidden="1">2147483647</definedName>
    <definedName name="solver_mip" localSheetId="3" hidden="1">2147483647</definedName>
    <definedName name="solver_mip" localSheetId="4" hidden="1">2147483647</definedName>
    <definedName name="solver_mip" localSheetId="1" hidden="1">2147483647</definedName>
    <definedName name="solver_mip" localSheetId="12" hidden="1">2147483647</definedName>
    <definedName name="solver_mip" localSheetId="13" hidden="1">2147483647</definedName>
    <definedName name="solver_mip" localSheetId="15" hidden="1">2147483647</definedName>
    <definedName name="solver_mip" localSheetId="18" hidden="1">2147483647</definedName>
    <definedName name="solver_mip" localSheetId="14" hidden="1">2147483647</definedName>
    <definedName name="solver_mip" localSheetId="16" hidden="1">2147483647</definedName>
    <definedName name="solver_mip" localSheetId="31" hidden="1">2147483647</definedName>
    <definedName name="solver_mni" localSheetId="7" hidden="1">30</definedName>
    <definedName name="solver_mni" localSheetId="8" hidden="1">30</definedName>
    <definedName name="solver_mni" localSheetId="5" hidden="1">30</definedName>
    <definedName name="solver_mni" localSheetId="6" hidden="1">30</definedName>
    <definedName name="solver_mni" localSheetId="9" hidden="1">30</definedName>
    <definedName name="solver_mni" localSheetId="10" hidden="1">30</definedName>
    <definedName name="solver_mni" localSheetId="11" hidden="1">30</definedName>
    <definedName name="solver_mni" localSheetId="21" hidden="1">30</definedName>
    <definedName name="solver_mni" localSheetId="22" hidden="1">30</definedName>
    <definedName name="solver_mni" localSheetId="23" hidden="1">30</definedName>
    <definedName name="solver_mni" localSheetId="24" hidden="1">30</definedName>
    <definedName name="solver_mni" localSheetId="2" hidden="1">30</definedName>
    <definedName name="solver_mni" localSheetId="3" hidden="1">30</definedName>
    <definedName name="solver_mni" localSheetId="4" hidden="1">30</definedName>
    <definedName name="solver_mni" localSheetId="1" hidden="1">30</definedName>
    <definedName name="solver_mni" localSheetId="12" hidden="1">30</definedName>
    <definedName name="solver_mni" localSheetId="13" hidden="1">30</definedName>
    <definedName name="solver_mni" localSheetId="15" hidden="1">30</definedName>
    <definedName name="solver_mni" localSheetId="18" hidden="1">30</definedName>
    <definedName name="solver_mni" localSheetId="14" hidden="1">30</definedName>
    <definedName name="solver_mni" localSheetId="16" hidden="1">30</definedName>
    <definedName name="solver_mni" localSheetId="31" hidden="1">30</definedName>
    <definedName name="solver_mrt" localSheetId="7" hidden="1">0.075</definedName>
    <definedName name="solver_mrt" localSheetId="8" hidden="1">0.075</definedName>
    <definedName name="solver_mrt" localSheetId="5" hidden="1">0.075</definedName>
    <definedName name="solver_mrt" localSheetId="6" hidden="1">0.075</definedName>
    <definedName name="solver_mrt" localSheetId="9" hidden="1">0.075</definedName>
    <definedName name="solver_mrt" localSheetId="10" hidden="1">0.075</definedName>
    <definedName name="solver_mrt" localSheetId="11" hidden="1">0.075</definedName>
    <definedName name="solver_mrt" localSheetId="21" hidden="1">0.075</definedName>
    <definedName name="solver_mrt" localSheetId="22" hidden="1">0.075</definedName>
    <definedName name="solver_mrt" localSheetId="23" hidden="1">0.075</definedName>
    <definedName name="solver_mrt" localSheetId="24" hidden="1">0.075</definedName>
    <definedName name="solver_mrt" localSheetId="2" hidden="1">0.075</definedName>
    <definedName name="solver_mrt" localSheetId="3" hidden="1">0.075</definedName>
    <definedName name="solver_mrt" localSheetId="4" hidden="1">0.075</definedName>
    <definedName name="solver_mrt" localSheetId="1" hidden="1">0.075</definedName>
    <definedName name="solver_mrt" localSheetId="12" hidden="1">0.075</definedName>
    <definedName name="solver_mrt" localSheetId="13" hidden="1">0.075</definedName>
    <definedName name="solver_mrt" localSheetId="15" hidden="1">0.075</definedName>
    <definedName name="solver_mrt" localSheetId="18" hidden="1">0.075</definedName>
    <definedName name="solver_mrt" localSheetId="14" hidden="1">0.075</definedName>
    <definedName name="solver_mrt" localSheetId="16" hidden="1">0.075</definedName>
    <definedName name="solver_mrt" localSheetId="31" hidden="1">0.075</definedName>
    <definedName name="solver_msl" localSheetId="7" hidden="1">2</definedName>
    <definedName name="solver_msl" localSheetId="8" hidden="1">2</definedName>
    <definedName name="solver_msl" localSheetId="5" hidden="1">2</definedName>
    <definedName name="solver_msl" localSheetId="6" hidden="1">2</definedName>
    <definedName name="solver_msl" localSheetId="9" hidden="1">2</definedName>
    <definedName name="solver_msl" localSheetId="10" hidden="1">2</definedName>
    <definedName name="solver_msl" localSheetId="11" hidden="1">2</definedName>
    <definedName name="solver_msl" localSheetId="21" hidden="1">2</definedName>
    <definedName name="solver_msl" localSheetId="22" hidden="1">2</definedName>
    <definedName name="solver_msl" localSheetId="23" hidden="1">2</definedName>
    <definedName name="solver_msl" localSheetId="24" hidden="1">2</definedName>
    <definedName name="solver_msl" localSheetId="2" hidden="1">2</definedName>
    <definedName name="solver_msl" localSheetId="3" hidden="1">2</definedName>
    <definedName name="solver_msl" localSheetId="4" hidden="1">2</definedName>
    <definedName name="solver_msl" localSheetId="1" hidden="1">2</definedName>
    <definedName name="solver_msl" localSheetId="12" hidden="1">2</definedName>
    <definedName name="solver_msl" localSheetId="13" hidden="1">2</definedName>
    <definedName name="solver_msl" localSheetId="15" hidden="1">2</definedName>
    <definedName name="solver_msl" localSheetId="18" hidden="1">2</definedName>
    <definedName name="solver_msl" localSheetId="14" hidden="1">2</definedName>
    <definedName name="solver_msl" localSheetId="16" hidden="1">2</definedName>
    <definedName name="solver_msl" localSheetId="31" hidden="1">2</definedName>
    <definedName name="solver_neg" localSheetId="7" hidden="1">1</definedName>
    <definedName name="solver_neg" localSheetId="8" hidden="1">1</definedName>
    <definedName name="solver_neg" localSheetId="5" hidden="1">1</definedName>
    <definedName name="solver_neg" localSheetId="6" hidden="1">1</definedName>
    <definedName name="solver_neg" localSheetId="9" hidden="1">1</definedName>
    <definedName name="solver_neg" localSheetId="10" hidden="1">1</definedName>
    <definedName name="solver_neg" localSheetId="11" hidden="1">1</definedName>
    <definedName name="solver_neg" localSheetId="21" hidden="1">1</definedName>
    <definedName name="solver_neg" localSheetId="22" hidden="1">1</definedName>
    <definedName name="solver_neg" localSheetId="23" hidden="1">1</definedName>
    <definedName name="solver_neg" localSheetId="24" hidden="1">1</definedName>
    <definedName name="solver_neg" localSheetId="2" hidden="1">1</definedName>
    <definedName name="solver_neg" localSheetId="3" hidden="1">1</definedName>
    <definedName name="solver_neg" localSheetId="4" hidden="1">1</definedName>
    <definedName name="solver_neg" localSheetId="1" hidden="1">1</definedName>
    <definedName name="solver_neg" localSheetId="12" hidden="1">1</definedName>
    <definedName name="solver_neg" localSheetId="13" hidden="1">1</definedName>
    <definedName name="solver_neg" localSheetId="15" hidden="1">1</definedName>
    <definedName name="solver_neg" localSheetId="18" hidden="1">1</definedName>
    <definedName name="solver_neg" localSheetId="14" hidden="1">1</definedName>
    <definedName name="solver_neg" localSheetId="16" hidden="1">1</definedName>
    <definedName name="solver_neg" localSheetId="31" hidden="1">1</definedName>
    <definedName name="solver_nod" localSheetId="7" hidden="1">2147483647</definedName>
    <definedName name="solver_nod" localSheetId="8" hidden="1">2147483647</definedName>
    <definedName name="solver_nod" localSheetId="5" hidden="1">2147483647</definedName>
    <definedName name="solver_nod" localSheetId="6" hidden="1">2147483647</definedName>
    <definedName name="solver_nod" localSheetId="9" hidden="1">2147483647</definedName>
    <definedName name="solver_nod" localSheetId="10" hidden="1">2147483647</definedName>
    <definedName name="solver_nod" localSheetId="11" hidden="1">2147483647</definedName>
    <definedName name="solver_nod" localSheetId="21" hidden="1">2147483647</definedName>
    <definedName name="solver_nod" localSheetId="22" hidden="1">2147483647</definedName>
    <definedName name="solver_nod" localSheetId="23" hidden="1">2147483647</definedName>
    <definedName name="solver_nod" localSheetId="24" hidden="1">2147483647</definedName>
    <definedName name="solver_nod" localSheetId="2" hidden="1">2147483647</definedName>
    <definedName name="solver_nod" localSheetId="3" hidden="1">2147483647</definedName>
    <definedName name="solver_nod" localSheetId="4" hidden="1">2147483647</definedName>
    <definedName name="solver_nod" localSheetId="1" hidden="1">2147483647</definedName>
    <definedName name="solver_nod" localSheetId="12" hidden="1">2147483647</definedName>
    <definedName name="solver_nod" localSheetId="13" hidden="1">2147483647</definedName>
    <definedName name="solver_nod" localSheetId="15" hidden="1">2147483647</definedName>
    <definedName name="solver_nod" localSheetId="18" hidden="1">2147483647</definedName>
    <definedName name="solver_nod" localSheetId="14" hidden="1">2147483647</definedName>
    <definedName name="solver_nod" localSheetId="16" hidden="1">2147483647</definedName>
    <definedName name="solver_nod" localSheetId="31" hidden="1">2147483647</definedName>
    <definedName name="solver_num" localSheetId="7" hidden="1">2</definedName>
    <definedName name="solver_num" localSheetId="8" hidden="1">2</definedName>
    <definedName name="solver_num" localSheetId="5" hidden="1">2</definedName>
    <definedName name="solver_num" localSheetId="6" hidden="1">2</definedName>
    <definedName name="solver_num" localSheetId="9" hidden="1">2</definedName>
    <definedName name="solver_num" localSheetId="10" hidden="1">2</definedName>
    <definedName name="solver_num" localSheetId="11" hidden="1">3</definedName>
    <definedName name="solver_num" localSheetId="21" hidden="1">5</definedName>
    <definedName name="solver_num" localSheetId="22" hidden="1">3</definedName>
    <definedName name="solver_num" localSheetId="23" hidden="1">4</definedName>
    <definedName name="solver_num" localSheetId="24" hidden="1">1</definedName>
    <definedName name="solver_num" localSheetId="2" hidden="1">2</definedName>
    <definedName name="solver_num" localSheetId="3" hidden="1">2</definedName>
    <definedName name="solver_num" localSheetId="4" hidden="1">2</definedName>
    <definedName name="solver_num" localSheetId="1" hidden="1">2</definedName>
    <definedName name="solver_num" localSheetId="12" hidden="1">3</definedName>
    <definedName name="solver_num" localSheetId="13" hidden="1">3</definedName>
    <definedName name="solver_num" localSheetId="15" hidden="1">3</definedName>
    <definedName name="solver_num" localSheetId="18" hidden="1">3</definedName>
    <definedName name="solver_num" localSheetId="14" hidden="1">4</definedName>
    <definedName name="solver_num" localSheetId="16" hidden="1">1</definedName>
    <definedName name="solver_num" localSheetId="31" hidden="1">1</definedName>
    <definedName name="solver_nwt" localSheetId="7" hidden="1">1</definedName>
    <definedName name="solver_nwt" localSheetId="8" hidden="1">1</definedName>
    <definedName name="solver_nwt" localSheetId="5" hidden="1">1</definedName>
    <definedName name="solver_nwt" localSheetId="6" hidden="1">1</definedName>
    <definedName name="solver_nwt" localSheetId="9" hidden="1">1</definedName>
    <definedName name="solver_nwt" localSheetId="10" hidden="1">1</definedName>
    <definedName name="solver_nwt" localSheetId="11" hidden="1">1</definedName>
    <definedName name="solver_nwt" localSheetId="21" hidden="1">1</definedName>
    <definedName name="solver_nwt" localSheetId="22" hidden="1">1</definedName>
    <definedName name="solver_nwt" localSheetId="23" hidden="1">1</definedName>
    <definedName name="solver_nwt" localSheetId="24" hidden="1">1</definedName>
    <definedName name="solver_nwt" localSheetId="2" hidden="1">1</definedName>
    <definedName name="solver_nwt" localSheetId="3" hidden="1">1</definedName>
    <definedName name="solver_nwt" localSheetId="4" hidden="1">1</definedName>
    <definedName name="solver_nwt" localSheetId="1" hidden="1">1</definedName>
    <definedName name="solver_nwt" localSheetId="12" hidden="1">1</definedName>
    <definedName name="solver_nwt" localSheetId="13" hidden="1">1</definedName>
    <definedName name="solver_nwt" localSheetId="15" hidden="1">1</definedName>
    <definedName name="solver_nwt" localSheetId="18" hidden="1">1</definedName>
    <definedName name="solver_nwt" localSheetId="14" hidden="1">1</definedName>
    <definedName name="solver_nwt" localSheetId="16" hidden="1">1</definedName>
    <definedName name="solver_nwt" localSheetId="31" hidden="1">1</definedName>
    <definedName name="solver_opt" localSheetId="7" hidden="1">'BIN MAX'!$Q$13</definedName>
    <definedName name="solver_opt" localSheetId="8" hidden="1">'BIN MAX2'!$P$12</definedName>
    <definedName name="solver_opt" localSheetId="5" hidden="1">'BIN MIN'!$W$4</definedName>
    <definedName name="solver_opt" localSheetId="6" hidden="1">'BIN MIN 2'!$Q$4</definedName>
    <definedName name="solver_opt" localSheetId="9" hidden="1">'BIN MIN 3'!$N$19</definedName>
    <definedName name="solver_opt" localSheetId="10" hidden="1">'BIN MIN 4'!$J$29</definedName>
    <definedName name="solver_opt" localSheetId="11" hidden="1">'BIN MIN 4(2)'!$T$30</definedName>
    <definedName name="solver_opt" localSheetId="21" hidden="1">'Internal q1 TS'!$S$41</definedName>
    <definedName name="solver_opt" localSheetId="22" hidden="1">'Internal q2 TR'!$M$18</definedName>
    <definedName name="solver_opt" localSheetId="23" hidden="1">'Internal q3 Bin'!$P$21</definedName>
    <definedName name="solver_opt" localSheetId="24" hidden="1">'job sch'!$O$19</definedName>
    <definedName name="solver_opt" localSheetId="2" hidden="1">'MAX 1'!$P$15</definedName>
    <definedName name="solver_opt" localSheetId="3" hidden="1">'MAX 2'!$N$8</definedName>
    <definedName name="solver_opt" localSheetId="4" hidden="1">'MAX 3'!$L$9</definedName>
    <definedName name="solver_opt" localSheetId="1" hidden="1">MIN!$L$5</definedName>
    <definedName name="solver_opt" localSheetId="12" hidden="1">'MIX INT'!$L$11</definedName>
    <definedName name="solver_opt" localSheetId="13" hidden="1">TR!$U$19</definedName>
    <definedName name="solver_opt" localSheetId="15" hidden="1">'TR 2'!$Q$4</definedName>
    <definedName name="solver_opt" localSheetId="18" hidden="1">'TR 3'!$W$5</definedName>
    <definedName name="solver_opt" localSheetId="14" hidden="1">'TS '!$P$21</definedName>
    <definedName name="solver_opt" localSheetId="16" hidden="1">TSM!$E$16</definedName>
    <definedName name="solver_opt" localSheetId="31" hidden="1">'TSP '!$G$20</definedName>
    <definedName name="solver_pre" localSheetId="7" hidden="1">0.000001</definedName>
    <definedName name="solver_pre" localSheetId="8" hidden="1">0.000001</definedName>
    <definedName name="solver_pre" localSheetId="5" hidden="1">0.000001</definedName>
    <definedName name="solver_pre" localSheetId="6" hidden="1">0.000001</definedName>
    <definedName name="solver_pre" localSheetId="9" hidden="1">0.000001</definedName>
    <definedName name="solver_pre" localSheetId="10" hidden="1">0.000001</definedName>
    <definedName name="solver_pre" localSheetId="11" hidden="1">0.000001</definedName>
    <definedName name="solver_pre" localSheetId="21" hidden="1">0.000001</definedName>
    <definedName name="solver_pre" localSheetId="22" hidden="1">0.000001</definedName>
    <definedName name="solver_pre" localSheetId="23" hidden="1">0.000001</definedName>
    <definedName name="solver_pre" localSheetId="24" hidden="1">0.000001</definedName>
    <definedName name="solver_pre" localSheetId="2" hidden="1">0.000001</definedName>
    <definedName name="solver_pre" localSheetId="3" hidden="1">0.000001</definedName>
    <definedName name="solver_pre" localSheetId="4" hidden="1">0.000001</definedName>
    <definedName name="solver_pre" localSheetId="1" hidden="1">0.000001</definedName>
    <definedName name="solver_pre" localSheetId="12" hidden="1">0.000001</definedName>
    <definedName name="solver_pre" localSheetId="13" hidden="1">0.000001</definedName>
    <definedName name="solver_pre" localSheetId="15" hidden="1">0.000001</definedName>
    <definedName name="solver_pre" localSheetId="18" hidden="1">0.000001</definedName>
    <definedName name="solver_pre" localSheetId="14" hidden="1">0.000001</definedName>
    <definedName name="solver_pre" localSheetId="16" hidden="1">0.000001</definedName>
    <definedName name="solver_pre" localSheetId="31" hidden="1">0.000001</definedName>
    <definedName name="solver_rbv" localSheetId="7" hidden="1">1</definedName>
    <definedName name="solver_rbv" localSheetId="8" hidden="1">1</definedName>
    <definedName name="solver_rbv" localSheetId="5" hidden="1">1</definedName>
    <definedName name="solver_rbv" localSheetId="6" hidden="1">1</definedName>
    <definedName name="solver_rbv" localSheetId="9" hidden="1">1</definedName>
    <definedName name="solver_rbv" localSheetId="10" hidden="1">1</definedName>
    <definedName name="solver_rbv" localSheetId="11" hidden="1">1</definedName>
    <definedName name="solver_rbv" localSheetId="21" hidden="1">1</definedName>
    <definedName name="solver_rbv" localSheetId="22" hidden="1">1</definedName>
    <definedName name="solver_rbv" localSheetId="23" hidden="1">1</definedName>
    <definedName name="solver_rbv" localSheetId="24" hidden="1">1</definedName>
    <definedName name="solver_rbv" localSheetId="2" hidden="1">1</definedName>
    <definedName name="solver_rbv" localSheetId="3" hidden="1">1</definedName>
    <definedName name="solver_rbv" localSheetId="4" hidden="1">1</definedName>
    <definedName name="solver_rbv" localSheetId="1" hidden="1">1</definedName>
    <definedName name="solver_rbv" localSheetId="12" hidden="1">1</definedName>
    <definedName name="solver_rbv" localSheetId="13" hidden="1">1</definedName>
    <definedName name="solver_rbv" localSheetId="15" hidden="1">2</definedName>
    <definedName name="solver_rbv" localSheetId="18" hidden="1">2</definedName>
    <definedName name="solver_rbv" localSheetId="14" hidden="1">1</definedName>
    <definedName name="solver_rbv" localSheetId="16" hidden="1">1</definedName>
    <definedName name="solver_rbv" localSheetId="31" hidden="1">1</definedName>
    <definedName name="solver_rel1" localSheetId="7" hidden="1">1</definedName>
    <definedName name="solver_rel1" localSheetId="8" hidden="1">1</definedName>
    <definedName name="solver_rel1" localSheetId="5" hidden="1">5</definedName>
    <definedName name="solver_rel1" localSheetId="6" hidden="1">5</definedName>
    <definedName name="solver_rel1" localSheetId="9" hidden="1">3</definedName>
    <definedName name="solver_rel1" localSheetId="10" hidden="1">3</definedName>
    <definedName name="solver_rel1" localSheetId="11" hidden="1">3</definedName>
    <definedName name="solver_rel1" localSheetId="21" hidden="1">4</definedName>
    <definedName name="solver_rel1" localSheetId="22" hidden="1">4</definedName>
    <definedName name="solver_rel1" localSheetId="23" hidden="1">1</definedName>
    <definedName name="solver_rel1" localSheetId="24" hidden="1">3</definedName>
    <definedName name="solver_rel1" localSheetId="2" hidden="1">1</definedName>
    <definedName name="solver_rel1" localSheetId="3" hidden="1">1</definedName>
    <definedName name="solver_rel1" localSheetId="4" hidden="1">1</definedName>
    <definedName name="solver_rel1" localSheetId="1" hidden="1">4</definedName>
    <definedName name="solver_rel1" localSheetId="12" hidden="1">5</definedName>
    <definedName name="solver_rel1" localSheetId="13" hidden="1">4</definedName>
    <definedName name="solver_rel1" localSheetId="15" hidden="1">4</definedName>
    <definedName name="solver_rel1" localSheetId="18" hidden="1">1</definedName>
    <definedName name="solver_rel1" localSheetId="14" hidden="1">4</definedName>
    <definedName name="solver_rel1" localSheetId="16" hidden="1">6</definedName>
    <definedName name="solver_rel1" localSheetId="31" hidden="1">6</definedName>
    <definedName name="solver_rel2" localSheetId="7" hidden="1">5</definedName>
    <definedName name="solver_rel2" localSheetId="8" hidden="1">5</definedName>
    <definedName name="solver_rel2" localSheetId="5" hidden="1">3</definedName>
    <definedName name="solver_rel2" localSheetId="6" hidden="1">3</definedName>
    <definedName name="solver_rel2" localSheetId="9" hidden="1">5</definedName>
    <definedName name="solver_rel2" localSheetId="10" hidden="1">5</definedName>
    <definedName name="solver_rel2" localSheetId="11" hidden="1">2</definedName>
    <definedName name="solver_rel2" localSheetId="21" hidden="1">1</definedName>
    <definedName name="solver_rel2" localSheetId="22" hidden="1">1</definedName>
    <definedName name="solver_rel2" localSheetId="23" hidden="1">3</definedName>
    <definedName name="solver_rel2" localSheetId="2" hidden="1">4</definedName>
    <definedName name="solver_rel2" localSheetId="3" hidden="1">4</definedName>
    <definedName name="solver_rel2" localSheetId="4" hidden="1">4</definedName>
    <definedName name="solver_rel2" localSheetId="1" hidden="1">3</definedName>
    <definedName name="solver_rel2" localSheetId="12" hidden="1">1</definedName>
    <definedName name="solver_rel2" localSheetId="13" hidden="1">1</definedName>
    <definedName name="solver_rel2" localSheetId="15" hidden="1">2</definedName>
    <definedName name="solver_rel2" localSheetId="18" hidden="1">5</definedName>
    <definedName name="solver_rel2" localSheetId="14" hidden="1">1</definedName>
    <definedName name="solver_rel3" localSheetId="11" hidden="1">5</definedName>
    <definedName name="solver_rel3" localSheetId="21" hidden="1">3</definedName>
    <definedName name="solver_rel3" localSheetId="22" hidden="1">3</definedName>
    <definedName name="solver_rel3" localSheetId="23" hidden="1">1</definedName>
    <definedName name="solver_rel3" localSheetId="12" hidden="1">4</definedName>
    <definedName name="solver_rel3" localSheetId="13" hidden="1">3</definedName>
    <definedName name="solver_rel3" localSheetId="15" hidden="1">2</definedName>
    <definedName name="solver_rel3" localSheetId="18" hidden="1">2</definedName>
    <definedName name="solver_rel3" localSheetId="14" hidden="1">3</definedName>
    <definedName name="solver_rel4" localSheetId="11" hidden="1">5</definedName>
    <definedName name="solver_rel4" localSheetId="21" hidden="1">2</definedName>
    <definedName name="solver_rel4" localSheetId="23" hidden="1">5</definedName>
    <definedName name="solver_rel4" localSheetId="14" hidden="1">2</definedName>
    <definedName name="solver_rel5" localSheetId="21" hidden="1">4</definedName>
    <definedName name="solver_rhs1" localSheetId="7" hidden="1">'BIN MAX'!$Q$18</definedName>
    <definedName name="solver_rhs1" localSheetId="8" hidden="1">'BIN MAX2'!$P$16:$P$17</definedName>
    <definedName name="solver_rhs1" localSheetId="5" hidden="1">binary</definedName>
    <definedName name="solver_rhs1" localSheetId="6" hidden="1">binary</definedName>
    <definedName name="solver_rhs1" localSheetId="9" hidden="1">'BIN MIN 3'!$P$21:$P$26</definedName>
    <definedName name="solver_rhs1" localSheetId="10" hidden="1">'BIN MIN 4'!$J$35:$U$35</definedName>
    <definedName name="solver_rhs1" localSheetId="11" hidden="1">'BIN MIN 4(2)'!$E$32:$O$32</definedName>
    <definedName name="solver_rhs1" localSheetId="21" hidden="1">integer</definedName>
    <definedName name="solver_rhs1" localSheetId="22" hidden="1">integer</definedName>
    <definedName name="solver_rhs1" localSheetId="23" hidden="1">'Internal q3 Bin'!$Q$24:$Q$25</definedName>
    <definedName name="solver_rhs1" localSheetId="24" hidden="1">'job sch'!$O$22:$O$31</definedName>
    <definedName name="solver_rhs1" localSheetId="2" hidden="1">'MAX 1'!$S$10:$S$12</definedName>
    <definedName name="solver_rhs1" localSheetId="3" hidden="1">'MAX 2'!$N$11:$N$12</definedName>
    <definedName name="solver_rhs1" localSheetId="4" hidden="1">'MAX 3'!$N$12:$N$14</definedName>
    <definedName name="solver_rhs1" localSheetId="1" hidden="1">integer</definedName>
    <definedName name="solver_rhs1" localSheetId="12" hidden="1">binary</definedName>
    <definedName name="solver_rhs1" localSheetId="13" hidden="1">integer</definedName>
    <definedName name="solver_rhs1" localSheetId="15" hidden="1">integer</definedName>
    <definedName name="solver_rhs1" localSheetId="18" hidden="1">'TR 3'!$P$1:$R$1</definedName>
    <definedName name="solver_rhs1" localSheetId="14" hidden="1">integer</definedName>
    <definedName name="solver_rhs1" localSheetId="16" hidden="1">AllDifferent</definedName>
    <definedName name="solver_rhs1" localSheetId="31" hidden="1">AllDifferent</definedName>
    <definedName name="solver_rhs2" localSheetId="7" hidden="1">binary</definedName>
    <definedName name="solver_rhs2" localSheetId="8" hidden="1">binary</definedName>
    <definedName name="solver_rhs2" localSheetId="5" hidden="1">'BIN MIN'!$Y$9:$Y$15</definedName>
    <definedName name="solver_rhs2" localSheetId="6" hidden="1">'BIN MIN 2'!$S$9:$S$15</definedName>
    <definedName name="solver_rhs2" localSheetId="9" hidden="1">binary</definedName>
    <definedName name="solver_rhs2" localSheetId="10" hidden="1">binary</definedName>
    <definedName name="solver_rhs2" localSheetId="11" hidden="1">0</definedName>
    <definedName name="solver_rhs2" localSheetId="21" hidden="1">'Internal q1 TS'!$P$46:$P$47</definedName>
    <definedName name="solver_rhs2" localSheetId="22" hidden="1">'Internal q2 TR'!$N$22:$N$24</definedName>
    <definedName name="solver_rhs2" localSheetId="23" hidden="1">'Internal q3 Bin'!$Q$26:$Q$27</definedName>
    <definedName name="solver_rhs2" localSheetId="2" hidden="1">integer</definedName>
    <definedName name="solver_rhs2" localSheetId="3" hidden="1">integer</definedName>
    <definedName name="solver_rhs2" localSheetId="4" hidden="1">integer</definedName>
    <definedName name="solver_rhs2" localSheetId="1" hidden="1">MIN!$N$8:$N$9</definedName>
    <definedName name="solver_rhs2" localSheetId="12" hidden="1">'MIX INT'!$O$14:$O$16</definedName>
    <definedName name="solver_rhs2" localSheetId="13" hidden="1">TR!$V$23:$V$25</definedName>
    <definedName name="solver_rhs2" localSheetId="15" hidden="1">'TR 2'!$T$13:$T$15</definedName>
    <definedName name="solver_rhs2" localSheetId="18" hidden="1">binary</definedName>
    <definedName name="solver_rhs2" localSheetId="14" hidden="1">'TS '!$R$25:$R$26</definedName>
    <definedName name="solver_rhs3" localSheetId="11" hidden="1">binary</definedName>
    <definedName name="solver_rhs3" localSheetId="21" hidden="1">'Internal q1 TS'!$P$49:$P$51</definedName>
    <definedName name="solver_rhs3" localSheetId="22" hidden="1">'Internal q2 TR'!$N$27:$N$29</definedName>
    <definedName name="solver_rhs3" localSheetId="23" hidden="1">'Internal q3 Bin'!$Q$28</definedName>
    <definedName name="solver_rhs3" localSheetId="12" hidden="1">integer</definedName>
    <definedName name="solver_rhs3" localSheetId="13" hidden="1">TR!$V$26:$V$29</definedName>
    <definedName name="solver_rhs3" localSheetId="15" hidden="1">'TR 2'!$T$9:$T$11</definedName>
    <definedName name="solver_rhs3" localSheetId="18" hidden="1">1</definedName>
    <definedName name="solver_rhs3" localSheetId="14" hidden="1">'TS '!$R$27:$R$28</definedName>
    <definedName name="solver_rhs4" localSheetId="11" hidden="1">binary</definedName>
    <definedName name="solver_rhs4" localSheetId="21" hidden="1">'Internal q1 TS'!$P$54:$P$55</definedName>
    <definedName name="solver_rhs4" localSheetId="23" hidden="1">binary</definedName>
    <definedName name="solver_rhs4" localSheetId="14" hidden="1">'TS '!$R$29</definedName>
    <definedName name="solver_rhs5" localSheetId="21" hidden="1">integer</definedName>
    <definedName name="solver_rlx" localSheetId="7" hidden="1">2</definedName>
    <definedName name="solver_rlx" localSheetId="8" hidden="1">2</definedName>
    <definedName name="solver_rlx" localSheetId="5" hidden="1">2</definedName>
    <definedName name="solver_rlx" localSheetId="6" hidden="1">2</definedName>
    <definedName name="solver_rlx" localSheetId="9" hidden="1">2</definedName>
    <definedName name="solver_rlx" localSheetId="10" hidden="1">2</definedName>
    <definedName name="solver_rlx" localSheetId="11" hidden="1">2</definedName>
    <definedName name="solver_rlx" localSheetId="21" hidden="1">2</definedName>
    <definedName name="solver_rlx" localSheetId="22" hidden="1">2</definedName>
    <definedName name="solver_rlx" localSheetId="23" hidden="1">2</definedName>
    <definedName name="solver_rlx" localSheetId="24" hidden="1">2</definedName>
    <definedName name="solver_rlx" localSheetId="2" hidden="1">2</definedName>
    <definedName name="solver_rlx" localSheetId="3" hidden="1">2</definedName>
    <definedName name="solver_rlx" localSheetId="4" hidden="1">2</definedName>
    <definedName name="solver_rlx" localSheetId="1" hidden="1">2</definedName>
    <definedName name="solver_rlx" localSheetId="12" hidden="1">2</definedName>
    <definedName name="solver_rlx" localSheetId="13" hidden="1">2</definedName>
    <definedName name="solver_rlx" localSheetId="15" hidden="1">2</definedName>
    <definedName name="solver_rlx" localSheetId="18" hidden="1">2</definedName>
    <definedName name="solver_rlx" localSheetId="14" hidden="1">2</definedName>
    <definedName name="solver_rlx" localSheetId="16" hidden="1">2</definedName>
    <definedName name="solver_rlx" localSheetId="31" hidden="1">2</definedName>
    <definedName name="solver_rsd" localSheetId="7" hidden="1">0</definedName>
    <definedName name="solver_rsd" localSheetId="8" hidden="1">0</definedName>
    <definedName name="solver_rsd" localSheetId="5" hidden="1">0</definedName>
    <definedName name="solver_rsd" localSheetId="6" hidden="1">0</definedName>
    <definedName name="solver_rsd" localSheetId="9" hidden="1">0</definedName>
    <definedName name="solver_rsd" localSheetId="10" hidden="1">0</definedName>
    <definedName name="solver_rsd" localSheetId="11" hidden="1">0</definedName>
    <definedName name="solver_rsd" localSheetId="21" hidden="1">0</definedName>
    <definedName name="solver_rsd" localSheetId="22" hidden="1">0</definedName>
    <definedName name="solver_rsd" localSheetId="23" hidden="1">0</definedName>
    <definedName name="solver_rsd" localSheetId="24" hidden="1">0</definedName>
    <definedName name="solver_rsd" localSheetId="2" hidden="1">0</definedName>
    <definedName name="solver_rsd" localSheetId="3" hidden="1">0</definedName>
    <definedName name="solver_rsd" localSheetId="4" hidden="1">0</definedName>
    <definedName name="solver_rsd" localSheetId="1" hidden="1">0</definedName>
    <definedName name="solver_rsd" localSheetId="12" hidden="1">0</definedName>
    <definedName name="solver_rsd" localSheetId="13" hidden="1">0</definedName>
    <definedName name="solver_rsd" localSheetId="15" hidden="1">0</definedName>
    <definedName name="solver_rsd" localSheetId="18" hidden="1">0</definedName>
    <definedName name="solver_rsd" localSheetId="14" hidden="1">0</definedName>
    <definedName name="solver_rsd" localSheetId="16" hidden="1">0</definedName>
    <definedName name="solver_rsd" localSheetId="31" hidden="1">0</definedName>
    <definedName name="solver_scl" localSheetId="7" hidden="1">1</definedName>
    <definedName name="solver_scl" localSheetId="8" hidden="1">1</definedName>
    <definedName name="solver_scl" localSheetId="5" hidden="1">1</definedName>
    <definedName name="solver_scl" localSheetId="6" hidden="1">1</definedName>
    <definedName name="solver_scl" localSheetId="9" hidden="1">1</definedName>
    <definedName name="solver_scl" localSheetId="10" hidden="1">1</definedName>
    <definedName name="solver_scl" localSheetId="11" hidden="1">1</definedName>
    <definedName name="solver_scl" localSheetId="21" hidden="1">1</definedName>
    <definedName name="solver_scl" localSheetId="22" hidden="1">1</definedName>
    <definedName name="solver_scl" localSheetId="23" hidden="1">1</definedName>
    <definedName name="solver_scl" localSheetId="24" hidden="1">1</definedName>
    <definedName name="solver_scl" localSheetId="2" hidden="1">1</definedName>
    <definedName name="solver_scl" localSheetId="3" hidden="1">1</definedName>
    <definedName name="solver_scl" localSheetId="4" hidden="1">1</definedName>
    <definedName name="solver_scl" localSheetId="1" hidden="1">1</definedName>
    <definedName name="solver_scl" localSheetId="12" hidden="1">1</definedName>
    <definedName name="solver_scl" localSheetId="13" hidden="1">1</definedName>
    <definedName name="solver_scl" localSheetId="15" hidden="1">2</definedName>
    <definedName name="solver_scl" localSheetId="18" hidden="1">2</definedName>
    <definedName name="solver_scl" localSheetId="14" hidden="1">1</definedName>
    <definedName name="solver_scl" localSheetId="16" hidden="1">1</definedName>
    <definedName name="solver_scl" localSheetId="31" hidden="1">1</definedName>
    <definedName name="solver_sho" localSheetId="7" hidden="1">2</definedName>
    <definedName name="solver_sho" localSheetId="8" hidden="1">2</definedName>
    <definedName name="solver_sho" localSheetId="5" hidden="1">2</definedName>
    <definedName name="solver_sho" localSheetId="6" hidden="1">2</definedName>
    <definedName name="solver_sho" localSheetId="9" hidden="1">2</definedName>
    <definedName name="solver_sho" localSheetId="10" hidden="1">2</definedName>
    <definedName name="solver_sho" localSheetId="11" hidden="1">2</definedName>
    <definedName name="solver_sho" localSheetId="21" hidden="1">2</definedName>
    <definedName name="solver_sho" localSheetId="22" hidden="1">2</definedName>
    <definedName name="solver_sho" localSheetId="23" hidden="1">2</definedName>
    <definedName name="solver_sho" localSheetId="24" hidden="1">2</definedName>
    <definedName name="solver_sho" localSheetId="2" hidden="1">2</definedName>
    <definedName name="solver_sho" localSheetId="3" hidden="1">2</definedName>
    <definedName name="solver_sho" localSheetId="4" hidden="1">2</definedName>
    <definedName name="solver_sho" localSheetId="1" hidden="1">2</definedName>
    <definedName name="solver_sho" localSheetId="12" hidden="1">2</definedName>
    <definedName name="solver_sho" localSheetId="13" hidden="1">2</definedName>
    <definedName name="solver_sho" localSheetId="15" hidden="1">2</definedName>
    <definedName name="solver_sho" localSheetId="18" hidden="1">2</definedName>
    <definedName name="solver_sho" localSheetId="14" hidden="1">2</definedName>
    <definedName name="solver_sho" localSheetId="16" hidden="1">2</definedName>
    <definedName name="solver_sho" localSheetId="31" hidden="1">2</definedName>
    <definedName name="solver_ssz" localSheetId="7" hidden="1">100</definedName>
    <definedName name="solver_ssz" localSheetId="8" hidden="1">100</definedName>
    <definedName name="solver_ssz" localSheetId="5" hidden="1">100</definedName>
    <definedName name="solver_ssz" localSheetId="6" hidden="1">100</definedName>
    <definedName name="solver_ssz" localSheetId="9" hidden="1">100</definedName>
    <definedName name="solver_ssz" localSheetId="10" hidden="1">100</definedName>
    <definedName name="solver_ssz" localSheetId="11" hidden="1">100</definedName>
    <definedName name="solver_ssz" localSheetId="21" hidden="1">100</definedName>
    <definedName name="solver_ssz" localSheetId="22" hidden="1">100</definedName>
    <definedName name="solver_ssz" localSheetId="23" hidden="1">100</definedName>
    <definedName name="solver_ssz" localSheetId="24" hidden="1">100</definedName>
    <definedName name="solver_ssz" localSheetId="2" hidden="1">100</definedName>
    <definedName name="solver_ssz" localSheetId="3" hidden="1">100</definedName>
    <definedName name="solver_ssz" localSheetId="4" hidden="1">100</definedName>
    <definedName name="solver_ssz" localSheetId="1" hidden="1">100</definedName>
    <definedName name="solver_ssz" localSheetId="12" hidden="1">100</definedName>
    <definedName name="solver_ssz" localSheetId="13" hidden="1">100</definedName>
    <definedName name="solver_ssz" localSheetId="15" hidden="1">100</definedName>
    <definedName name="solver_ssz" localSheetId="18" hidden="1">100</definedName>
    <definedName name="solver_ssz" localSheetId="14" hidden="1">100</definedName>
    <definedName name="solver_ssz" localSheetId="16" hidden="1">100</definedName>
    <definedName name="solver_ssz" localSheetId="31" hidden="1">100</definedName>
    <definedName name="solver_tim" localSheetId="7" hidden="1">2147483647</definedName>
    <definedName name="solver_tim" localSheetId="8" hidden="1">2147483647</definedName>
    <definedName name="solver_tim" localSheetId="5" hidden="1">2147483647</definedName>
    <definedName name="solver_tim" localSheetId="6" hidden="1">2147483647</definedName>
    <definedName name="solver_tim" localSheetId="9" hidden="1">2147483647</definedName>
    <definedName name="solver_tim" localSheetId="10" hidden="1">2147483647</definedName>
    <definedName name="solver_tim" localSheetId="11" hidden="1">2147483647</definedName>
    <definedName name="solver_tim" localSheetId="21" hidden="1">2147483647</definedName>
    <definedName name="solver_tim" localSheetId="22" hidden="1">2147483647</definedName>
    <definedName name="solver_tim" localSheetId="23" hidden="1">2147483647</definedName>
    <definedName name="solver_tim" localSheetId="24" hidden="1">2147483647</definedName>
    <definedName name="solver_tim" localSheetId="2" hidden="1">2147483647</definedName>
    <definedName name="solver_tim" localSheetId="3" hidden="1">2147483647</definedName>
    <definedName name="solver_tim" localSheetId="4" hidden="1">2147483647</definedName>
    <definedName name="solver_tim" localSheetId="1" hidden="1">2147483647</definedName>
    <definedName name="solver_tim" localSheetId="12" hidden="1">2147483647</definedName>
    <definedName name="solver_tim" localSheetId="13" hidden="1">2147483647</definedName>
    <definedName name="solver_tim" localSheetId="15" hidden="1">2147483647</definedName>
    <definedName name="solver_tim" localSheetId="18" hidden="1">2147483647</definedName>
    <definedName name="solver_tim" localSheetId="14" hidden="1">2147483647</definedName>
    <definedName name="solver_tim" localSheetId="16" hidden="1">20</definedName>
    <definedName name="solver_tim" localSheetId="31" hidden="1">2147483647</definedName>
    <definedName name="solver_tol" localSheetId="7" hidden="1">0.01</definedName>
    <definedName name="solver_tol" localSheetId="8" hidden="1">0.01</definedName>
    <definedName name="solver_tol" localSheetId="5" hidden="1">0.01</definedName>
    <definedName name="solver_tol" localSheetId="6" hidden="1">0.01</definedName>
    <definedName name="solver_tol" localSheetId="9" hidden="1">0.01</definedName>
    <definedName name="solver_tol" localSheetId="10" hidden="1">0.01</definedName>
    <definedName name="solver_tol" localSheetId="11" hidden="1">0.01</definedName>
    <definedName name="solver_tol" localSheetId="21" hidden="1">0.01</definedName>
    <definedName name="solver_tol" localSheetId="22" hidden="1">0.01</definedName>
    <definedName name="solver_tol" localSheetId="23" hidden="1">0.01</definedName>
    <definedName name="solver_tol" localSheetId="24" hidden="1">0.01</definedName>
    <definedName name="solver_tol" localSheetId="2" hidden="1">0.01</definedName>
    <definedName name="solver_tol" localSheetId="3" hidden="1">0.01</definedName>
    <definedName name="solver_tol" localSheetId="4" hidden="1">0.01</definedName>
    <definedName name="solver_tol" localSheetId="1" hidden="1">0.01</definedName>
    <definedName name="solver_tol" localSheetId="12" hidden="1">0.01</definedName>
    <definedName name="solver_tol" localSheetId="13" hidden="1">0.01</definedName>
    <definedName name="solver_tol" localSheetId="15" hidden="1">0.01</definedName>
    <definedName name="solver_tol" localSheetId="18" hidden="1">0.01</definedName>
    <definedName name="solver_tol" localSheetId="14" hidden="1">0.01</definedName>
    <definedName name="solver_tol" localSheetId="16" hidden="1">0.01</definedName>
    <definedName name="solver_tol" localSheetId="31" hidden="1">0.01</definedName>
    <definedName name="solver_typ" localSheetId="7" hidden="1">1</definedName>
    <definedName name="solver_typ" localSheetId="8" hidden="1">1</definedName>
    <definedName name="solver_typ" localSheetId="5" hidden="1">2</definedName>
    <definedName name="solver_typ" localSheetId="6" hidden="1">2</definedName>
    <definedName name="solver_typ" localSheetId="9" hidden="1">2</definedName>
    <definedName name="solver_typ" localSheetId="10" hidden="1">2</definedName>
    <definedName name="solver_typ" localSheetId="11" hidden="1">2</definedName>
    <definedName name="solver_typ" localSheetId="21" hidden="1">2</definedName>
    <definedName name="solver_typ" localSheetId="22" hidden="1">2</definedName>
    <definedName name="solver_typ" localSheetId="23" hidden="1">1</definedName>
    <definedName name="solver_typ" localSheetId="24" hidden="1">2</definedName>
    <definedName name="solver_typ" localSheetId="2" hidden="1">1</definedName>
    <definedName name="solver_typ" localSheetId="3" hidden="1">1</definedName>
    <definedName name="solver_typ" localSheetId="4" hidden="1">1</definedName>
    <definedName name="solver_typ" localSheetId="1" hidden="1">2</definedName>
    <definedName name="solver_typ" localSheetId="12" hidden="1">1</definedName>
    <definedName name="solver_typ" localSheetId="13" hidden="1">2</definedName>
    <definedName name="solver_typ" localSheetId="15" hidden="1">2</definedName>
    <definedName name="solver_typ" localSheetId="18" hidden="1">1</definedName>
    <definedName name="solver_typ" localSheetId="14" hidden="1">2</definedName>
    <definedName name="solver_typ" localSheetId="16" hidden="1">2</definedName>
    <definedName name="solver_typ" localSheetId="31" hidden="1">2</definedName>
    <definedName name="solver_val" localSheetId="7" hidden="1">0</definedName>
    <definedName name="solver_val" localSheetId="8" hidden="1">0</definedName>
    <definedName name="solver_val" localSheetId="5" hidden="1">0</definedName>
    <definedName name="solver_val" localSheetId="6" hidden="1">0</definedName>
    <definedName name="solver_val" localSheetId="9" hidden="1">0</definedName>
    <definedName name="solver_val" localSheetId="10" hidden="1">0</definedName>
    <definedName name="solver_val" localSheetId="11" hidden="1">0</definedName>
    <definedName name="solver_val" localSheetId="21" hidden="1">0</definedName>
    <definedName name="solver_val" localSheetId="22" hidden="1">0</definedName>
    <definedName name="solver_val" localSheetId="23" hidden="1">0</definedName>
    <definedName name="solver_val" localSheetId="24" hidden="1">0</definedName>
    <definedName name="solver_val" localSheetId="2" hidden="1">0</definedName>
    <definedName name="solver_val" localSheetId="3" hidden="1">0</definedName>
    <definedName name="solver_val" localSheetId="4" hidden="1">0</definedName>
    <definedName name="solver_val" localSheetId="1" hidden="1">0</definedName>
    <definedName name="solver_val" localSheetId="12" hidden="1">0</definedName>
    <definedName name="solver_val" localSheetId="13" hidden="1">0</definedName>
    <definedName name="solver_val" localSheetId="15" hidden="1">0</definedName>
    <definedName name="solver_val" localSheetId="18" hidden="1">0</definedName>
    <definedName name="solver_val" localSheetId="14" hidden="1">0</definedName>
    <definedName name="solver_val" localSheetId="16" hidden="1">0</definedName>
    <definedName name="solver_val" localSheetId="31" hidden="1">0</definedName>
    <definedName name="solver_ver" localSheetId="7" hidden="1">3</definedName>
    <definedName name="solver_ver" localSheetId="8" hidden="1">3</definedName>
    <definedName name="solver_ver" localSheetId="5" hidden="1">3</definedName>
    <definedName name="solver_ver" localSheetId="6" hidden="1">3</definedName>
    <definedName name="solver_ver" localSheetId="9" hidden="1">3</definedName>
    <definedName name="solver_ver" localSheetId="10" hidden="1">3</definedName>
    <definedName name="solver_ver" localSheetId="11" hidden="1">3</definedName>
    <definedName name="solver_ver" localSheetId="21" hidden="1">3</definedName>
    <definedName name="solver_ver" localSheetId="22" hidden="1">3</definedName>
    <definedName name="solver_ver" localSheetId="23" hidden="1">3</definedName>
    <definedName name="solver_ver" localSheetId="24" hidden="1">3</definedName>
    <definedName name="solver_ver" localSheetId="2" hidden="1">3</definedName>
    <definedName name="solver_ver" localSheetId="3" hidden="1">3</definedName>
    <definedName name="solver_ver" localSheetId="4" hidden="1">3</definedName>
    <definedName name="solver_ver" localSheetId="1" hidden="1">3</definedName>
    <definedName name="solver_ver" localSheetId="12" hidden="1">3</definedName>
    <definedName name="solver_ver" localSheetId="13" hidden="1">3</definedName>
    <definedName name="solver_ver" localSheetId="15" hidden="1">3</definedName>
    <definedName name="solver_ver" localSheetId="18" hidden="1">3</definedName>
    <definedName name="solver_ver" localSheetId="14" hidden="1">3</definedName>
    <definedName name="solver_ver" localSheetId="16" hidden="1">3</definedName>
    <definedName name="solver_ver" localSheetId="31" hidden="1">3</definedName>
    <definedName name="spt">'Internal q5'!$L$16:$N$18</definedName>
    <definedName name="vt">SIMUL2!$P$14:$R$16</definedName>
    <definedName name="vtab">#REF!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Z20" i="52" l="1"/>
  <c r="Z19" i="52"/>
  <c r="Z17" i="52"/>
  <c r="Z16" i="52"/>
  <c r="U22" i="52"/>
  <c r="U19" i="52"/>
  <c r="U17" i="52"/>
  <c r="Q20" i="52"/>
  <c r="Q19" i="52"/>
  <c r="Q17" i="52"/>
  <c r="Q16" i="52"/>
  <c r="L20" i="52"/>
  <c r="L19" i="52"/>
  <c r="L17" i="52"/>
  <c r="L16" i="52"/>
  <c r="G14" i="52"/>
  <c r="G13" i="52"/>
  <c r="G11" i="52"/>
  <c r="G10" i="52"/>
  <c r="AE28" i="51" l="1"/>
  <c r="AE26" i="51"/>
  <c r="AE25" i="51"/>
  <c r="AE21" i="51"/>
  <c r="AE20" i="51"/>
  <c r="Y25" i="51"/>
  <c r="Y21" i="51"/>
  <c r="U26" i="51"/>
  <c r="U25" i="51"/>
  <c r="U21" i="51"/>
  <c r="U20" i="51"/>
  <c r="Y22" i="50" l="1"/>
  <c r="Y18" i="50"/>
  <c r="Y14" i="50"/>
  <c r="Y10" i="50"/>
  <c r="Q18" i="50"/>
  <c r="Q10" i="50"/>
  <c r="N22" i="50"/>
  <c r="N18" i="50"/>
  <c r="N14" i="50"/>
  <c r="N10" i="50"/>
  <c r="H14" i="46" l="1"/>
  <c r="I14" i="46"/>
  <c r="J14" i="46"/>
  <c r="K14" i="46"/>
  <c r="L14" i="46"/>
  <c r="M14" i="46"/>
  <c r="N14" i="46"/>
  <c r="G14" i="46"/>
  <c r="H16" i="46"/>
  <c r="I16" i="46"/>
  <c r="J16" i="46"/>
  <c r="K16" i="46"/>
  <c r="L16" i="46"/>
  <c r="M16" i="46"/>
  <c r="G16" i="46"/>
  <c r="G20" i="46" l="1"/>
  <c r="K17" i="25"/>
  <c r="J17" i="25"/>
  <c r="I17" i="25"/>
  <c r="H17" i="25"/>
  <c r="G17" i="25"/>
  <c r="F17" i="25"/>
  <c r="E17" i="25"/>
  <c r="E20" i="25" s="1"/>
  <c r="L15" i="25"/>
  <c r="K15" i="25"/>
  <c r="J15" i="25"/>
  <c r="I15" i="25"/>
  <c r="H15" i="25"/>
  <c r="G15" i="25"/>
  <c r="F15" i="25"/>
  <c r="E15" i="25"/>
  <c r="V20" i="45" l="1"/>
  <c r="V19" i="45"/>
  <c r="V18" i="45"/>
  <c r="V17" i="45"/>
  <c r="R20" i="45"/>
  <c r="P16" i="45"/>
  <c r="P18" i="45" s="1"/>
  <c r="P10" i="45"/>
  <c r="R12" i="45" s="1"/>
  <c r="R5" i="45"/>
  <c r="R6" i="45"/>
  <c r="R4" i="45"/>
  <c r="N18" i="45"/>
  <c r="N17" i="45"/>
  <c r="O5" i="45"/>
  <c r="P5" i="45"/>
  <c r="O6" i="45"/>
  <c r="P6" i="45"/>
  <c r="P4" i="45"/>
  <c r="O4" i="45"/>
  <c r="I23" i="41"/>
  <c r="J23" i="41"/>
  <c r="J22" i="41"/>
  <c r="I22" i="41"/>
  <c r="J21" i="41"/>
  <c r="I21" i="41"/>
  <c r="J20" i="41"/>
  <c r="I20" i="41"/>
  <c r="M13" i="41"/>
  <c r="M12" i="41"/>
  <c r="M5" i="41"/>
  <c r="M4" i="41"/>
  <c r="V4" i="45" l="1"/>
  <c r="V5" i="45" s="1"/>
  <c r="V6" i="45" s="1"/>
  <c r="M15" i="41"/>
  <c r="M7" i="41"/>
  <c r="L26" i="42"/>
  <c r="Q11" i="42"/>
  <c r="O11" i="42"/>
  <c r="P11" i="42" s="1"/>
  <c r="Q10" i="42"/>
  <c r="O10" i="42"/>
  <c r="P10" i="42" s="1"/>
  <c r="Q9" i="42"/>
  <c r="O9" i="42"/>
  <c r="P9" i="42" s="1"/>
  <c r="AA20" i="38"/>
  <c r="AA19" i="38"/>
  <c r="AA18" i="38"/>
  <c r="S18" i="38"/>
  <c r="R18" i="38"/>
  <c r="S17" i="38"/>
  <c r="S16" i="38"/>
  <c r="S20" i="38" s="1"/>
  <c r="AA14" i="38"/>
  <c r="AA16" i="38" s="1"/>
  <c r="AD9" i="38" s="1"/>
  <c r="AA7" i="38"/>
  <c r="AA9" i="38" s="1"/>
  <c r="R7" i="38"/>
  <c r="R17" i="38" s="1"/>
  <c r="AM6" i="38"/>
  <c r="AM4" i="38"/>
  <c r="AM3" i="38"/>
  <c r="V7" i="45" l="1"/>
  <c r="V10" i="45" s="1"/>
  <c r="K15" i="42"/>
  <c r="K16" i="42"/>
  <c r="K17" i="42"/>
  <c r="AD10" i="38"/>
  <c r="AD12" i="38" s="1"/>
  <c r="AD5" i="38"/>
  <c r="AD6" i="38" s="1"/>
  <c r="R16" i="38"/>
  <c r="R20" i="38" s="1"/>
  <c r="N35" i="39"/>
  <c r="N34" i="39"/>
  <c r="P33" i="39"/>
  <c r="N33" i="39"/>
  <c r="N31" i="39"/>
  <c r="N30" i="39"/>
  <c r="N28" i="39"/>
  <c r="N27" i="39"/>
  <c r="N23" i="39"/>
  <c r="K21" i="42" l="1"/>
  <c r="M21" i="42" s="1"/>
  <c r="AD14" i="38"/>
  <c r="T10" i="37"/>
  <c r="T8" i="37"/>
  <c r="T6" i="37"/>
  <c r="T5" i="37"/>
  <c r="J6" i="37"/>
  <c r="J7" i="37"/>
  <c r="J8" i="37"/>
  <c r="J5" i="37"/>
  <c r="J4" i="37"/>
  <c r="F20" i="37"/>
  <c r="G22" i="37"/>
  <c r="F22" i="37"/>
  <c r="G20" i="37"/>
  <c r="G19" i="37"/>
  <c r="G16" i="37"/>
  <c r="G15" i="37"/>
  <c r="G14" i="37"/>
  <c r="G13" i="37"/>
  <c r="F16" i="37"/>
  <c r="F19" i="37" s="1"/>
  <c r="F15" i="37"/>
  <c r="F14" i="37"/>
  <c r="F13" i="37"/>
  <c r="L21" i="42" l="1"/>
  <c r="O21" i="42" s="1"/>
  <c r="L24" i="42" s="1"/>
  <c r="L27" i="42" s="1"/>
  <c r="J11" i="37"/>
  <c r="J10" i="37"/>
  <c r="O19" i="36"/>
  <c r="Q14" i="36"/>
  <c r="M31" i="36" s="1"/>
  <c r="Q13" i="36"/>
  <c r="P13" i="36"/>
  <c r="P12" i="36"/>
  <c r="M29" i="36" s="1"/>
  <c r="P11" i="36"/>
  <c r="P10" i="36"/>
  <c r="O11" i="36"/>
  <c r="M28" i="36" s="1"/>
  <c r="O10" i="36"/>
  <c r="O9" i="36"/>
  <c r="O8" i="36"/>
  <c r="N9" i="36"/>
  <c r="N8" i="36"/>
  <c r="N7" i="36"/>
  <c r="N6" i="36"/>
  <c r="M8" i="36"/>
  <c r="M25" i="36" s="1"/>
  <c r="M7" i="36"/>
  <c r="M6" i="36"/>
  <c r="M5" i="36"/>
  <c r="M22" i="36" s="1"/>
  <c r="L25" i="42" l="1"/>
  <c r="L29" i="42" s="1"/>
  <c r="J13" i="37"/>
  <c r="N3" i="37" s="1"/>
  <c r="M26" i="36"/>
  <c r="M30" i="36"/>
  <c r="M24" i="36"/>
  <c r="M27" i="36"/>
  <c r="M23" i="36"/>
  <c r="O28" i="35"/>
  <c r="O27" i="35"/>
  <c r="O26" i="35"/>
  <c r="O25" i="35"/>
  <c r="O24" i="35"/>
  <c r="O18" i="35"/>
  <c r="O17" i="35"/>
  <c r="O16" i="35"/>
  <c r="L14" i="35"/>
  <c r="P21" i="35" l="1"/>
  <c r="L29" i="34"/>
  <c r="L28" i="34"/>
  <c r="L27" i="34"/>
  <c r="L24" i="34"/>
  <c r="L23" i="34"/>
  <c r="L22" i="34"/>
  <c r="M18" i="34"/>
  <c r="P55" i="33" l="1"/>
  <c r="P54" i="33"/>
  <c r="N55" i="33"/>
  <c r="N54" i="33"/>
  <c r="N51" i="33"/>
  <c r="N50" i="33"/>
  <c r="N49" i="33"/>
  <c r="N47" i="33"/>
  <c r="N46" i="33"/>
  <c r="S39" i="33"/>
  <c r="S38" i="33"/>
  <c r="O32" i="33"/>
  <c r="O31" i="33"/>
  <c r="S41" i="33" l="1"/>
  <c r="T30" i="32" l="1"/>
  <c r="F30" i="32"/>
  <c r="G30" i="32"/>
  <c r="H30" i="32"/>
  <c r="I30" i="32"/>
  <c r="J30" i="32"/>
  <c r="K30" i="32"/>
  <c r="L30" i="32"/>
  <c r="M30" i="32"/>
  <c r="N30" i="32"/>
  <c r="O30" i="32"/>
  <c r="P30" i="32"/>
  <c r="E30" i="32"/>
  <c r="R29" i="28"/>
  <c r="P29" i="28"/>
  <c r="P28" i="28"/>
  <c r="P27" i="28"/>
  <c r="P26" i="28"/>
  <c r="P25" i="28"/>
  <c r="P21" i="28"/>
  <c r="T29" i="26" l="1"/>
  <c r="T28" i="26"/>
  <c r="T27" i="26"/>
  <c r="T26" i="26"/>
  <c r="T25" i="26"/>
  <c r="T24" i="26"/>
  <c r="T23" i="26"/>
  <c r="U19" i="26"/>
  <c r="M20" i="26"/>
  <c r="N26" i="15" l="1"/>
  <c r="N25" i="15"/>
  <c r="N24" i="15"/>
  <c r="N23" i="15"/>
  <c r="N22" i="15"/>
  <c r="N19" i="15"/>
  <c r="N21" i="15"/>
  <c r="P12" i="24"/>
  <c r="N17" i="24"/>
  <c r="N16" i="24"/>
  <c r="E4" i="23" l="1"/>
  <c r="E5" i="23"/>
  <c r="E6" i="23"/>
  <c r="E7" i="23"/>
  <c r="E8" i="23"/>
  <c r="E9" i="23"/>
  <c r="E10" i="23"/>
  <c r="E11" i="23"/>
  <c r="E12" i="23"/>
  <c r="D7" i="23"/>
  <c r="F7" i="23" s="1"/>
  <c r="D8" i="23"/>
  <c r="F8" i="23" s="1"/>
  <c r="D9" i="23"/>
  <c r="F9" i="23" s="1"/>
  <c r="D10" i="23"/>
  <c r="F10" i="23" s="1"/>
  <c r="D11" i="23"/>
  <c r="F11" i="23" s="1"/>
  <c r="D12" i="23"/>
  <c r="F12" i="23" s="1"/>
  <c r="D4" i="23"/>
  <c r="F4" i="23" s="1"/>
  <c r="D5" i="23"/>
  <c r="F5" i="23" s="1"/>
  <c r="D6" i="23"/>
  <c r="F6" i="23" s="1"/>
  <c r="E3" i="23"/>
  <c r="D3" i="23"/>
  <c r="F3" i="23" l="1"/>
  <c r="G3" i="23" s="1"/>
  <c r="Q24" i="21"/>
  <c r="R24" i="21"/>
  <c r="S24" i="21"/>
  <c r="Q25" i="21"/>
  <c r="R25" i="21"/>
  <c r="S25" i="21"/>
  <c r="R23" i="21"/>
  <c r="S23" i="21"/>
  <c r="Q23" i="21"/>
  <c r="R15" i="21"/>
  <c r="R14" i="21"/>
  <c r="R13" i="21"/>
  <c r="R11" i="21"/>
  <c r="R10" i="21"/>
  <c r="R9" i="21"/>
  <c r="Q2" i="20"/>
  <c r="R2" i="20"/>
  <c r="P2" i="20"/>
  <c r="G11" i="23" l="1"/>
  <c r="G5" i="23"/>
  <c r="G4" i="23"/>
  <c r="G6" i="23"/>
  <c r="G9" i="23"/>
  <c r="G10" i="23"/>
  <c r="G12" i="23"/>
  <c r="G7" i="23"/>
  <c r="G8" i="23"/>
  <c r="Q4" i="21"/>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32" i="20"/>
  <c r="S33" i="20"/>
  <c r="S34" i="20"/>
  <c r="S35" i="20"/>
  <c r="S36" i="20"/>
  <c r="S37" i="20"/>
  <c r="S38" i="20"/>
  <c r="S39" i="20"/>
  <c r="S40" i="20"/>
  <c r="S41" i="20"/>
  <c r="S42" i="20"/>
  <c r="S43" i="20"/>
  <c r="S44" i="20"/>
  <c r="S45" i="20"/>
  <c r="S46" i="20"/>
  <c r="S47" i="20"/>
  <c r="S48" i="20"/>
  <c r="S49" i="20"/>
  <c r="S50" i="20"/>
  <c r="S51" i="20"/>
  <c r="S52" i="20"/>
  <c r="S53" i="20"/>
  <c r="S4" i="20"/>
  <c r="W5" i="20"/>
  <c r="M16" i="17" l="1"/>
  <c r="M15" i="17"/>
  <c r="M14" i="17"/>
  <c r="L11" i="17"/>
  <c r="O18" i="10" l="1"/>
  <c r="Q13" i="10"/>
  <c r="Q4" i="11"/>
  <c r="T33" i="13" l="1"/>
  <c r="U33" i="13"/>
  <c r="K33" i="13"/>
  <c r="L33" i="13"/>
  <c r="M33" i="13"/>
  <c r="N33" i="13"/>
  <c r="O33" i="13"/>
  <c r="P33" i="13"/>
  <c r="Q33" i="13"/>
  <c r="R33" i="13"/>
  <c r="S33" i="13"/>
  <c r="J33" i="13"/>
  <c r="J29" i="13"/>
  <c r="Q15" i="11"/>
  <c r="Q14" i="11"/>
  <c r="Q13" i="11"/>
  <c r="Q12" i="11"/>
  <c r="Q11" i="11"/>
  <c r="Q10" i="11"/>
  <c r="Q9" i="11"/>
  <c r="W15" i="9"/>
  <c r="W14" i="9"/>
  <c r="W13" i="9"/>
  <c r="W12" i="9"/>
  <c r="W10" i="9"/>
  <c r="W9" i="9"/>
  <c r="W4" i="9"/>
  <c r="W11" i="9"/>
  <c r="L14" i="7" l="1"/>
  <c r="L13" i="7"/>
  <c r="L12" i="7"/>
  <c r="L9" i="7"/>
  <c r="L12" i="6"/>
  <c r="L11" i="6"/>
  <c r="N8" i="6"/>
  <c r="P15" i="2" l="1"/>
  <c r="Q12" i="2"/>
  <c r="Q11" i="2"/>
  <c r="Q10" i="2"/>
  <c r="L9" i="5"/>
  <c r="L8" i="5"/>
  <c r="L5" i="5"/>
  <c r="J12" i="4"/>
  <c r="J10" i="4"/>
</calcChain>
</file>

<file path=xl/sharedStrings.xml><?xml version="1.0" encoding="utf-8"?>
<sst xmlns="http://schemas.openxmlformats.org/spreadsheetml/2006/main" count="1248" uniqueCount="654">
  <si>
    <t>GRM</t>
  </si>
  <si>
    <t>MEAT</t>
  </si>
  <si>
    <t>BONE</t>
  </si>
  <si>
    <t>PRICE</t>
  </si>
  <si>
    <t>C1</t>
  </si>
  <si>
    <t>C2</t>
  </si>
  <si>
    <t>C3</t>
  </si>
  <si>
    <t>REQ</t>
  </si>
  <si>
    <t>KG</t>
  </si>
  <si>
    <t>QTY</t>
  </si>
  <si>
    <t>OBJECTIVE FUNCTION</t>
  </si>
  <si>
    <t>CONSTRAINTS</t>
  </si>
  <si>
    <t>&gt;=</t>
  </si>
  <si>
    <t>Statistics</t>
  </si>
  <si>
    <t>Machine Learning</t>
  </si>
  <si>
    <t>Web Development</t>
  </si>
  <si>
    <t>DBMS</t>
  </si>
  <si>
    <t>Cloud</t>
  </si>
  <si>
    <t>App Development</t>
  </si>
  <si>
    <t>Required</t>
  </si>
  <si>
    <t>here 1 means knows the technology</t>
  </si>
  <si>
    <t>oranges</t>
  </si>
  <si>
    <t>dragon fruit</t>
  </si>
  <si>
    <t>kiwi</t>
  </si>
  <si>
    <t>Apple</t>
  </si>
  <si>
    <t>qty</t>
  </si>
  <si>
    <t>price</t>
  </si>
  <si>
    <t>MINIMIZE PRICE</t>
  </si>
  <si>
    <t>TOTAL QTY OF MEAT</t>
  </si>
  <si>
    <t>MODEL</t>
  </si>
  <si>
    <t>REQUIRED</t>
  </si>
  <si>
    <t>TOTAL QTY OF BONE</t>
  </si>
  <si>
    <t>BEST SOL</t>
  </si>
  <si>
    <t>WORST SOL</t>
  </si>
  <si>
    <t>ROUNDED OFF</t>
  </si>
  <si>
    <t>INTEGER</t>
  </si>
  <si>
    <t>Integer_Sol</t>
  </si>
  <si>
    <t>Normal_Sol</t>
  </si>
  <si>
    <t>cheese</t>
  </si>
  <si>
    <t>veggies</t>
  </si>
  <si>
    <t>meat</t>
  </si>
  <si>
    <t>veg</t>
  </si>
  <si>
    <t>non_veg</t>
  </si>
  <si>
    <t>TOTAL CHEESE UTILIZATION</t>
  </si>
  <si>
    <t>AVAILABLE</t>
  </si>
  <si>
    <t>&lt;=</t>
  </si>
  <si>
    <t>TOTAL VEGITABLE UTILIZATION</t>
  </si>
  <si>
    <t>TOTAL MEAT UTILIZATION</t>
  </si>
  <si>
    <t>PROFIT</t>
  </si>
  <si>
    <t>OBJECTIVE PROFIT</t>
  </si>
  <si>
    <t>MAXIMIZE PROFIT</t>
  </si>
  <si>
    <t>MATHEMATICAL EQUATIONS</t>
  </si>
  <si>
    <t>X</t>
  </si>
  <si>
    <t>= number of veg pizzas</t>
  </si>
  <si>
    <t>Y</t>
  </si>
  <si>
    <t>= number of non-veg pizzas</t>
  </si>
  <si>
    <t xml:space="preserve">Objective Function </t>
  </si>
  <si>
    <t>Maximize</t>
  </si>
  <si>
    <t>Z = 120*X+ 180*Y</t>
  </si>
  <si>
    <t>Constraints</t>
  </si>
  <si>
    <t xml:space="preserve">Cheese: </t>
  </si>
  <si>
    <t>100X +120Y &lt;= 12000</t>
  </si>
  <si>
    <t>Veggies</t>
  </si>
  <si>
    <t>150X + 80Y &lt;= 9000</t>
  </si>
  <si>
    <t>Meat</t>
  </si>
  <si>
    <t>100Y &lt;= 4000</t>
  </si>
  <si>
    <t>Non Negative Constraints</t>
  </si>
  <si>
    <t xml:space="preserve">Y &gt;= 0 </t>
  </si>
  <si>
    <t>X &gt;= 0</t>
  </si>
  <si>
    <t>3X + 2Y &lt;= 60</t>
  </si>
  <si>
    <t>2X + 4Y &lt;= 80</t>
  </si>
  <si>
    <t>Y &gt;= 0</t>
  </si>
  <si>
    <t>TOPICS TO COVER</t>
  </si>
  <si>
    <t>SOLVING LPP PROBLEM IN EXCEL - MINIMIZATION</t>
  </si>
  <si>
    <t>MATHEMATICAL REPRESENTATION OF LPP PROBLEM</t>
  </si>
  <si>
    <t>SENSITIVITY ANALYSIS</t>
  </si>
  <si>
    <t>TRANSPORTATION PROBLEMS</t>
  </si>
  <si>
    <t>ASSIGNMENT PROBLEMS</t>
  </si>
  <si>
    <t>INTEGER PROBLEMS</t>
  </si>
  <si>
    <t>DECISION THEORY</t>
  </si>
  <si>
    <t>GAME THEORY</t>
  </si>
  <si>
    <t>GOAL PROGRAMMING</t>
  </si>
  <si>
    <t>QUEUEING THEORY</t>
  </si>
  <si>
    <t>MARKOV ANALYSIS</t>
  </si>
  <si>
    <t>MIXED INTEGER PROBLEMS</t>
  </si>
  <si>
    <t xml:space="preserve">OBJECTIVE FUNCTION </t>
  </si>
  <si>
    <t>INTEGER CONSTRAINT</t>
  </si>
  <si>
    <t>SOCIAL MEDIA</t>
  </si>
  <si>
    <t>GOOGLE AD</t>
  </si>
  <si>
    <t>CREATIVE</t>
  </si>
  <si>
    <t>AD MGMT</t>
  </si>
  <si>
    <t>MAXIMIZE</t>
  </si>
  <si>
    <t>CREATIVE HOURS</t>
  </si>
  <si>
    <t>AD HOURS</t>
  </si>
  <si>
    <t>NUMBER OF SOCIAL MEDIA CAMPAIGNS = X</t>
  </si>
  <si>
    <t>NUMBER OF GOOGLE AD CAMPAIGNS = Y</t>
  </si>
  <si>
    <t>MAXIMIZE PROFIT: Z = 4000X + 5000Y</t>
  </si>
  <si>
    <t xml:space="preserve">CREATIVE HOURS: </t>
  </si>
  <si>
    <t>AD MGMT HOURS:</t>
  </si>
  <si>
    <t>NON NEGATIVITY CONSTRAINTS</t>
  </si>
  <si>
    <t>X, Y ARE INTEGERS</t>
  </si>
  <si>
    <t>SOUR</t>
  </si>
  <si>
    <t>HIGHBALL</t>
  </si>
  <si>
    <t>OLDFASHIONED</t>
  </si>
  <si>
    <t>WHISKEY</t>
  </si>
  <si>
    <t>MIXER</t>
  </si>
  <si>
    <t>TIME</t>
  </si>
  <si>
    <t xml:space="preserve">MATHEMATICAL FORMULATION </t>
  </si>
  <si>
    <t>DECISION VARIABLES</t>
  </si>
  <si>
    <t>NUMBER OF SOUR = X</t>
  </si>
  <si>
    <t>NUMBER OF HIGHBALL = Y</t>
  </si>
  <si>
    <t>NUMBER OF OLDFASHIONED = Z</t>
  </si>
  <si>
    <t>MAXIMIZE PROFIT: Z = 420X + 300Y + 480Z</t>
  </si>
  <si>
    <t xml:space="preserve">TIME </t>
  </si>
  <si>
    <t>60X +60Y + 60Z &lt;= 6000</t>
  </si>
  <si>
    <t>48X+ 150Y + 10Z &lt;= 12000</t>
  </si>
  <si>
    <t>3X + 2Y + 4Z &lt;= 300</t>
  </si>
  <si>
    <t>NON NEGATIVE CONSTRAINT</t>
  </si>
  <si>
    <t>X  &gt;= 0</t>
  </si>
  <si>
    <t>Z &gt;= 0</t>
  </si>
  <si>
    <t>X,Y,Z ARE INTEGERS</t>
  </si>
  <si>
    <t>Integer Constraints</t>
  </si>
  <si>
    <t>X,Y are integers</t>
  </si>
  <si>
    <t>Decision Variables</t>
  </si>
  <si>
    <t>DONE</t>
  </si>
  <si>
    <t>SOLVING LPP PROBLEM IN EXCEL - MAXIMIZATION</t>
  </si>
  <si>
    <t>Name</t>
  </si>
  <si>
    <t>A</t>
  </si>
  <si>
    <t>B</t>
  </si>
  <si>
    <t>C</t>
  </si>
  <si>
    <t>D</t>
  </si>
  <si>
    <t>E</t>
  </si>
  <si>
    <t>F</t>
  </si>
  <si>
    <t>G</t>
  </si>
  <si>
    <t>H</t>
  </si>
  <si>
    <t>I</t>
  </si>
  <si>
    <t>J</t>
  </si>
  <si>
    <t>K</t>
  </si>
  <si>
    <t>L</t>
  </si>
  <si>
    <t>Xi is binary</t>
  </si>
  <si>
    <t>Xi = 0 if candidate is not selected</t>
  </si>
  <si>
    <t>Xi = 1 if candidate is selected</t>
  </si>
  <si>
    <t xml:space="preserve">Minimize </t>
  </si>
  <si>
    <t>ΣXi</t>
  </si>
  <si>
    <t>Constriants</t>
  </si>
  <si>
    <t>ΣXi*Statistics &gt;= 2</t>
  </si>
  <si>
    <t>ΣXi*ML &gt;= 3</t>
  </si>
  <si>
    <t>ΣXi*WD &gt;= 4</t>
  </si>
  <si>
    <t>ΣXi*DBMS &gt;= 3</t>
  </si>
  <si>
    <t>ΣXi*Cloud &gt;= 2</t>
  </si>
  <si>
    <t>ΣXi*App Development &gt;= 3</t>
  </si>
  <si>
    <t>for</t>
  </si>
  <si>
    <t>i∈{A,B,C,D,E,F,G,H,I,J,K,L}</t>
  </si>
  <si>
    <t>SELECT</t>
  </si>
  <si>
    <t>MINIMIZE</t>
  </si>
  <si>
    <t>S/T Constraints</t>
  </si>
  <si>
    <t>Model</t>
  </si>
  <si>
    <t>ML</t>
  </si>
  <si>
    <t>WD</t>
  </si>
  <si>
    <t>CLOUD</t>
  </si>
  <si>
    <t>APP DEV</t>
  </si>
  <si>
    <t>AI</t>
  </si>
  <si>
    <t>M</t>
  </si>
  <si>
    <t>Σxi*AI &gt;= 1</t>
  </si>
  <si>
    <t>Xi​∈{0,1}∀i</t>
  </si>
  <si>
    <t>Binary Constraint</t>
  </si>
  <si>
    <t>Objective Function</t>
  </si>
  <si>
    <t>Artificial Intelligence (AI)</t>
  </si>
  <si>
    <t>Each candidate may contribute to multiple skill requirements.</t>
  </si>
  <si>
    <t>Task</t>
  </si>
  <si>
    <t>An organization is forming a project team from a pool of 13 candidates (A to M).</t>
  </si>
  <si>
    <t>Each candidate has been evaluated for competency in seven technical skill areas:</t>
  </si>
  <si>
    <t>A value of 1 indicates that the candidate possesses the skill, and 0 indicates that they do not.</t>
  </si>
  <si>
    <t>The project has minimum skill requirements as follows:</t>
  </si>
  <si>
    <t>At least 2 members with Statistics skills</t>
  </si>
  <si>
    <t>At least 3 members with Machine Learning skills</t>
  </si>
  <si>
    <t>At least 4 members with Web Development skills</t>
  </si>
  <si>
    <t>At least 3 members with DBMS skills</t>
  </si>
  <si>
    <t>At least 2 members with Cloud skills</t>
  </si>
  <si>
    <t>At least 2 members with App Development skills</t>
  </si>
  <si>
    <t>At least 1 member with AI skills</t>
  </si>
  <si>
    <t>Candidate M is the only candidate who has AI skills, while other candidates contribute to various combinations of the remaining skills.</t>
  </si>
  <si>
    <t>Select a subset of candidates from A to M such that all the required skill thresholds are met.</t>
  </si>
  <si>
    <t>Ensure that the selection is as small as possible while still satisfying all skill requirements.</t>
  </si>
  <si>
    <t>Justify your selection by clearly explaining how each required skill count is achieved using the chosen candidates.</t>
  </si>
  <si>
    <t>Personalized Offers</t>
  </si>
  <si>
    <t>Faster Onboarding</t>
  </si>
  <si>
    <t>Loyalty Rewards</t>
  </si>
  <si>
    <t>Practive Churn Alerts</t>
  </si>
  <si>
    <t>Prob</t>
  </si>
  <si>
    <t>INSTALL</t>
  </si>
  <si>
    <t>S/ T Constraints</t>
  </si>
  <si>
    <t>REQJUIRED</t>
  </si>
  <si>
    <t xml:space="preserve">Variants: </t>
  </si>
  <si>
    <t>Each location should be served by atleast 2 wifi spots</t>
  </si>
  <si>
    <t>Each location should be served by atleast 3 wifi spots</t>
  </si>
  <si>
    <t>Location L is a jail, min number of wifi spots without serving L</t>
  </si>
  <si>
    <t>COVERAGE PROBLEM</t>
  </si>
  <si>
    <t>A logistics company wants to decide where to open regional distribution hubs to improve last-mile delivery reliability. There are four potential cities where a hub can be opened, and several customer zones that must be served. A hub either operates fully or does not open at all. Each city, if selected, can serve certain customer zones with a known probability of on-time delivery. The company wants to ensure every customer zone is served by at least one open hub, while minimizing the number of hubs opened. The decision variables are binary (open or not open), and the problem is to find the minimum set of hub locations that achieves full coverage.give dataset for this</t>
  </si>
  <si>
    <t>Zone \ Hub</t>
  </si>
  <si>
    <t>H1</t>
  </si>
  <si>
    <t>H2</t>
  </si>
  <si>
    <t>H3</t>
  </si>
  <si>
    <t>H4</t>
  </si>
  <si>
    <t>Z1</t>
  </si>
  <si>
    <t>Z2</t>
  </si>
  <si>
    <t>Z3</t>
  </si>
  <si>
    <t>Z4</t>
  </si>
  <si>
    <t>Z5</t>
  </si>
  <si>
    <t>Z6</t>
  </si>
  <si>
    <t>FACILITIES LOCATION PROBLEMS</t>
  </si>
  <si>
    <t>SET COVERAGE PROBLEMS</t>
  </si>
  <si>
    <t>Salary (S)</t>
  </si>
  <si>
    <t>Select (X)</t>
  </si>
  <si>
    <t>JOB SCHEDULING PROBLEMS</t>
  </si>
  <si>
    <t xml:space="preserve">FACILITY LOCATION </t>
  </si>
  <si>
    <t>KNAP SACK PROBLEM: SELECTION UNDER CAPACITY CONSTRAINTS</t>
  </si>
  <si>
    <t>Σxi</t>
  </si>
  <si>
    <t>hours</t>
  </si>
  <si>
    <t>TOTAL HOURS</t>
  </si>
  <si>
    <t>MIXED INTEGER PROBLEM</t>
  </si>
  <si>
    <t>Binary Nonlinear KNAPSACK PROBLEM</t>
  </si>
  <si>
    <t>A manufacturing firm plans production for the next month and must decide which of two products (Product 1 and Product 2) to set up and how much of each to produce. Producing any quantity of a product requires a fixed setup, costing ₹30,000 for Product 1 and ₹20,000 for Product 2, after which production can occur up to technical limits of 8 units for Product 1 and 12 units for Product 2. Each unit of Product 1 yields a contribution margin of ₹9,000 and requires 2 machine-hours, while each unit of Product 2 yields ₹7,000 and requires 1 machine-hour. The firm has a total of 20 machine-hours available for the month. If a product is not set up, its production quantity must be zero. The firm’s objective is to determine which products to set up and the production quantity of each so as to maximize total profit (total contribution minus setup costs) without exceeding machine-time or capacity limits.</t>
  </si>
  <si>
    <t>SET UP</t>
  </si>
  <si>
    <t>Fixed Cost</t>
  </si>
  <si>
    <t>UNITS</t>
  </si>
  <si>
    <t>UNIT CONST</t>
  </si>
  <si>
    <t>Hours</t>
  </si>
  <si>
    <t>CM/ unit</t>
  </si>
  <si>
    <t>UNITS A</t>
  </si>
  <si>
    <t>UNITS B</t>
  </si>
  <si>
    <t>HOURS</t>
  </si>
  <si>
    <t>BIN</t>
  </si>
  <si>
    <t>INT</t>
  </si>
  <si>
    <t>ASSIGNMENT PROBLEM</t>
  </si>
  <si>
    <t>A manufacturing company operates three plants—Plant A, Plant B, and Plant C—that supply products to four cities: City A, City B, City C, and City D. Plant A has a production capacity of 5,000 units, Plant B can supply 6,000 units, and Plant C can supply 2,500 units. The city-wise demand is 6,000 units for City A, 4,000 units for City B, 2,000 units for City C, and 1,500 units for City D. The cost of transporting one unit from Plant A to Cities A, B, C, and D is ₹3, ₹2, ₹7, and ₹6 respectively; from Plant B to the same cities is ₹7, ₹5, ₹2, and ₹3; and from Plant C is ₹2, ₹5, ₹4, and ₹5. The company must decide how many units to transport from each plant to each city so that all city demands are fully met without exceeding the supply capacity of any plant, while minimizing the total transportation cost.</t>
  </si>
  <si>
    <t>CA</t>
  </si>
  <si>
    <t>CB</t>
  </si>
  <si>
    <t>CC</t>
  </si>
  <si>
    <t>CD</t>
  </si>
  <si>
    <t>PA</t>
  </si>
  <si>
    <t>PB</t>
  </si>
  <si>
    <t>PC</t>
  </si>
  <si>
    <t>MIN</t>
  </si>
  <si>
    <t>BINARY PROBLEMS: LINEAR KNAPSACK</t>
  </si>
  <si>
    <t>NONLINEAR KNAPSACK</t>
  </si>
  <si>
    <t>TRANS-SHIPMENT PROBLEMS</t>
  </si>
  <si>
    <t>Delhi</t>
  </si>
  <si>
    <t>Mumbai</t>
  </si>
  <si>
    <t>Chennai</t>
  </si>
  <si>
    <t>DELHI</t>
  </si>
  <si>
    <t>MUMBAI</t>
  </si>
  <si>
    <t>CHENNAI</t>
  </si>
  <si>
    <t>Z</t>
  </si>
  <si>
    <t>available</t>
  </si>
  <si>
    <t>model</t>
  </si>
  <si>
    <t>Hyderbad</t>
  </si>
  <si>
    <t>top 50</t>
  </si>
  <si>
    <t>next 50</t>
  </si>
  <si>
    <t>last 50</t>
  </si>
  <si>
    <t>Hyderabad</t>
  </si>
  <si>
    <t>Top 50</t>
  </si>
  <si>
    <t>Next 50</t>
  </si>
  <si>
    <t>Last 50</t>
  </si>
  <si>
    <t>Allocation Matrix</t>
  </si>
  <si>
    <t xml:space="preserve">Candidate Choice </t>
  </si>
  <si>
    <t>Available</t>
  </si>
  <si>
    <t>LPP</t>
  </si>
  <si>
    <t xml:space="preserve">S/T </t>
  </si>
  <si>
    <t>=</t>
  </si>
  <si>
    <t>Penalty</t>
  </si>
  <si>
    <t>Penalty Matrix</t>
  </si>
  <si>
    <t>Deviation</t>
  </si>
  <si>
    <t>The Government plans to allocate IAS officers to three state cadres—Delhi, Mumbai, and Hyderabad—based on their rank in the Civil Services Examination. The officers are classified into three rank groups: Top 50, Next 50, and Last 50 candidates. Based on cadre preferences submitted by the candidates, among the Top 50 officers, 10 prefer Delhi, 20 prefer Mumbai, and 20 prefer Hyderabad; among the Next 50, 20 prefer Delhi, 15 prefer Mumbai, and 15 prefer Hyderabad; and among the Last 50, 5 prefer Delhi, 5 prefer Mumbai, and 40 prefer Hyderabad. However, the number of vacancies available is limited to 70 in Delhi, 30 in Mumbai, and 50 in Hyderabad. Since it may not be possible to allot cadres strictly according to preferences due to vacancy constraints, the problem is to formulate a linear programming model to determine the optimal allocation of officers from each rank group to the three cadres while satisfying vacancy constraints and minimizing deviation from candidates’ preferred choices.</t>
  </si>
  <si>
    <t>CANDIDATE PREFERENCE</t>
  </si>
  <si>
    <t>A company has two factories, F1 and F2, supplying goods to two markets, M1 and M2. Factory F1 has a supply of 30 units and Factory F2 has a supply of 20 units. Market M1 requires 25 units and Market M2 requires 25 units. Goods may be shipped directly from factories to markets or via a warehouse W, which acts only as a transshipment point and has no supply or demand of its own. The transportation cost per unit is ₹4 from F1 to W and ₹6 from F2 to W. From W to M1 and M2, the costs are ₹3 and ₹5 per unit respectively. Direct shipment costs are ₹10 from F1 to M1, ₹12 from F1 to M2, ₹11 from F2 to M1, and ₹9 from F2 to M2. The problem is to determine the optimal shipping plan that minimizes the total transportation cost while satisfying all supply and demand requirements.</t>
  </si>
  <si>
    <t>F1</t>
  </si>
  <si>
    <t>F2</t>
  </si>
  <si>
    <t>M1</t>
  </si>
  <si>
    <t>W</t>
  </si>
  <si>
    <t>M2</t>
  </si>
  <si>
    <t>J1</t>
  </si>
  <si>
    <t>J2</t>
  </si>
  <si>
    <t>J3</t>
  </si>
  <si>
    <t>J4</t>
  </si>
  <si>
    <t>TRAVELLING SALESMAN PROBLEM</t>
  </si>
  <si>
    <t>SMALLEST PROCESSING TIME</t>
  </si>
  <si>
    <t>WHICH MACHINE</t>
  </si>
  <si>
    <t>RANK</t>
  </si>
  <si>
    <t>Job</t>
  </si>
  <si>
    <t>Machine A (hrs)</t>
  </si>
  <si>
    <t>Machine B (hrs)</t>
  </si>
  <si>
    <t>J5</t>
  </si>
  <si>
    <t>J6</t>
  </si>
  <si>
    <t>J7</t>
  </si>
  <si>
    <t>J8</t>
  </si>
  <si>
    <t>J9</t>
  </si>
  <si>
    <t>J10</t>
  </si>
  <si>
    <t>Cont.Rank</t>
  </si>
  <si>
    <r>
      <t xml:space="preserve">If </t>
    </r>
    <r>
      <rPr>
        <b/>
        <sz val="11"/>
        <color theme="1"/>
        <rFont val="Calibri"/>
        <family val="2"/>
        <scheme val="minor"/>
      </rPr>
      <t>Min Machine = A</t>
    </r>
    <r>
      <rPr>
        <sz val="11"/>
        <color theme="1"/>
        <rFont val="Calibri"/>
        <family val="2"/>
        <scheme val="minor"/>
      </rPr>
      <t xml:space="preserve"> → place job </t>
    </r>
    <r>
      <rPr>
        <b/>
        <sz val="11"/>
        <color theme="1"/>
        <rFont val="Calibri"/>
        <family val="2"/>
        <scheme val="minor"/>
      </rPr>
      <t>from the left (earliest available position)</t>
    </r>
  </si>
  <si>
    <r>
      <t xml:space="preserve">If </t>
    </r>
    <r>
      <rPr>
        <b/>
        <sz val="11"/>
        <color theme="1"/>
        <rFont val="Calibri"/>
        <family val="2"/>
        <scheme val="minor"/>
      </rPr>
      <t>Min Machine = B</t>
    </r>
    <r>
      <rPr>
        <sz val="11"/>
        <color theme="1"/>
        <rFont val="Calibri"/>
        <family val="2"/>
        <scheme val="minor"/>
      </rPr>
      <t xml:space="preserve"> → place job </t>
    </r>
    <r>
      <rPr>
        <b/>
        <sz val="11"/>
        <color theme="1"/>
        <rFont val="Calibri"/>
        <family val="2"/>
        <scheme val="minor"/>
      </rPr>
      <t>from the right (latest available position)</t>
    </r>
  </si>
  <si>
    <t>j1</t>
  </si>
  <si>
    <t>j9</t>
  </si>
  <si>
    <t>j2</t>
  </si>
  <si>
    <t>j6</t>
  </si>
  <si>
    <t>j4</t>
  </si>
  <si>
    <t>j7</t>
  </si>
  <si>
    <t>j3</t>
  </si>
  <si>
    <t>j5</t>
  </si>
  <si>
    <t>j10</t>
  </si>
  <si>
    <t>j8</t>
  </si>
  <si>
    <t>total time</t>
  </si>
  <si>
    <t>JOHNSON'S RULE</t>
  </si>
  <si>
    <t>DAYS</t>
  </si>
  <si>
    <t>JOB SCHEDULING  PROBLEM</t>
  </si>
  <si>
    <t>JOB</t>
  </si>
  <si>
    <t xml:space="preserve">IF THERE ARE THREE JOBS, </t>
  </si>
  <si>
    <t>X = A+B</t>
  </si>
  <si>
    <t>Y = B+C</t>
  </si>
  <si>
    <t>b</t>
  </si>
  <si>
    <t>BENEFIT</t>
  </si>
  <si>
    <t>BUDGET</t>
  </si>
  <si>
    <t>STAFF</t>
  </si>
  <si>
    <r>
      <t xml:space="preserve">A manufacturing firm must select a subset of six improvement initiatives (A–F) for the coming year. Each initiative yields a benefit and consumes limited budget and skilled staff: A (benefit 18, budget 6, staff 4), B (20, 7, 5), C (14, 5, 3), D (16, 6, 4), E (10, 4, 2), and F (12, 5, 3). The firm has a total budget of 20 units and staff capacity of 14 units. </t>
    </r>
    <r>
      <rPr>
        <sz val="14"/>
        <color rgb="FFFF0000"/>
        <rFont val="Calibri"/>
        <family val="2"/>
        <scheme val="minor"/>
      </rPr>
      <t>Certain initiatives create additional benefits if implemented together: A and B generate an extra 6 units, B and D generate an extra 5 units, and C and E generate an extra 4 units. Each initiative can either be selected or not.</t>
    </r>
    <r>
      <rPr>
        <sz val="14"/>
        <color theme="1"/>
        <rFont val="Calibri"/>
        <family val="2"/>
        <scheme val="minor"/>
      </rPr>
      <t xml:space="preserve"> The objective is to determine which initiatives to select in order to maximize total benefit, including synergy effects, without exceeding the available budget and staff limits.</t>
    </r>
  </si>
  <si>
    <t>OBJ FUN</t>
  </si>
  <si>
    <t>TOTAL COST</t>
  </si>
  <si>
    <t xml:space="preserve">Minimize total cost of transportation </t>
  </si>
  <si>
    <t>COST MATRIX</t>
  </si>
  <si>
    <t>ALLOCATION MATRIX</t>
  </si>
  <si>
    <t>TOTAL COST OF TRANSPORTANTION</t>
  </si>
  <si>
    <t>2. F2 CAN DISTRIBUTE UPTO 20 UNITS</t>
  </si>
  <si>
    <t>1. F1 CAN DISTRIBUTE UPTO 30 UNITS</t>
  </si>
  <si>
    <t>M1 SHOULD GET 25 OR MORE</t>
  </si>
  <si>
    <t>M2 SHOULD GET 25 OR MORE</t>
  </si>
  <si>
    <t>WAREHOUSE INPUT = WAREHOUSE OUTPUT</t>
  </si>
  <si>
    <t>An investment advisory firm is constructing a recommended portfolio from six shortlisted mutual funds—A, B, C, D, E, and F—where each fund can either be fully included or excluded (no fractional allocation is allowed). The objective is to maximize a composite performance index defined as 0.5 × total Growth Score + 0.3 × total Stability Score + 0.2 × total Downside Protection Score. The performance data are as follows: Fund A (Growth 85, Stability 60, Downside Protection 55, Risk Rating 8), Fund B (70, 80, 75, Risk 5), Fund C (90, 50, 45, Risk 9), Fund D (65, 85, 80, Risk 4), Fund E (78, 72, 70, Risk 6), and Fund F (88, 58, 50, Risk 8). The portfolio must satisfy the following conditions: the average Risk Rating of selected funds must not exceed 6.5; at least one high-growth fund (Growth score ≥ 85) must be selected; at least one high-stability fund (Stability score ≥ 80) must be selected; no more than four funds can be included; and Funds C and F cannot both be selected due to concentration risk. Formulate this as a binary integer programming model and determine the optimal combination of funds that maximizes the composite performance index subject to these constraints.</t>
  </si>
  <si>
    <t>required</t>
  </si>
  <si>
    <t>minimize wifispots</t>
  </si>
  <si>
    <t>TRANSPORTATION PROBLEM</t>
  </si>
  <si>
    <t>M3</t>
  </si>
  <si>
    <t>A company operates two manufacturing plants—Plant A with a capacity of 120 units and Plant B with a capacity of 80 units—and must supply three markets: Market 1 (70 units demand), Market 2 (90 units demand), and Market 3 (40 units demand). Products cannot be shipped directly to the markets and must pass through one of two distribution centers, DC X or DC Y, which act as transshipment points with no supply or demand of their own (total inflow must equal total outflow at each DC). The per-unit transportation cost from Plant A to DC X is 4 and to DC Y is 6, while from Plant B to DC X is 5 and to DC Y is 3. From DC X to Market 1, 2, and 3 the costs are 3, 4, and 6 respectively; from DC Y to Market 1, 2, and 3 the costs are 5, 2, and 4 respectively. Formulate the problem graphically (5). Solve the Problem using Solver and write the answer in the booklet (5). Explain the solution graphically (5).</t>
  </si>
  <si>
    <t>Finance</t>
  </si>
  <si>
    <t>Operations</t>
  </si>
  <si>
    <t xml:space="preserve">Marketing </t>
  </si>
  <si>
    <t>Marketing</t>
  </si>
  <si>
    <t>Total Cost</t>
  </si>
  <si>
    <t>An organization is undergoing strategic workforce reallocation following a capability audit. It is identified that Finance has 20 employees available for redeployment, Operations has 30 employees available, and Marketing has 25 employees available due to shifting workload patterns and automation gains. Simultaneously, Finance requires 15 additional employees with analytics expertise, Operations requires 35 employees for process improvement initiatives, and Marketing requires 25 employees to strengthen digital outreach. Employees can be transferred from any one department to another; however, employees released from a department cannot be reassigned back to the same department (self-allocation is not permitted). Each interdepartmental transfer requires retraining based on skill gaps: Finance → Operations = 18 hours, Finance → Marketing = 12 hours; Operations → Finance = 20 hours, Operations → Marketing = 15 hours; Marketing → Finance = 10 hours, Marketing → Operations = 14 hours. The HR director must determine the number of employees to transfer from each department to the others so that all departmental staffing requirements are satisfied without exceeding the available redeployable employees in any department, while minimizing the total retraining hours required. Explain the problem using a diagram (5 Marks) Solve the problem (5 Marks) Explain the solution using diagram (5 Marks)</t>
  </si>
  <si>
    <t>Risk</t>
  </si>
  <si>
    <t>C &amp; F</t>
  </si>
  <si>
    <t>MOVEMENT MATRIX</t>
  </si>
  <si>
    <t>Minimize Total Cost</t>
  </si>
  <si>
    <t>Part 1: Shipping from plant to warehouse</t>
  </si>
  <si>
    <t>Part 2: Shipping from warehouse to markets</t>
  </si>
  <si>
    <t>Movement from Plants to Warehouses</t>
  </si>
  <si>
    <t>Plant A</t>
  </si>
  <si>
    <t>Plant B</t>
  </si>
  <si>
    <t>Movement from Warehouse to Markets</t>
  </si>
  <si>
    <t>Ware house Movements</t>
  </si>
  <si>
    <t>INPUT</t>
  </si>
  <si>
    <t>OUTPUT</t>
  </si>
  <si>
    <t>Cost Matrix</t>
  </si>
  <si>
    <t>Minimize Training Hours</t>
  </si>
  <si>
    <t>Exit</t>
  </si>
  <si>
    <t>Entry</t>
  </si>
  <si>
    <t xml:space="preserve">Operations </t>
  </si>
  <si>
    <t>PENALTY ORIENTED PROBLEMS</t>
  </si>
  <si>
    <t>a</t>
  </si>
  <si>
    <t>c</t>
  </si>
  <si>
    <t>d</t>
  </si>
  <si>
    <t>e</t>
  </si>
  <si>
    <t>f</t>
  </si>
  <si>
    <t>growth</t>
  </si>
  <si>
    <t>stability</t>
  </si>
  <si>
    <t xml:space="preserve">downside protection </t>
  </si>
  <si>
    <t>HGF</t>
  </si>
  <si>
    <t>HSF</t>
  </si>
  <si>
    <t>WT</t>
  </si>
  <si>
    <t>MAXIMIZE:</t>
  </si>
  <si>
    <t xml:space="preserve">GROWTH </t>
  </si>
  <si>
    <t xml:space="preserve">STABILITY </t>
  </si>
  <si>
    <t xml:space="preserve">DSP </t>
  </si>
  <si>
    <t>Total Score</t>
  </si>
  <si>
    <t>no more than 4 funds</t>
  </si>
  <si>
    <t xml:space="preserve">average risk rating </t>
  </si>
  <si>
    <t>atleast 1 high growth fund</t>
  </si>
  <si>
    <t>atleast 1 high stability fund</t>
  </si>
  <si>
    <t>no C &amp; F together</t>
  </si>
  <si>
    <t>LET</t>
  </si>
  <si>
    <t>Q</t>
  </si>
  <si>
    <t>(a*85+b*70+c*90+d*65+e*78+f*88)</t>
  </si>
  <si>
    <t>where Q is total gowth score</t>
  </si>
  <si>
    <t>R</t>
  </si>
  <si>
    <t>(a*60+b*80+c*50+d*85+e*72+f*58)</t>
  </si>
  <si>
    <t>where R is total stability score</t>
  </si>
  <si>
    <t>S</t>
  </si>
  <si>
    <t>(a*55+b*75+c*45+d*80+e*70+f*50)</t>
  </si>
  <si>
    <t>where S is total downside protection score</t>
  </si>
  <si>
    <t xml:space="preserve">objective function </t>
  </si>
  <si>
    <t xml:space="preserve">maximize </t>
  </si>
  <si>
    <t>.5*Q +.3*R + .2*S</t>
  </si>
  <si>
    <t>constraints</t>
  </si>
  <si>
    <t>a + b + d + e + f</t>
  </si>
  <si>
    <t>(a*8+b*5+c*9+d*4+e*6+f*8)/(a+b+c+d+e+f)</t>
  </si>
  <si>
    <t>a+c+f</t>
  </si>
  <si>
    <t>b+d</t>
  </si>
  <si>
    <t>c+f</t>
  </si>
  <si>
    <t>a,b,c,d,e,f</t>
  </si>
  <si>
    <t>belongs to (0,1)</t>
  </si>
  <si>
    <t>10:00-12:00</t>
  </si>
  <si>
    <t>12:00-02:00</t>
  </si>
  <si>
    <t>04:00-06:00</t>
  </si>
  <si>
    <t>06:00-08:00</t>
  </si>
  <si>
    <t>08:00-10:00</t>
  </si>
  <si>
    <t>12:00-06:00</t>
  </si>
  <si>
    <t>SHIFTS</t>
  </si>
  <si>
    <t>02:00-04:00</t>
  </si>
  <si>
    <t>Cost</t>
  </si>
  <si>
    <t>JOB SCHEDULING PROBLEM</t>
  </si>
  <si>
    <t>Cost of Machinary</t>
  </si>
  <si>
    <t>Rent / Month</t>
  </si>
  <si>
    <t>Turnout</t>
  </si>
  <si>
    <t>Ingredients / Month</t>
  </si>
  <si>
    <t>Profit per Shawarma</t>
  </si>
  <si>
    <t>Worst</t>
  </si>
  <si>
    <t>Best</t>
  </si>
  <si>
    <t>Total Revenue</t>
  </si>
  <si>
    <t>Turnout per Month</t>
  </si>
  <si>
    <t>Total Revenue per Year</t>
  </si>
  <si>
    <t>Total Profit</t>
  </si>
  <si>
    <t>random</t>
  </si>
  <si>
    <t>z</t>
  </si>
  <si>
    <t>datapoints</t>
  </si>
  <si>
    <t>questions</t>
  </si>
  <si>
    <t>min profit</t>
  </si>
  <si>
    <t>max profit</t>
  </si>
  <si>
    <t>datapoints &gt;=0</t>
  </si>
  <si>
    <t>probability of breakeven</t>
  </si>
  <si>
    <t>probability of profit &gt; 5 LAKH</t>
  </si>
  <si>
    <t>Probability of loss &gt; 1 LAKH</t>
  </si>
  <si>
    <t>Probability of profit &gt; 3 LAKH</t>
  </si>
  <si>
    <t>Probability of loss &gt; 2 LAKH</t>
  </si>
  <si>
    <t>DC</t>
  </si>
  <si>
    <t>W1</t>
  </si>
  <si>
    <t>W2</t>
  </si>
  <si>
    <t>Transportation Matrix</t>
  </si>
  <si>
    <t>path</t>
  </si>
  <si>
    <t xml:space="preserve">f1-&gt;f2 </t>
  </si>
  <si>
    <t>dc-&gt;w</t>
  </si>
  <si>
    <t>outflow</t>
  </si>
  <si>
    <t xml:space="preserve">f1-&gt; </t>
  </si>
  <si>
    <t>f2-&gt;</t>
  </si>
  <si>
    <t>inflow</t>
  </si>
  <si>
    <t>dc in = dc out</t>
  </si>
  <si>
    <t>w1</t>
  </si>
  <si>
    <t>w2</t>
  </si>
  <si>
    <t>demand</t>
  </si>
  <si>
    <t>sp</t>
  </si>
  <si>
    <t>vc</t>
  </si>
  <si>
    <t>promotion</t>
  </si>
  <si>
    <t>competitor effect</t>
  </si>
  <si>
    <t>A company is launching a new ready-to-drink iced coffee and wants to estimate Year-1 profit using Monte Carlo simulation (5000 runs). Monthly demand varies uniformly between 8,000 and 14,000 bottles; selling price varies uniformly between ₹80 and ₹120 per bottle; and variable cost varies uniformly between ₹50 and ₹70 per bottle. The company selects one of three promotion plans with equal probability (1/3 each): Plan A costs ₹5,00,000 , Plan B costs ₹100000, and Plan C costs ₹150000. In addition, there is a 20% probability of a competitor price war that reduces selling price by ₹10, and an 80% probability that price remains unchanged.  Estimate expected profit, probability of loss, and best and worst simulated outcomes.</t>
  </si>
  <si>
    <t>profit_runs</t>
  </si>
  <si>
    <t>expected profit</t>
  </si>
  <si>
    <t>vc = cost of making one bottle of ice coffee</t>
  </si>
  <si>
    <t>probability of break even</t>
  </si>
  <si>
    <t>best</t>
  </si>
  <si>
    <t>worst</t>
  </si>
  <si>
    <t>Revised SP</t>
  </si>
  <si>
    <t>rand</t>
  </si>
  <si>
    <t>Total_rev</t>
  </si>
  <si>
    <t>probability of profit &gt; 4l</t>
  </si>
  <si>
    <t>bottles</t>
  </si>
  <si>
    <t>Rs / bottle</t>
  </si>
  <si>
    <t>costs</t>
  </si>
  <si>
    <t>value</t>
  </si>
  <si>
    <t>1. promotion</t>
  </si>
  <si>
    <t>2. cost of prod</t>
  </si>
  <si>
    <t xml:space="preserve">promotion cost </t>
  </si>
  <si>
    <t>promotion effect</t>
  </si>
  <si>
    <t>total cost</t>
  </si>
  <si>
    <t>total profit</t>
  </si>
  <si>
    <t>total rev</t>
  </si>
  <si>
    <t>cost of production</t>
  </si>
  <si>
    <t>cost of promotion</t>
  </si>
  <si>
    <t>Subscription price</t>
  </si>
  <si>
    <t>A startup is launching a new fitness mobile app and plans to run a 3 month digitial marketing campagin to acquire paid customers. The company will advertise through 3 channels</t>
  </si>
  <si>
    <t>Operational cost per user</t>
  </si>
  <si>
    <t>Month 2 Retention</t>
  </si>
  <si>
    <t>Month 3 Retention</t>
  </si>
  <si>
    <t>Cost per Click</t>
  </si>
  <si>
    <t>Conversion</t>
  </si>
  <si>
    <t>Monthly Budget</t>
  </si>
  <si>
    <t>channel</t>
  </si>
  <si>
    <t>Budget</t>
  </si>
  <si>
    <t>CPC</t>
  </si>
  <si>
    <t>Conv. Rate</t>
  </si>
  <si>
    <t>Expected Clicks</t>
  </si>
  <si>
    <t>Simulated Clicks</t>
  </si>
  <si>
    <t xml:space="preserve">Simulated Conversion </t>
  </si>
  <si>
    <t>Instagram Ads</t>
  </si>
  <si>
    <t>Google Search Ads</t>
  </si>
  <si>
    <t>Youtube Ads</t>
  </si>
  <si>
    <t xml:space="preserve">Each converted buyer buys a subscription of Rs.500 </t>
  </si>
  <si>
    <t>70% of users renew for month 2, 50% of users renew for month 3</t>
  </si>
  <si>
    <t>Simulated Conversions</t>
  </si>
  <si>
    <t>Operational cost per user per month is 120 Rs</t>
  </si>
  <si>
    <t>Monthly clicks +/= 20%</t>
  </si>
  <si>
    <t>Conversion rate +/- 10%</t>
  </si>
  <si>
    <t>Renewal rate +/- 10%</t>
  </si>
  <si>
    <t>Conversions</t>
  </si>
  <si>
    <t xml:space="preserve">Month 1 </t>
  </si>
  <si>
    <t xml:space="preserve">Month 2 </t>
  </si>
  <si>
    <t>Month 3</t>
  </si>
  <si>
    <t>Total Users</t>
  </si>
  <si>
    <t>Q1</t>
  </si>
  <si>
    <t>Findout expected Profit</t>
  </si>
  <si>
    <t>Q2</t>
  </si>
  <si>
    <t xml:space="preserve">Probaility of Risk </t>
  </si>
  <si>
    <t>Q3</t>
  </si>
  <si>
    <t xml:space="preserve">Probability of Break even </t>
  </si>
  <si>
    <t xml:space="preserve">Simulate total Users </t>
  </si>
  <si>
    <t>Total Operational Cost</t>
  </si>
  <si>
    <t>Q4</t>
  </si>
  <si>
    <t>Probability of Users greater than 2000</t>
  </si>
  <si>
    <t>Total Marketing Budget</t>
  </si>
  <si>
    <t>Q5</t>
  </si>
  <si>
    <t>Simulate Customer Life Time Value</t>
  </si>
  <si>
    <t>You roll two die. If the number is greater than 8 you win. Whats that probability that you win</t>
  </si>
  <si>
    <t xml:space="preserve">you roll a die and you toss a coin. Heads = 2 points, Tail = 1 point. You win if you score more than 6. Whats the probability that you win </t>
  </si>
  <si>
    <t xml:space="preserve">You wrote stats exam and maths exam. You are expecting 70,80 with 10% variation in stats and 20% variation in math. What is your expected total score </t>
  </si>
  <si>
    <t>You are coming with a new product idea. There is 20% chance its rejected, 40% chance its accepted with 1 lakh funding and 40% chance its accepted with 5 lakh funding. If the cost of prototyping is 50k , what is the expected profit</t>
  </si>
  <si>
    <t>employees</t>
  </si>
  <si>
    <t>revenue per day</t>
  </si>
  <si>
    <t>scenario 1</t>
  </si>
  <si>
    <t>scenario 2</t>
  </si>
  <si>
    <t>average profit</t>
  </si>
  <si>
    <t>maximum profit</t>
  </si>
  <si>
    <t>minimum profit</t>
  </si>
  <si>
    <t>number of days with losses</t>
  </si>
  <si>
    <t xml:space="preserve">A mid-sized services company employs 30 customer relationship executives who generate revenue by managing client accounts. Each executive brings in daily revenue depending on client demand and individual productivity. Management has observed that the daily revenue generated per employee varies between ₹4,000 and ₹7,000. At the same time, the daily HR cost per employee, which includes salary allocation, incentives, administrative expenses, and infrastructure support, varies between ₹2,000 and ₹3,500 depending on workload and incentive payouts.
However, due to internal competition for leads and limited managerial supervision, employee productivity tends to decline when the team becomes too large. If the company hires more than 30 employees, the revenue per employee is expected to fall and vary only between ₹3,000 and ₹6,000 per day, while the HR cost range remains the same.
Management is considering hiring 5 additional executives, increasing the workforce from 30 to 35 employees. To support this decision, the HR analytics team wants to run a simulation of 100 working days in Excel where revenue and cost per employee randomly vary within the specified ranges. For each simulated day, they must calculate the total revenue, total HR cost, and daily profit.
You are required to perform the simulation for two scenarios—30 employees and 35 employees—and analyze the average profit, maximum profit, minimum profit, and number of days with losses in each case. Based on the results, recommend whether expanding the workforce to 35 employees would actually improve profitability or reduce it. </t>
  </si>
  <si>
    <t>Malls</t>
  </si>
  <si>
    <t>High street</t>
  </si>
  <si>
    <t>Small stores</t>
  </si>
  <si>
    <t>Min</t>
  </si>
  <si>
    <t>Max</t>
  </si>
  <si>
    <t>Promotion</t>
  </si>
  <si>
    <t>SP</t>
  </si>
  <si>
    <t>Production Cost</t>
  </si>
  <si>
    <t>Daily Operating Cost</t>
  </si>
  <si>
    <t>total customers</t>
  </si>
  <si>
    <t>total footfalls</t>
  </si>
  <si>
    <t>total revenue</t>
  </si>
  <si>
    <t>production cost</t>
  </si>
  <si>
    <t>A beverage company is evaluating the financial viability of launching a new premium energy drink through three retail formats: Mall Stores, High Street Stores, and Small Stores. Under normal conditions, these stores attract 600, 350, and 150 visitors per day respectively. However, daily customer footfall is uncertain and varies by store format. For Mall Stores the number of potential customers fluctuates within ±5% of the average, for High Street Stores within ±10%, and for Small Stores within ±15%. Customer purchase behavior depends on the promotion intensity, which can be Low, Medium, or High, occurring with probabilities of 60%, 10%, and 30% respectively, and resulting in conversion rates of 3%, 6%, and 10%. The drink has a base selling price of ₹150, but the company may offer no discount, a 10% discount, or a 20% discount. The unit production cost varies randomly between ₹20 and ₹30 due to supplier price fluctuations. In addition, the firm incurs a fixed daily operating cost of ₹8,000. Using Excel simulation for 1000 days, estimate the average daily profit and the probability that the business incurs a loss, and advise whether the product launch is financially viable.</t>
  </si>
  <si>
    <t>operating cost</t>
  </si>
  <si>
    <t>profit</t>
  </si>
  <si>
    <t>runs</t>
  </si>
  <si>
    <t>risk probability</t>
  </si>
  <si>
    <t xml:space="preserve">SIMULATION </t>
  </si>
  <si>
    <t>MCDM</t>
  </si>
  <si>
    <t>PERT /CPM</t>
  </si>
  <si>
    <t>INVENTORY MANAGEMENT</t>
  </si>
  <si>
    <t>Anantapuram</t>
  </si>
  <si>
    <t>Patna</t>
  </si>
  <si>
    <t>Mirzapur</t>
  </si>
  <si>
    <t>Chapra</t>
  </si>
  <si>
    <t>Dharmavaram</t>
  </si>
  <si>
    <t>Calicut</t>
  </si>
  <si>
    <t>TOTAL DIST</t>
  </si>
  <si>
    <t>From / To</t>
  </si>
  <si>
    <t>Anantapur</t>
  </si>
  <si>
    <t>Tirupati</t>
  </si>
  <si>
    <t>Warangal</t>
  </si>
  <si>
    <t>Palakkad</t>
  </si>
  <si>
    <t>Darbhanga</t>
  </si>
  <si>
    <t>Pune</t>
  </si>
  <si>
    <t>Goa</t>
  </si>
  <si>
    <t>When the person is drugged machine mistakenly says not drugged as 7% of times</t>
  </si>
  <si>
    <t>When the person is not drugged the machine mistakenly says drugged 3% of times</t>
  </si>
  <si>
    <t>5% of atheletes generally take performance boosters (drugs)</t>
  </si>
  <si>
    <t>AD</t>
  </si>
  <si>
    <t>ACTUALLY DRUGGED</t>
  </si>
  <si>
    <t>ND</t>
  </si>
  <si>
    <t>ACTUALLY NOT DRUGGED</t>
  </si>
  <si>
    <t>MD</t>
  </si>
  <si>
    <t>MACHINE DETECTED AS DRUGGED</t>
  </si>
  <si>
    <t>MND</t>
  </si>
  <si>
    <t>MACHINE DETECTED AS NOT DRUGGED</t>
  </si>
  <si>
    <t>P(MD /ND)</t>
  </si>
  <si>
    <t>P(MND/AD)</t>
  </si>
  <si>
    <t>P(MND/ND)</t>
  </si>
  <si>
    <t>P(MD/AD)</t>
  </si>
  <si>
    <t>P(DRUG)</t>
  </si>
  <si>
    <t>P(ND)</t>
  </si>
  <si>
    <t>P( ND /MND)</t>
  </si>
  <si>
    <t>P(ND/MD)</t>
  </si>
  <si>
    <t>P(AD/MND)</t>
  </si>
  <si>
    <t>P(AD/MD)</t>
  </si>
  <si>
    <t>P(MNDnND)</t>
  </si>
  <si>
    <t>P(MDnND)</t>
  </si>
  <si>
    <t>P(MNDnAD)</t>
  </si>
  <si>
    <t>P(MDnAD)</t>
  </si>
  <si>
    <t>P(MND)</t>
  </si>
  <si>
    <t>P(MD)</t>
  </si>
  <si>
    <t>P(MND* ND)/P(MND)</t>
  </si>
  <si>
    <t>P(ND*MD)/P(MD)</t>
  </si>
  <si>
    <t>P(AD*MND)/P(MND)</t>
  </si>
  <si>
    <t>P(AD*MD)/P(MD)</t>
  </si>
  <si>
    <t>fradulent transactions</t>
  </si>
  <si>
    <t xml:space="preserve">valid transactions </t>
  </si>
  <si>
    <t>P( Detected Fraud /Given Fraud)</t>
  </si>
  <si>
    <t>P( Detected Valid /Given Fraud)</t>
  </si>
  <si>
    <t>P( Detected Fraud / Given Valid)</t>
  </si>
  <si>
    <t>p( Detected Valid / Given Valid)</t>
  </si>
  <si>
    <t>P(Given Fraud  / Detected Fraud)</t>
  </si>
  <si>
    <t>P (Given Valid / Detected Fraud)</t>
  </si>
  <si>
    <t>P ( Given Fraud / Detected Valid)</t>
  </si>
  <si>
    <t>P ( Given Valid / Detected Valid)</t>
  </si>
  <si>
    <t>% GIVEN FRAUD</t>
  </si>
  <si>
    <t>% GIVEN VALID</t>
  </si>
  <si>
    <t>P(A n B) = P(A/B) * P(B)</t>
  </si>
  <si>
    <t>P( Detected Fraud  n Given Fraud)</t>
  </si>
  <si>
    <t>P( Detected Valid n Given Fraud)</t>
  </si>
  <si>
    <t>P( Detected Fraud n Given Valid)</t>
  </si>
  <si>
    <t>p( Detected Valid n Given Valid)</t>
  </si>
  <si>
    <t>P(Detected Fraud)</t>
  </si>
  <si>
    <t>P(Detected Valid)</t>
  </si>
  <si>
    <t>P(GIVEN VALID / DETECTED FRAUD)</t>
  </si>
  <si>
    <t>P(GIVEN FRAUD / DETECTED FRAUD)</t>
  </si>
  <si>
    <t>P(GIVEN VALID / DETECTED VALID)</t>
  </si>
  <si>
    <t>P(GIVEN FRAUD / DETECTED VALID)</t>
  </si>
  <si>
    <t>ACTUAL</t>
  </si>
  <si>
    <t>HP</t>
  </si>
  <si>
    <t>LP</t>
  </si>
  <si>
    <t>PREDICTED</t>
  </si>
  <si>
    <t>P(ACTUAL HP)</t>
  </si>
  <si>
    <t>P(ACTUAL LP)</t>
  </si>
  <si>
    <t>P(PREDICTED HP / ACTUAL HP)</t>
  </si>
  <si>
    <t>P(PREDICTED LP / ACTUAL HP)</t>
  </si>
  <si>
    <t>P(PREDICTED HP / ACTUAL LP)</t>
  </si>
  <si>
    <t>P(PREDICTED LP / ACTUAL LP)</t>
  </si>
  <si>
    <t>P(ACTUAL HP / PREDICTED HP)</t>
  </si>
  <si>
    <t>P(ACTUAL HP / PREDICTED LP)</t>
  </si>
  <si>
    <t>P(ACTUAL LP / PREDICTED HP)</t>
  </si>
  <si>
    <t>P(ACTUAL LP / PREDICTED LP)</t>
  </si>
  <si>
    <t>?</t>
  </si>
  <si>
    <t>-&gt; From the population (here organization)</t>
  </si>
  <si>
    <t>P(PREDICTED HP n ACTUAL HP)</t>
  </si>
  <si>
    <t>P(PREDICTED LP n ACTUAL HP)</t>
  </si>
  <si>
    <t>P(PREDICTED HP n ACTUAL LP)</t>
  </si>
  <si>
    <t>P(PREDICTED LP n ACTUAL LP)</t>
  </si>
  <si>
    <t>P(PREDICTED HP)</t>
  </si>
  <si>
    <t>P(PREDICTED LP)</t>
  </si>
  <si>
    <t>P( ACTUAL LP / PREDICTED 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</si>
</sst>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
    <numFmt numFmtId="167" formatCode="0.000000000000000%"/>
    <numFmt numFmtId="168" formatCode="0.00000000000000000%"/>
  </numFmts>
  <fonts count="12" x14ac:knownFonts="1">
    <font>
      <sz val="11"/>
      <color theme="1"/>
      <name val="Calibri"/>
      <family val="2"/>
      <scheme val="minor"/>
    </font>
    <font>
      <b/>
      <sz val="11"/>
      <color theme="1"/>
      <name val="Calibri"/>
      <family val="2"/>
      <scheme val="minor"/>
    </font>
    <font>
      <sz val="11"/>
      <color theme="1"/>
      <name val="Calibri"/>
      <family val="2"/>
    </font>
    <font>
      <b/>
      <sz val="13.5"/>
      <color theme="1"/>
      <name val="Calibri"/>
      <family val="2"/>
      <scheme val="minor"/>
    </font>
    <font>
      <b/>
      <i/>
      <sz val="11"/>
      <color theme="1"/>
      <name val="Calibri"/>
      <family val="2"/>
      <scheme val="minor"/>
    </font>
    <font>
      <sz val="12"/>
      <color theme="1"/>
      <name val="Calibri"/>
      <family val="2"/>
      <scheme val="minor"/>
    </font>
    <font>
      <sz val="14"/>
      <color theme="1"/>
      <name val="Calibri"/>
      <family val="2"/>
      <scheme val="minor"/>
    </font>
    <font>
      <b/>
      <sz val="18"/>
      <color theme="1"/>
      <name val="Calibri"/>
      <family val="2"/>
      <scheme val="minor"/>
    </font>
    <font>
      <sz val="11"/>
      <color rgb="FFFF0000"/>
      <name val="Calibri"/>
      <family val="2"/>
      <scheme val="minor"/>
    </font>
    <font>
      <b/>
      <sz val="11"/>
      <color rgb="FFFF0000"/>
      <name val="Calibri"/>
      <family val="2"/>
      <scheme val="minor"/>
    </font>
    <font>
      <b/>
      <sz val="16"/>
      <color theme="1"/>
      <name val="Calibri"/>
      <family val="2"/>
      <scheme val="minor"/>
    </font>
    <font>
      <sz val="14"/>
      <color rgb="FFFF000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5"/>
        <bgColor indexed="64"/>
      </patternFill>
    </fill>
    <fill>
      <patternFill patternType="solid">
        <fgColor rgb="FF92D050"/>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86">
    <xf numFmtId="0" fontId="0" fillId="0" borderId="0" xfId="0"/>
    <xf numFmtId="0" fontId="1" fillId="0" borderId="0" xfId="0" applyFont="1"/>
    <xf numFmtId="0" fontId="0" fillId="0" borderId="0" xfId="0" quotePrefix="1"/>
    <xf numFmtId="0" fontId="2" fillId="0" borderId="0" xfId="0" applyFont="1"/>
    <xf numFmtId="0" fontId="3" fillId="0" borderId="0" xfId="0" applyFont="1" applyAlignment="1">
      <alignment vertical="center"/>
    </xf>
    <xf numFmtId="0" fontId="0" fillId="2" borderId="0" xfId="0" applyFill="1"/>
    <xf numFmtId="0" fontId="0" fillId="3" borderId="0" xfId="0" applyFill="1"/>
    <xf numFmtId="0" fontId="0" fillId="4" borderId="0" xfId="0" applyFill="1"/>
    <xf numFmtId="0" fontId="0" fillId="0" borderId="0" xfId="0" applyAlignment="1">
      <alignment horizontal="left" indent="2"/>
    </xf>
    <xf numFmtId="0" fontId="4" fillId="0" borderId="0" xfId="0" applyFont="1" applyAlignment="1">
      <alignment horizontal="left" indent="2"/>
    </xf>
    <xf numFmtId="0" fontId="0" fillId="0" borderId="0" xfId="0" applyBorder="1"/>
    <xf numFmtId="0" fontId="1" fillId="0" borderId="0" xfId="0" applyFont="1" applyAlignment="1">
      <alignment horizontal="center" vertical="center" wrapText="1"/>
    </xf>
    <xf numFmtId="0" fontId="0" fillId="0" borderId="0" xfId="0" applyAlignment="1">
      <alignment vertical="center" wrapText="1"/>
    </xf>
    <xf numFmtId="0" fontId="7"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9" fillId="0" borderId="0" xfId="0" applyFont="1" applyAlignment="1">
      <alignment horizontal="left" vertical="center" indent="1"/>
    </xf>
    <xf numFmtId="0" fontId="8" fillId="0" borderId="0" xfId="0" applyFont="1" applyAlignment="1">
      <alignment horizontal="left" vertical="center" indent="1"/>
    </xf>
    <xf numFmtId="2" fontId="0" fillId="0" borderId="0" xfId="0" applyNumberFormat="1"/>
    <xf numFmtId="2" fontId="0" fillId="0" borderId="5" xfId="0" applyNumberFormat="1" applyBorder="1"/>
    <xf numFmtId="0" fontId="0" fillId="0" borderId="5" xfId="0" applyBorder="1" applyAlignment="1">
      <alignment horizontal="center"/>
    </xf>
    <xf numFmtId="0" fontId="1" fillId="0" borderId="0" xfId="0" applyFont="1" applyAlignment="1">
      <alignment vertical="center" wrapText="1"/>
    </xf>
    <xf numFmtId="0" fontId="0" fillId="0" borderId="0" xfId="0" applyAlignment="1">
      <alignment wrapText="1"/>
    </xf>
    <xf numFmtId="0" fontId="1" fillId="0" borderId="0" xfId="0" applyFont="1" applyAlignment="1">
      <alignment horizontal="center" vertical="center" wrapText="1"/>
    </xf>
    <xf numFmtId="0" fontId="0" fillId="0" borderId="0" xfId="0" applyBorder="1" applyAlignment="1">
      <alignment horizontal="center"/>
    </xf>
    <xf numFmtId="0" fontId="1" fillId="2" borderId="0" xfId="0" applyFont="1" applyFill="1" applyAlignment="1">
      <alignment vertical="center" wrapText="1"/>
    </xf>
    <xf numFmtId="0" fontId="0" fillId="2" borderId="0" xfId="0" applyFill="1" applyAlignment="1">
      <alignment vertical="center" wrapText="1"/>
    </xf>
    <xf numFmtId="0" fontId="0" fillId="0" borderId="0" xfId="0" applyFill="1"/>
    <xf numFmtId="0" fontId="0" fillId="5" borderId="0" xfId="0" applyFill="1"/>
    <xf numFmtId="0" fontId="0" fillId="6" borderId="0" xfId="0" applyFill="1"/>
    <xf numFmtId="0" fontId="0" fillId="0" borderId="6" xfId="0" applyBorder="1" applyAlignment="1">
      <alignment horizontal="center"/>
    </xf>
    <xf numFmtId="0" fontId="0" fillId="0" borderId="5" xfId="0" applyBorder="1"/>
    <xf numFmtId="0" fontId="0" fillId="3" borderId="5" xfId="0" applyFill="1" applyBorder="1"/>
    <xf numFmtId="0" fontId="0" fillId="0" borderId="5" xfId="0" applyFill="1" applyBorder="1"/>
    <xf numFmtId="0" fontId="0" fillId="0" borderId="0" xfId="0" applyAlignment="1">
      <alignment horizontal="center"/>
    </xf>
    <xf numFmtId="0" fontId="0" fillId="0" borderId="0" xfId="0" applyAlignment="1">
      <alignment horizontal="left" vertical="top"/>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top"/>
    </xf>
    <xf numFmtId="0" fontId="0" fillId="0" borderId="0" xfId="0" applyAlignment="1">
      <alignment horizontal="left"/>
    </xf>
    <xf numFmtId="0" fontId="0" fillId="0" borderId="0" xfId="0" applyAlignment="1"/>
    <xf numFmtId="0" fontId="0" fillId="0" borderId="0" xfId="0" applyAlignment="1">
      <alignment horizontal="center"/>
    </xf>
    <xf numFmtId="0" fontId="0" fillId="0" borderId="0" xfId="0" applyAlignment="1">
      <alignment horizontal="center"/>
    </xf>
    <xf numFmtId="0" fontId="0" fillId="0" borderId="0" xfId="0" applyAlignment="1">
      <alignment horizontal="center"/>
    </xf>
    <xf numFmtId="0" fontId="0" fillId="2" borderId="5" xfId="0" applyFill="1" applyBorder="1" applyAlignment="1">
      <alignment horizontal="center"/>
    </xf>
    <xf numFmtId="9" fontId="0" fillId="0" borderId="0" xfId="0" applyNumberFormat="1"/>
    <xf numFmtId="164" fontId="0" fillId="0" borderId="0" xfId="0" applyNumberFormat="1"/>
    <xf numFmtId="0" fontId="1" fillId="0" borderId="0" xfId="0" applyFont="1" applyAlignment="1">
      <alignment horizontal="center" vertical="center" wrapText="1"/>
    </xf>
    <xf numFmtId="0" fontId="1" fillId="0" borderId="0" xfId="0" applyFont="1" applyAlignment="1">
      <alignment horizontal="center" vertical="center" wrapText="1"/>
    </xf>
    <xf numFmtId="0" fontId="0" fillId="0" borderId="5" xfId="0" applyBorder="1" applyAlignment="1">
      <alignment vertical="center" wrapText="1"/>
    </xf>
    <xf numFmtId="0" fontId="1" fillId="0" borderId="0" xfId="0" applyFont="1" applyAlignment="1">
      <alignment horizontal="right" vertical="center" wrapText="1"/>
    </xf>
    <xf numFmtId="0" fontId="0" fillId="0" borderId="5" xfId="0" applyBorder="1" applyAlignment="1">
      <alignment horizontal="right" vertical="center" wrapText="1"/>
    </xf>
    <xf numFmtId="9" fontId="8" fillId="0" borderId="0" xfId="0" applyNumberFormat="1" applyFont="1"/>
    <xf numFmtId="0" fontId="8" fillId="0" borderId="0" xfId="0" applyFon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1" fillId="0" borderId="0" xfId="0" applyFont="1" applyAlignment="1">
      <alignment horizontal="center"/>
    </xf>
    <xf numFmtId="0" fontId="10" fillId="0" borderId="0" xfId="0" applyFont="1" applyAlignment="1">
      <alignment horizontal="center"/>
    </xf>
    <xf numFmtId="0" fontId="6" fillId="0" borderId="0" xfId="0" applyFont="1" applyAlignment="1">
      <alignment horizontal="left" vertical="top" wrapText="1"/>
    </xf>
    <xf numFmtId="0" fontId="5" fillId="0" borderId="0" xfId="0" applyFont="1" applyAlignment="1">
      <alignment horizontal="left" vertical="top" wrapText="1"/>
    </xf>
    <xf numFmtId="0" fontId="6" fillId="5" borderId="1"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7" borderId="1" xfId="0" applyFont="1" applyFill="1" applyBorder="1" applyAlignment="1">
      <alignment horizontal="center" vertical="center"/>
    </xf>
    <xf numFmtId="0" fontId="6" fillId="7" borderId="2" xfId="0" applyFont="1" applyFill="1" applyBorder="1" applyAlignment="1">
      <alignment horizontal="center" vertical="center"/>
    </xf>
    <xf numFmtId="0" fontId="6" fillId="7" borderId="3" xfId="0" applyFont="1" applyFill="1" applyBorder="1" applyAlignment="1">
      <alignment horizontal="center" vertical="center"/>
    </xf>
    <xf numFmtId="0" fontId="6" fillId="7" borderId="4" xfId="0" applyFont="1" applyFill="1" applyBorder="1" applyAlignment="1">
      <alignment horizontal="center" vertical="center"/>
    </xf>
    <xf numFmtId="0" fontId="6" fillId="8" borderId="1" xfId="0" applyFont="1" applyFill="1" applyBorder="1" applyAlignment="1">
      <alignment horizontal="center" vertical="center"/>
    </xf>
    <xf numFmtId="0" fontId="6" fillId="8" borderId="2" xfId="0" applyFont="1" applyFill="1" applyBorder="1" applyAlignment="1">
      <alignment horizontal="center" vertical="center"/>
    </xf>
    <xf numFmtId="0" fontId="6" fillId="8" borderId="3" xfId="0" applyFont="1" applyFill="1" applyBorder="1" applyAlignment="1">
      <alignment horizontal="center" vertical="center"/>
    </xf>
    <xf numFmtId="0" fontId="6" fillId="8" borderId="4"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0" fillId="0" borderId="0" xfId="0" applyAlignment="1">
      <alignment horizontal="center"/>
    </xf>
    <xf numFmtId="0" fontId="0" fillId="0" borderId="0" xfId="0" applyAlignment="1">
      <alignment horizontal="left" vertical="top" wrapText="1"/>
    </xf>
    <xf numFmtId="0" fontId="1" fillId="0" borderId="0" xfId="0" applyFont="1" applyAlignment="1">
      <alignment horizontal="center" vertical="center" wrapText="1"/>
    </xf>
    <xf numFmtId="0" fontId="7" fillId="0" borderId="0" xfId="0" applyFont="1" applyAlignment="1">
      <alignment horizontal="center"/>
    </xf>
    <xf numFmtId="0" fontId="0" fillId="0" borderId="0" xfId="0" applyAlignment="1">
      <alignment horizontal="center"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457200</xdr:colOff>
      <xdr:row>1</xdr:row>
      <xdr:rowOff>114300</xdr:rowOff>
    </xdr:from>
    <xdr:to>
      <xdr:col>7</xdr:col>
      <xdr:colOff>236220</xdr:colOff>
      <xdr:row>26</xdr:row>
      <xdr:rowOff>144780</xdr:rowOff>
    </xdr:to>
    <xdr:sp macro="" textlink="">
      <xdr:nvSpPr>
        <xdr:cNvPr id="3" name="TextBox 2">
          <a:extLst>
            <a:ext uri="{FF2B5EF4-FFF2-40B4-BE49-F238E27FC236}">
              <a16:creationId xmlns:a16="http://schemas.microsoft.com/office/drawing/2014/main" id="{EA51A62A-9676-4DF6-9496-F92B37E7B32A}"/>
            </a:ext>
          </a:extLst>
        </xdr:cNvPr>
        <xdr:cNvSpPr txBox="1"/>
      </xdr:nvSpPr>
      <xdr:spPr>
        <a:xfrm>
          <a:off x="457200" y="297180"/>
          <a:ext cx="4046220" cy="4602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 pizza outlet produces </a:t>
          </a:r>
          <a:r>
            <a:rPr lang="en-US" sz="1600" b="1"/>
            <a:t>Veg Pizzas</a:t>
          </a:r>
          <a:r>
            <a:rPr lang="en-US" sz="1600"/>
            <a:t> and </a:t>
          </a:r>
          <a:r>
            <a:rPr lang="en-US" sz="1600" b="1"/>
            <a:t>Non-Veg Pizzas</a:t>
          </a:r>
          <a:r>
            <a:rPr lang="en-US" sz="1600"/>
            <a:t>. Both types require </a:t>
          </a:r>
          <a:r>
            <a:rPr lang="en-US" sz="1600" b="1"/>
            <a:t>cheese</a:t>
          </a:r>
          <a:r>
            <a:rPr lang="en-US" sz="1600"/>
            <a:t>, </a:t>
          </a:r>
          <a:r>
            <a:rPr lang="en-US" sz="1600" b="1"/>
            <a:t>vegetables</a:t>
          </a:r>
          <a:r>
            <a:rPr lang="en-US" sz="1600"/>
            <a:t>, and </a:t>
          </a:r>
          <a:r>
            <a:rPr lang="en-US" sz="1600" b="1"/>
            <a:t>meat</a:t>
          </a:r>
          <a:r>
            <a:rPr lang="en-US" sz="1600"/>
            <a:t> as ingredients. The availability of ingredients is limited.</a:t>
          </a:r>
        </a:p>
        <a:p>
          <a:r>
            <a:rPr lang="en-US" sz="1600"/>
            <a:t>Each </a:t>
          </a:r>
          <a:r>
            <a:rPr lang="en-US" sz="1600" b="1"/>
            <a:t>Veg Pizza</a:t>
          </a:r>
          <a:r>
            <a:rPr lang="en-US" sz="1600"/>
            <a:t> requires </a:t>
          </a:r>
          <a:r>
            <a:rPr lang="en-US" sz="1600" b="1"/>
            <a:t>100 g of cheese</a:t>
          </a:r>
          <a:r>
            <a:rPr lang="en-US" sz="1600"/>
            <a:t> and </a:t>
          </a:r>
          <a:r>
            <a:rPr lang="en-US" sz="1600" b="1"/>
            <a:t>150 g of vegetables</a:t>
          </a:r>
          <a:r>
            <a:rPr lang="en-US" sz="1600"/>
            <a:t>.</a:t>
          </a:r>
        </a:p>
        <a:p>
          <a:r>
            <a:rPr lang="en-US" sz="1600"/>
            <a:t>Each </a:t>
          </a:r>
          <a:r>
            <a:rPr lang="en-US" sz="1600" b="1"/>
            <a:t>Non-Veg Pizza</a:t>
          </a:r>
          <a:r>
            <a:rPr lang="en-US" sz="1600"/>
            <a:t> requires </a:t>
          </a:r>
          <a:r>
            <a:rPr lang="en-US" sz="1600" b="1"/>
            <a:t>120 g of cheese</a:t>
          </a:r>
          <a:r>
            <a:rPr lang="en-US" sz="1600"/>
            <a:t>, </a:t>
          </a:r>
          <a:r>
            <a:rPr lang="en-US" sz="1600" b="1"/>
            <a:t>80 g of vegetables</a:t>
          </a:r>
          <a:r>
            <a:rPr lang="en-US" sz="1600"/>
            <a:t>, and </a:t>
          </a:r>
          <a:r>
            <a:rPr lang="en-US" sz="1600" b="1"/>
            <a:t>100 g of meat</a:t>
          </a:r>
          <a:r>
            <a:rPr lang="en-US" sz="1600"/>
            <a:t>.</a:t>
          </a:r>
        </a:p>
        <a:p>
          <a:r>
            <a:rPr lang="en-US" sz="1600"/>
            <a:t>The outlet has </a:t>
          </a:r>
          <a:r>
            <a:rPr lang="en-US" sz="1600" b="1"/>
            <a:t>12 kg of cheese</a:t>
          </a:r>
          <a:r>
            <a:rPr lang="en-US" sz="1600"/>
            <a:t>, </a:t>
          </a:r>
          <a:r>
            <a:rPr lang="en-US" sz="1600" b="1"/>
            <a:t>9 kg of vegetables</a:t>
          </a:r>
          <a:r>
            <a:rPr lang="en-US" sz="1600"/>
            <a:t>, and </a:t>
          </a:r>
          <a:r>
            <a:rPr lang="en-US" sz="1600" b="1"/>
            <a:t>4 kg of meat</a:t>
          </a:r>
          <a:r>
            <a:rPr lang="en-US" sz="1600"/>
            <a:t> available per day.</a:t>
          </a:r>
        </a:p>
        <a:p>
          <a:r>
            <a:rPr lang="en-US" sz="1600"/>
            <a:t>The profit earned is:</a:t>
          </a:r>
        </a:p>
        <a:p>
          <a:r>
            <a:rPr lang="en-US" sz="1600" b="1"/>
            <a:t>₹120 per Veg Pizza</a:t>
          </a:r>
          <a:endParaRPr lang="en-US" sz="1600"/>
        </a:p>
        <a:p>
          <a:r>
            <a:rPr lang="en-US" sz="1600" b="1"/>
            <a:t>₹180 per Non-Veg Pizza</a:t>
          </a:r>
          <a:endParaRPr lang="en-US" sz="1600"/>
        </a:p>
        <a:p>
          <a:r>
            <a:rPr lang="en-US" sz="1600"/>
            <a:t>Assuming that all pizzas produced are sold, formulate a </a:t>
          </a:r>
          <a:r>
            <a:rPr lang="en-US" sz="1600" b="1"/>
            <a:t>Linear Programming model</a:t>
          </a:r>
          <a:r>
            <a:rPr lang="en-US" sz="1600"/>
            <a:t> to determine how many veg and non-veg pizzas should be produced daily to </a:t>
          </a:r>
          <a:r>
            <a:rPr lang="en-US" sz="1600" b="1"/>
            <a:t>maximize profit</a:t>
          </a:r>
          <a:r>
            <a:rPr lang="en-US" sz="1600"/>
            <a:t>.</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510540</xdr:colOff>
      <xdr:row>0</xdr:row>
      <xdr:rowOff>167640</xdr:rowOff>
    </xdr:from>
    <xdr:to>
      <xdr:col>7</xdr:col>
      <xdr:colOff>411480</xdr:colOff>
      <xdr:row>27</xdr:row>
      <xdr:rowOff>167640</xdr:rowOff>
    </xdr:to>
    <xdr:sp macro="" textlink="">
      <xdr:nvSpPr>
        <xdr:cNvPr id="3" name="TextBox 2">
          <a:extLst>
            <a:ext uri="{FF2B5EF4-FFF2-40B4-BE49-F238E27FC236}">
              <a16:creationId xmlns:a16="http://schemas.microsoft.com/office/drawing/2014/main" id="{22C5D8B3-3CC9-49C7-99C9-08B3E7F62622}"/>
            </a:ext>
          </a:extLst>
        </xdr:cNvPr>
        <xdr:cNvSpPr txBox="1"/>
      </xdr:nvSpPr>
      <xdr:spPr>
        <a:xfrm>
          <a:off x="4168140" y="167640"/>
          <a:ext cx="4168140" cy="4937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 digital marketing agency offers </a:t>
          </a:r>
          <a:r>
            <a:rPr lang="en-US" sz="1600" b="1"/>
            <a:t>Social Media Campaigns</a:t>
          </a:r>
          <a:r>
            <a:rPr lang="en-US" sz="1600"/>
            <a:t> and </a:t>
          </a:r>
          <a:r>
            <a:rPr lang="en-US" sz="1600" b="1"/>
            <a:t>Google Ad Campaigns</a:t>
          </a:r>
          <a:r>
            <a:rPr lang="en-US" sz="1600"/>
            <a:t> to its clients.</a:t>
          </a:r>
          <a:br>
            <a:rPr lang="en-US" sz="1600"/>
          </a:br>
          <a:r>
            <a:rPr lang="en-US" sz="1600"/>
            <a:t>Both services require </a:t>
          </a:r>
          <a:r>
            <a:rPr lang="en-US" sz="1600" b="1"/>
            <a:t>creative hours</a:t>
          </a:r>
          <a:r>
            <a:rPr lang="en-US" sz="1600"/>
            <a:t> and </a:t>
          </a:r>
          <a:r>
            <a:rPr lang="en-US" sz="1600" b="1"/>
            <a:t>ad management hours</a:t>
          </a:r>
          <a:r>
            <a:rPr lang="en-US" sz="1600"/>
            <a:t>. The agency has limited resources per week.</a:t>
          </a:r>
        </a:p>
        <a:p>
          <a:r>
            <a:rPr lang="en-US" sz="1600"/>
            <a:t>Each </a:t>
          </a:r>
          <a:r>
            <a:rPr lang="en-US" sz="1600" b="1"/>
            <a:t>Social Media Campaign</a:t>
          </a:r>
          <a:r>
            <a:rPr lang="en-US" sz="1600"/>
            <a:t> requires</a:t>
          </a:r>
        </a:p>
        <a:p>
          <a:pPr lvl="1"/>
          <a:r>
            <a:rPr lang="en-US" sz="1600"/>
            <a:t>3 hours of creative work</a:t>
          </a:r>
        </a:p>
        <a:p>
          <a:pPr lvl="1"/>
          <a:r>
            <a:rPr lang="en-US" sz="1600"/>
            <a:t>2 hours of ad management</a:t>
          </a:r>
        </a:p>
        <a:p>
          <a:pPr lvl="1"/>
          <a:r>
            <a:rPr lang="en-US" sz="1600"/>
            <a:t>Profit of ₹4,000 per campaign</a:t>
          </a:r>
        </a:p>
        <a:p>
          <a:r>
            <a:rPr lang="en-US" sz="1600"/>
            <a:t>Each </a:t>
          </a:r>
          <a:r>
            <a:rPr lang="en-US" sz="1600" b="1"/>
            <a:t>Google Ad Campaign</a:t>
          </a:r>
          <a:r>
            <a:rPr lang="en-US" sz="1600"/>
            <a:t> requires</a:t>
          </a:r>
        </a:p>
        <a:p>
          <a:pPr lvl="1"/>
          <a:r>
            <a:rPr lang="en-US" sz="1600"/>
            <a:t>2 hours of creative work</a:t>
          </a:r>
        </a:p>
        <a:p>
          <a:pPr lvl="1"/>
          <a:r>
            <a:rPr lang="en-US" sz="1600"/>
            <a:t>4 hours of ad management</a:t>
          </a:r>
        </a:p>
        <a:p>
          <a:pPr lvl="1"/>
          <a:r>
            <a:rPr lang="en-US" sz="1600"/>
            <a:t>Profit of ₹5,000 per campaign</a:t>
          </a:r>
        </a:p>
        <a:p>
          <a:r>
            <a:rPr lang="en-US" sz="1600"/>
            <a:t>The agency has </a:t>
          </a:r>
          <a:r>
            <a:rPr lang="en-US" sz="1600" b="1"/>
            <a:t>60 creative hours</a:t>
          </a:r>
          <a:r>
            <a:rPr lang="en-US" sz="1600"/>
            <a:t> and </a:t>
          </a:r>
          <a:r>
            <a:rPr lang="en-US" sz="1600" b="1"/>
            <a:t>80 ad management hours</a:t>
          </a:r>
          <a:r>
            <a:rPr lang="en-US" sz="1600"/>
            <a:t> available per week.</a:t>
          </a:r>
        </a:p>
        <a:p>
          <a:r>
            <a:rPr lang="en-US" sz="1600"/>
            <a:t>Assuming all campaigns sold generate profit, formulate a </a:t>
          </a:r>
          <a:r>
            <a:rPr lang="en-US" sz="1600" b="1"/>
            <a:t>Linear Programming model</a:t>
          </a:r>
          <a:r>
            <a:rPr lang="en-US" sz="1600"/>
            <a:t> to maximize weekly profit.</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350520</xdr:colOff>
      <xdr:row>0</xdr:row>
      <xdr:rowOff>91440</xdr:rowOff>
    </xdr:from>
    <xdr:to>
      <xdr:col>8</xdr:col>
      <xdr:colOff>129540</xdr:colOff>
      <xdr:row>29</xdr:row>
      <xdr:rowOff>106680</xdr:rowOff>
    </xdr:to>
    <xdr:sp macro="" textlink="">
      <xdr:nvSpPr>
        <xdr:cNvPr id="2" name="TextBox 1">
          <a:extLst>
            <a:ext uri="{FF2B5EF4-FFF2-40B4-BE49-F238E27FC236}">
              <a16:creationId xmlns:a16="http://schemas.microsoft.com/office/drawing/2014/main" id="{6743873B-4F6F-4EF2-8444-B5D93BD529DE}"/>
            </a:ext>
          </a:extLst>
        </xdr:cNvPr>
        <xdr:cNvSpPr txBox="1"/>
      </xdr:nvSpPr>
      <xdr:spPr>
        <a:xfrm>
          <a:off x="4008120" y="91440"/>
          <a:ext cx="4655820" cy="5318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 premium bar serves the following </a:t>
          </a:r>
          <a:r>
            <a:rPr lang="en-US" sz="1400" b="1"/>
            <a:t>industry-recognized whiskey cocktails</a:t>
          </a:r>
          <a:r>
            <a:rPr lang="en-US" sz="1400"/>
            <a:t> during an evening service:</a:t>
          </a:r>
        </a:p>
        <a:p>
          <a:r>
            <a:rPr lang="en-US" sz="1400" b="1"/>
            <a:t>Whiskey Sour</a:t>
          </a:r>
          <a:r>
            <a:rPr lang="en-US" sz="1400" b="0"/>
            <a:t>,</a:t>
          </a:r>
          <a:r>
            <a:rPr lang="en-US" sz="1400" b="0" baseline="0"/>
            <a:t> </a:t>
          </a:r>
          <a:r>
            <a:rPr lang="en-US" sz="1400" b="1"/>
            <a:t>Whiskey Highball</a:t>
          </a:r>
          <a:r>
            <a:rPr lang="en-US" sz="1400" b="0"/>
            <a:t>,</a:t>
          </a:r>
          <a:r>
            <a:rPr lang="en-US" sz="1400" b="0" baseline="0"/>
            <a:t> </a:t>
          </a:r>
          <a:r>
            <a:rPr lang="en-US" sz="1400" b="1"/>
            <a:t>Old Fashioned</a:t>
          </a:r>
          <a:endParaRPr lang="en-US" sz="1400"/>
        </a:p>
        <a:p>
          <a:r>
            <a:rPr lang="en-US" sz="1400"/>
            <a:t>Each cocktail requires whiskey, mixers, and bartender time. The bar has limited resources for the evening, as given below.</a:t>
          </a:r>
        </a:p>
        <a:p>
          <a:r>
            <a:rPr lang="en-US" sz="1400"/>
            <a:t>A </a:t>
          </a:r>
          <a:r>
            <a:rPr lang="en-US" sz="1400" b="1"/>
            <a:t>Whiskey Sour</a:t>
          </a:r>
          <a:r>
            <a:rPr lang="en-US" sz="1400"/>
            <a:t> requires </a:t>
          </a:r>
          <a:r>
            <a:rPr lang="en-US" sz="1400" b="1"/>
            <a:t>60 ml of whiskey</a:t>
          </a:r>
          <a:r>
            <a:rPr lang="en-US" sz="1400"/>
            <a:t>, </a:t>
          </a:r>
          <a:r>
            <a:rPr lang="en-US" sz="1400" b="1"/>
            <a:t>40 ml of  lemon juice and sugar syrup</a:t>
          </a:r>
          <a:r>
            <a:rPr lang="en-US" sz="1400" b="1" baseline="0"/>
            <a:t> (mixer)</a:t>
          </a:r>
          <a:r>
            <a:rPr lang="en-US" sz="1400"/>
            <a:t>, and </a:t>
          </a:r>
          <a:r>
            <a:rPr lang="en-US" sz="1400" b="1"/>
            <a:t>3 minutes of bartender time</a:t>
          </a:r>
          <a:r>
            <a:rPr lang="en-US" sz="1400"/>
            <a:t>. It yields a profit of </a:t>
          </a:r>
          <a:r>
            <a:rPr lang="en-US" sz="1400" b="1"/>
            <a:t>₹420 per glass</a:t>
          </a:r>
          <a:r>
            <a:rPr lang="en-US" sz="1400"/>
            <a:t>.</a:t>
          </a:r>
        </a:p>
        <a:p>
          <a:r>
            <a:rPr lang="en-US" sz="1400"/>
            <a:t>A </a:t>
          </a:r>
          <a:r>
            <a:rPr lang="en-US" sz="1400" b="1"/>
            <a:t>Whiskey Highball</a:t>
          </a:r>
          <a:r>
            <a:rPr lang="en-US" sz="1400"/>
            <a:t> requires </a:t>
          </a:r>
          <a:r>
            <a:rPr lang="en-US" sz="1400" b="1"/>
            <a:t>60 ml of whiskey</a:t>
          </a:r>
          <a:r>
            <a:rPr lang="en-US" sz="1400"/>
            <a:t>, </a:t>
          </a:r>
          <a:r>
            <a:rPr lang="en-US" sz="1400" b="1"/>
            <a:t>150 ml of soda (mixer)</a:t>
          </a:r>
          <a:r>
            <a:rPr lang="en-US" sz="1400"/>
            <a:t>, and </a:t>
          </a:r>
          <a:r>
            <a:rPr lang="en-US" sz="1400" b="1"/>
            <a:t>2 minutes of bartender time</a:t>
          </a:r>
          <a:r>
            <a:rPr lang="en-US" sz="1400"/>
            <a:t>. It yields a profit of </a:t>
          </a:r>
          <a:r>
            <a:rPr lang="en-US" sz="1400" b="1"/>
            <a:t>₹300 per glass</a:t>
          </a:r>
          <a:r>
            <a:rPr lang="en-US" sz="1400"/>
            <a:t>.</a:t>
          </a:r>
        </a:p>
        <a:p>
          <a:r>
            <a:rPr lang="en-US" sz="1400"/>
            <a:t>An </a:t>
          </a:r>
          <a:r>
            <a:rPr lang="en-US" sz="1400" b="1"/>
            <a:t>Old Fashioned</a:t>
          </a:r>
          <a:r>
            <a:rPr lang="en-US" sz="1400"/>
            <a:t> requires </a:t>
          </a:r>
          <a:r>
            <a:rPr lang="en-US" sz="1400" b="1"/>
            <a:t>60 ml of whiskey</a:t>
          </a:r>
          <a:r>
            <a:rPr lang="en-US" sz="1400"/>
            <a:t>, </a:t>
          </a:r>
          <a:r>
            <a:rPr lang="en-US" sz="1400" b="1"/>
            <a:t>10 ml of sugar syrup (mixer)</a:t>
          </a:r>
          <a:r>
            <a:rPr lang="en-US" sz="1400"/>
            <a:t>, and </a:t>
          </a:r>
          <a:r>
            <a:rPr lang="en-US" sz="1400" b="1"/>
            <a:t>4 minutes of bartender time</a:t>
          </a:r>
          <a:r>
            <a:rPr lang="en-US" sz="1400"/>
            <a:t>. It yields a profit of </a:t>
          </a:r>
          <a:r>
            <a:rPr lang="en-US" sz="1400" b="1"/>
            <a:t>₹480 per glass</a:t>
          </a:r>
          <a:r>
            <a:rPr lang="en-US" sz="1400"/>
            <a:t>.</a:t>
          </a:r>
        </a:p>
        <a:p>
          <a:r>
            <a:rPr lang="en-US" sz="1400"/>
            <a:t>The bar has </a:t>
          </a:r>
          <a:r>
            <a:rPr lang="en-US" sz="1400" b="1"/>
            <a:t>6,000 ml of whiskey</a:t>
          </a:r>
          <a:r>
            <a:rPr lang="en-US" sz="1400"/>
            <a:t>, </a:t>
          </a:r>
          <a:r>
            <a:rPr lang="en-US" sz="1400" b="1"/>
            <a:t>12,000 ml of mixers (including soda, lemon juice, and sugar syrup)</a:t>
          </a:r>
          <a:r>
            <a:rPr lang="en-US" sz="1400"/>
            <a:t>, and </a:t>
          </a:r>
          <a:r>
            <a:rPr lang="en-US" sz="1400" b="1"/>
            <a:t>300 minutes of bartender time</a:t>
          </a:r>
          <a:r>
            <a:rPr lang="en-US" sz="1400"/>
            <a:t> available for the evening.</a:t>
          </a:r>
        </a:p>
        <a:p>
          <a:r>
            <a:rPr lang="en-US" sz="1400"/>
            <a:t>Assuming that all cocktails prepared are sold:</a:t>
          </a:r>
        </a:p>
        <a:p>
          <a:r>
            <a:rPr lang="en-US" sz="1400" b="1"/>
            <a:t>(a)</a:t>
          </a:r>
          <a:r>
            <a:rPr lang="en-US" sz="1400"/>
            <a:t> Define suitable decision variables.</a:t>
          </a:r>
          <a:br>
            <a:rPr lang="en-US" sz="1400"/>
          </a:br>
          <a:r>
            <a:rPr lang="en-US" sz="1400" b="1"/>
            <a:t>(b)</a:t>
          </a:r>
          <a:r>
            <a:rPr lang="en-US" sz="1400"/>
            <a:t> Formulate a </a:t>
          </a:r>
          <a:r>
            <a:rPr lang="en-US" sz="1400" b="1"/>
            <a:t>Linear Programming Problem (LPP)</a:t>
          </a:r>
          <a:r>
            <a:rPr lang="en-US" sz="1400"/>
            <a:t> to </a:t>
          </a:r>
          <a:r>
            <a:rPr lang="en-US" sz="1400" b="1"/>
            <a:t>maximize total profit</a:t>
          </a:r>
          <a:r>
            <a:rPr lang="en-US" sz="1400"/>
            <a:t> subject to the above constraints.</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228600</xdr:colOff>
      <xdr:row>1</xdr:row>
      <xdr:rowOff>7620</xdr:rowOff>
    </xdr:from>
    <xdr:to>
      <xdr:col>8</xdr:col>
      <xdr:colOff>548640</xdr:colOff>
      <xdr:row>23</xdr:row>
      <xdr:rowOff>137160</xdr:rowOff>
    </xdr:to>
    <xdr:sp macro="" textlink="">
      <xdr:nvSpPr>
        <xdr:cNvPr id="2" name="TextBox 1">
          <a:extLst>
            <a:ext uri="{FF2B5EF4-FFF2-40B4-BE49-F238E27FC236}">
              <a16:creationId xmlns:a16="http://schemas.microsoft.com/office/drawing/2014/main" id="{70DD90B8-90EF-4113-A1D0-CDF6D88279FA}"/>
            </a:ext>
          </a:extLst>
        </xdr:cNvPr>
        <xdr:cNvSpPr txBox="1"/>
      </xdr:nvSpPr>
      <xdr:spPr>
        <a:xfrm>
          <a:off x="228600" y="190500"/>
          <a:ext cx="5196840" cy="415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 subscription-based digital service is facing rising customer churn and wants to </a:t>
          </a:r>
          <a:r>
            <a:rPr lang="en-US" sz="1400" b="1"/>
            <a:t>prioritize retention features</a:t>
          </a:r>
          <a:r>
            <a:rPr lang="en-US" sz="1400"/>
            <a:t> for the upcoming development cycle. Management has shortlisted four product features: personalized offers, faster onboarding, loyalty rewards, and proactive churn alerts. Each feature must be </a:t>
          </a:r>
          <a:r>
            <a:rPr lang="en-US" sz="1400" b="1"/>
            <a:t>either fully implemented or not implemented at all</a:t>
          </a:r>
          <a:r>
            <a:rPr lang="en-US" sz="1400"/>
            <a:t>, since partial rollout does not yield measurable retention benefits. Based on historical data and survival analysis, the analytics team has estimated the </a:t>
          </a:r>
          <a:r>
            <a:rPr lang="en-US" sz="1400" b="1"/>
            <a:t>probability of improving customer retention</a:t>
          </a:r>
          <a:r>
            <a:rPr lang="en-US" sz="1400"/>
            <a:t> associated with each feature. At the same time, the engineering team has a strict capacity limit of </a:t>
          </a:r>
          <a:r>
            <a:rPr lang="en-US" sz="1400" b="1"/>
            <a:t>90 total work hours</a:t>
          </a:r>
          <a:r>
            <a:rPr lang="en-US" sz="1400"/>
            <a:t> for the cycle. Implementing personalized offers requires </a:t>
          </a:r>
          <a:r>
            <a:rPr lang="en-US" sz="1400" b="1"/>
            <a:t>40 hours</a:t>
          </a:r>
          <a:r>
            <a:rPr lang="en-US" sz="1400"/>
            <a:t> and is expected to increase retention probability by </a:t>
          </a:r>
          <a:r>
            <a:rPr lang="en-US" sz="1400" b="1"/>
            <a:t>0.09</a:t>
          </a:r>
          <a:r>
            <a:rPr lang="en-US" sz="1400"/>
            <a:t>; faster onboarding requires </a:t>
          </a:r>
          <a:r>
            <a:rPr lang="en-US" sz="1400" b="1"/>
            <a:t>30 hours</a:t>
          </a:r>
          <a:r>
            <a:rPr lang="en-US" sz="1400"/>
            <a:t> with an estimated retention probability of </a:t>
          </a:r>
          <a:r>
            <a:rPr lang="en-US" sz="1400" b="1"/>
            <a:t>0.06</a:t>
          </a:r>
          <a:r>
            <a:rPr lang="en-US" sz="1400"/>
            <a:t>; loyalty rewards require </a:t>
          </a:r>
          <a:r>
            <a:rPr lang="en-US" sz="1400" b="1"/>
            <a:t>50 hours</a:t>
          </a:r>
          <a:r>
            <a:rPr lang="en-US" sz="1400"/>
            <a:t> with an estimated retention probability of </a:t>
          </a:r>
          <a:r>
            <a:rPr lang="en-US" sz="1400" b="1"/>
            <a:t>0.08</a:t>
          </a:r>
          <a:r>
            <a:rPr lang="en-US" sz="1400"/>
            <a:t>; and proactive churn alerts require </a:t>
          </a:r>
          <a:r>
            <a:rPr lang="en-US" sz="1400" b="1"/>
            <a:t>20 hours</a:t>
          </a:r>
          <a:r>
            <a:rPr lang="en-US" sz="1400"/>
            <a:t> with an estimated retention probability of </a:t>
          </a:r>
          <a:r>
            <a:rPr lang="en-US" sz="1400" b="1"/>
            <a:t>0.05</a:t>
          </a:r>
          <a:r>
            <a:rPr lang="en-US" sz="1400"/>
            <a:t>. The decision problem is to select a </a:t>
          </a:r>
          <a:r>
            <a:rPr lang="en-US" sz="1400" b="1"/>
            <a:t>binary combination of features</a:t>
          </a:r>
          <a:r>
            <a:rPr lang="en-US" sz="1400"/>
            <a:t> that maximizes the </a:t>
          </a:r>
          <a:r>
            <a:rPr lang="en-US" sz="1400" b="1"/>
            <a:t>overall expected retention probability</a:t>
          </a:r>
          <a:r>
            <a:rPr lang="en-US" sz="1400"/>
            <a:t> without exceeding the 90-hour constraint.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7620</xdr:colOff>
      <xdr:row>1</xdr:row>
      <xdr:rowOff>137160</xdr:rowOff>
    </xdr:from>
    <xdr:to>
      <xdr:col>7</xdr:col>
      <xdr:colOff>15240</xdr:colOff>
      <xdr:row>13</xdr:row>
      <xdr:rowOff>7620</xdr:rowOff>
    </xdr:to>
    <xdr:sp macro="" textlink="">
      <xdr:nvSpPr>
        <xdr:cNvPr id="2" name="TextBox 1">
          <a:extLst>
            <a:ext uri="{FF2B5EF4-FFF2-40B4-BE49-F238E27FC236}">
              <a16:creationId xmlns:a16="http://schemas.microsoft.com/office/drawing/2014/main" id="{1B3F729D-183B-4161-9DBC-8AFC74ABD860}"/>
            </a:ext>
          </a:extLst>
        </xdr:cNvPr>
        <xdr:cNvSpPr txBox="1"/>
      </xdr:nvSpPr>
      <xdr:spPr>
        <a:xfrm>
          <a:off x="617220" y="320040"/>
          <a:ext cx="3665220" cy="2095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Binary Covering Problem (Maximum Coverage)</a:t>
          </a:r>
        </a:p>
        <a:p>
          <a:r>
            <a:rPr lang="en-US" sz="1400"/>
            <a:t>A municipal corporation wants to place </a:t>
          </a:r>
          <a:r>
            <a:rPr lang="en-US" sz="1400" b="1"/>
            <a:t>public Wi-Fi hotspots</a:t>
          </a:r>
          <a:r>
            <a:rPr lang="en-US" sz="1400"/>
            <a:t> to maximize area coverage. Each</a:t>
          </a:r>
          <a:r>
            <a:rPr lang="en-US" sz="1400" baseline="0"/>
            <a:t> wifi spot can serve all immedite adjecent location. </a:t>
          </a:r>
          <a:r>
            <a:rPr lang="en-US" sz="1400"/>
            <a:t>The decision problem is to choose which hotspot locations to activate (binary decisions) so that the </a:t>
          </a:r>
          <a:r>
            <a:rPr lang="en-US" sz="1400" b="1"/>
            <a:t>maximum number of neighborhoods are covered</a:t>
          </a:r>
          <a:r>
            <a:rPr lang="en-US" sz="1400"/>
            <a:t>, subject to the limit on the number of installations.</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442647</xdr:colOff>
      <xdr:row>4</xdr:row>
      <xdr:rowOff>0</xdr:rowOff>
    </xdr:from>
    <xdr:to>
      <xdr:col>24</xdr:col>
      <xdr:colOff>172795</xdr:colOff>
      <xdr:row>15</xdr:row>
      <xdr:rowOff>126828</xdr:rowOff>
    </xdr:to>
    <xdr:pic>
      <xdr:nvPicPr>
        <xdr:cNvPr id="3" name="Picture 2">
          <a:extLst>
            <a:ext uri="{FF2B5EF4-FFF2-40B4-BE49-F238E27FC236}">
              <a16:creationId xmlns:a16="http://schemas.microsoft.com/office/drawing/2014/main" id="{411680AB-05C7-4C45-A715-5102D5E42815}"/>
            </a:ext>
          </a:extLst>
        </xdr:cNvPr>
        <xdr:cNvPicPr>
          <a:picLocks noChangeAspect="1"/>
        </xdr:cNvPicPr>
      </xdr:nvPicPr>
      <xdr:blipFill>
        <a:blip xmlns:r="http://schemas.openxmlformats.org/officeDocument/2006/relationships" r:embed="rId1"/>
        <a:stretch>
          <a:fillRect/>
        </a:stretch>
      </xdr:blipFill>
      <xdr:spPr>
        <a:xfrm>
          <a:off x="11682147" y="717176"/>
          <a:ext cx="5086560" cy="209906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688650</xdr:colOff>
      <xdr:row>22</xdr:row>
      <xdr:rowOff>160020</xdr:rowOff>
    </xdr:from>
    <xdr:to>
      <xdr:col>17</xdr:col>
      <xdr:colOff>60425</xdr:colOff>
      <xdr:row>42</xdr:row>
      <xdr:rowOff>67556</xdr:rowOff>
    </xdr:to>
    <xdr:pic>
      <xdr:nvPicPr>
        <xdr:cNvPr id="2" name="Picture 1">
          <a:extLst>
            <a:ext uri="{FF2B5EF4-FFF2-40B4-BE49-F238E27FC236}">
              <a16:creationId xmlns:a16="http://schemas.microsoft.com/office/drawing/2014/main" id="{1C5B953B-E7B8-477D-860D-58ED4D810406}"/>
            </a:ext>
          </a:extLst>
        </xdr:cNvPr>
        <xdr:cNvPicPr>
          <a:picLocks noChangeAspect="1"/>
        </xdr:cNvPicPr>
      </xdr:nvPicPr>
      <xdr:blipFill>
        <a:blip xmlns:r="http://schemas.openxmlformats.org/officeDocument/2006/relationships" r:embed="rId1"/>
        <a:stretch>
          <a:fillRect/>
        </a:stretch>
      </xdr:blipFill>
      <xdr:spPr>
        <a:xfrm>
          <a:off x="7249470" y="4183380"/>
          <a:ext cx="5543975" cy="356513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327661</xdr:colOff>
      <xdr:row>18</xdr:row>
      <xdr:rowOff>129540</xdr:rowOff>
    </xdr:from>
    <xdr:to>
      <xdr:col>7</xdr:col>
      <xdr:colOff>579121</xdr:colOff>
      <xdr:row>36</xdr:row>
      <xdr:rowOff>133504</xdr:rowOff>
    </xdr:to>
    <xdr:pic>
      <xdr:nvPicPr>
        <xdr:cNvPr id="2" name="Picture 1">
          <a:extLst>
            <a:ext uri="{FF2B5EF4-FFF2-40B4-BE49-F238E27FC236}">
              <a16:creationId xmlns:a16="http://schemas.microsoft.com/office/drawing/2014/main" id="{E3C1B73F-DF4B-4538-8A2E-633B8BCD34DE}"/>
            </a:ext>
          </a:extLst>
        </xdr:cNvPr>
        <xdr:cNvPicPr>
          <a:picLocks noChangeAspect="1"/>
        </xdr:cNvPicPr>
      </xdr:nvPicPr>
      <xdr:blipFill>
        <a:blip xmlns:r="http://schemas.openxmlformats.org/officeDocument/2006/relationships" r:embed="rId1"/>
        <a:stretch>
          <a:fillRect/>
        </a:stretch>
      </xdr:blipFill>
      <xdr:spPr>
        <a:xfrm>
          <a:off x="327661" y="3421380"/>
          <a:ext cx="4518660" cy="3295804"/>
        </a:xfrm>
        <a:prstGeom prst="rect">
          <a:avLst/>
        </a:prstGeom>
      </xdr:spPr>
    </xdr:pic>
    <xdr:clientData/>
  </xdr:twoCellAnchor>
  <xdr:twoCellAnchor editAs="oneCell">
    <xdr:from>
      <xdr:col>0</xdr:col>
      <xdr:colOff>457200</xdr:colOff>
      <xdr:row>9</xdr:row>
      <xdr:rowOff>102204</xdr:rowOff>
    </xdr:from>
    <xdr:to>
      <xdr:col>8</xdr:col>
      <xdr:colOff>477210</xdr:colOff>
      <xdr:row>13</xdr:row>
      <xdr:rowOff>150647</xdr:rowOff>
    </xdr:to>
    <xdr:pic>
      <xdr:nvPicPr>
        <xdr:cNvPr id="3" name="Picture 2">
          <a:extLst>
            <a:ext uri="{FF2B5EF4-FFF2-40B4-BE49-F238E27FC236}">
              <a16:creationId xmlns:a16="http://schemas.microsoft.com/office/drawing/2014/main" id="{DF397618-1C28-40E1-96BE-42ACD2AE24B1}"/>
            </a:ext>
          </a:extLst>
        </xdr:cNvPr>
        <xdr:cNvPicPr>
          <a:picLocks noChangeAspect="1"/>
        </xdr:cNvPicPr>
      </xdr:nvPicPr>
      <xdr:blipFill>
        <a:blip xmlns:r="http://schemas.openxmlformats.org/officeDocument/2006/relationships" r:embed="rId2"/>
        <a:stretch>
          <a:fillRect/>
        </a:stretch>
      </xdr:blipFill>
      <xdr:spPr>
        <a:xfrm>
          <a:off x="457200" y="1748124"/>
          <a:ext cx="4896810" cy="77996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267970</xdr:colOff>
      <xdr:row>2</xdr:row>
      <xdr:rowOff>47185</xdr:rowOff>
    </xdr:from>
    <xdr:to>
      <xdr:col>17</xdr:col>
      <xdr:colOff>228001</xdr:colOff>
      <xdr:row>16</xdr:row>
      <xdr:rowOff>19050</xdr:rowOff>
    </xdr:to>
    <xdr:pic>
      <xdr:nvPicPr>
        <xdr:cNvPr id="12" name="Picture 11">
          <a:extLst>
            <a:ext uri="{FF2B5EF4-FFF2-40B4-BE49-F238E27FC236}">
              <a16:creationId xmlns:a16="http://schemas.microsoft.com/office/drawing/2014/main" id="{BBB4CF25-D357-4E85-AD22-8742E9488F65}"/>
            </a:ext>
          </a:extLst>
        </xdr:cNvPr>
        <xdr:cNvPicPr>
          <a:picLocks noChangeAspect="1"/>
        </xdr:cNvPicPr>
      </xdr:nvPicPr>
      <xdr:blipFill>
        <a:blip xmlns:r="http://schemas.openxmlformats.org/officeDocument/2006/relationships" r:embed="rId1"/>
        <a:stretch>
          <a:fillRect/>
        </a:stretch>
      </xdr:blipFill>
      <xdr:spPr>
        <a:xfrm>
          <a:off x="4535170" y="415485"/>
          <a:ext cx="5300381" cy="2549965"/>
        </a:xfrm>
        <a:prstGeom prst="rect">
          <a:avLst/>
        </a:prstGeom>
      </xdr:spPr>
    </xdr:pic>
    <xdr:clientData/>
  </xdr:twoCellAnchor>
  <xdr:twoCellAnchor editAs="oneCell">
    <xdr:from>
      <xdr:col>0</xdr:col>
      <xdr:colOff>425218</xdr:colOff>
      <xdr:row>23</xdr:row>
      <xdr:rowOff>165100</xdr:rowOff>
    </xdr:from>
    <xdr:to>
      <xdr:col>8</xdr:col>
      <xdr:colOff>430284</xdr:colOff>
      <xdr:row>36</xdr:row>
      <xdr:rowOff>143682</xdr:rowOff>
    </xdr:to>
    <xdr:pic>
      <xdr:nvPicPr>
        <xdr:cNvPr id="13" name="Picture 12">
          <a:extLst>
            <a:ext uri="{FF2B5EF4-FFF2-40B4-BE49-F238E27FC236}">
              <a16:creationId xmlns:a16="http://schemas.microsoft.com/office/drawing/2014/main" id="{666D0888-1FB9-4AFE-99CF-29078F722F83}"/>
            </a:ext>
          </a:extLst>
        </xdr:cNvPr>
        <xdr:cNvPicPr>
          <a:picLocks noChangeAspect="1"/>
        </xdr:cNvPicPr>
      </xdr:nvPicPr>
      <xdr:blipFill>
        <a:blip xmlns:r="http://schemas.openxmlformats.org/officeDocument/2006/relationships" r:embed="rId2"/>
        <a:stretch>
          <a:fillRect/>
        </a:stretch>
      </xdr:blipFill>
      <xdr:spPr>
        <a:xfrm>
          <a:off x="425218" y="4476750"/>
          <a:ext cx="4881866" cy="237253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14</xdr:col>
      <xdr:colOff>304911</xdr:colOff>
      <xdr:row>3</xdr:row>
      <xdr:rowOff>45720</xdr:rowOff>
    </xdr:from>
    <xdr:to>
      <xdr:col>21</xdr:col>
      <xdr:colOff>591924</xdr:colOff>
      <xdr:row>16</xdr:row>
      <xdr:rowOff>73116</xdr:rowOff>
    </xdr:to>
    <xdr:pic>
      <xdr:nvPicPr>
        <xdr:cNvPr id="2" name="Picture 1">
          <a:extLst>
            <a:ext uri="{FF2B5EF4-FFF2-40B4-BE49-F238E27FC236}">
              <a16:creationId xmlns:a16="http://schemas.microsoft.com/office/drawing/2014/main" id="{C2F006DB-C1BD-4359-8AD0-7E6F1F17AA70}"/>
            </a:ext>
          </a:extLst>
        </xdr:cNvPr>
        <xdr:cNvPicPr>
          <a:picLocks noChangeAspect="1"/>
        </xdr:cNvPicPr>
      </xdr:nvPicPr>
      <xdr:blipFill>
        <a:blip xmlns:r="http://schemas.openxmlformats.org/officeDocument/2006/relationships" r:embed="rId1"/>
        <a:stretch>
          <a:fillRect/>
        </a:stretch>
      </xdr:blipFill>
      <xdr:spPr>
        <a:xfrm>
          <a:off x="10012791" y="594360"/>
          <a:ext cx="4554213" cy="2404836"/>
        </a:xfrm>
        <a:prstGeom prst="rect">
          <a:avLst/>
        </a:prstGeom>
      </xdr:spPr>
    </xdr:pic>
    <xdr:clientData/>
  </xdr:twoCellAnchor>
  <xdr:twoCellAnchor editAs="oneCell">
    <xdr:from>
      <xdr:col>14</xdr:col>
      <xdr:colOff>342122</xdr:colOff>
      <xdr:row>18</xdr:row>
      <xdr:rowOff>22860</xdr:rowOff>
    </xdr:from>
    <xdr:to>
      <xdr:col>21</xdr:col>
      <xdr:colOff>262347</xdr:colOff>
      <xdr:row>31</xdr:row>
      <xdr:rowOff>88425</xdr:rowOff>
    </xdr:to>
    <xdr:pic>
      <xdr:nvPicPr>
        <xdr:cNvPr id="3" name="Picture 2">
          <a:extLst>
            <a:ext uri="{FF2B5EF4-FFF2-40B4-BE49-F238E27FC236}">
              <a16:creationId xmlns:a16="http://schemas.microsoft.com/office/drawing/2014/main" id="{4AA9D1F8-152E-4969-98BF-0581FA3F5F8F}"/>
            </a:ext>
          </a:extLst>
        </xdr:cNvPr>
        <xdr:cNvPicPr>
          <a:picLocks noChangeAspect="1"/>
        </xdr:cNvPicPr>
      </xdr:nvPicPr>
      <xdr:blipFill>
        <a:blip xmlns:r="http://schemas.openxmlformats.org/officeDocument/2006/relationships" r:embed="rId2"/>
        <a:stretch>
          <a:fillRect/>
        </a:stretch>
      </xdr:blipFill>
      <xdr:spPr>
        <a:xfrm>
          <a:off x="10050002" y="3314700"/>
          <a:ext cx="4187425" cy="244300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2</xdr:row>
      <xdr:rowOff>13252</xdr:rowOff>
    </xdr:from>
    <xdr:to>
      <xdr:col>10</xdr:col>
      <xdr:colOff>85203</xdr:colOff>
      <xdr:row>18</xdr:row>
      <xdr:rowOff>51352</xdr:rowOff>
    </xdr:to>
    <xdr:pic>
      <xdr:nvPicPr>
        <xdr:cNvPr id="2" name="Picture 1">
          <a:extLst>
            <a:ext uri="{FF2B5EF4-FFF2-40B4-BE49-F238E27FC236}">
              <a16:creationId xmlns:a16="http://schemas.microsoft.com/office/drawing/2014/main" id="{5CAA923B-F2EF-4C3D-B4DF-71D1F8209B61}"/>
            </a:ext>
          </a:extLst>
        </xdr:cNvPr>
        <xdr:cNvPicPr>
          <a:picLocks noChangeAspect="1"/>
        </xdr:cNvPicPr>
      </xdr:nvPicPr>
      <xdr:blipFill>
        <a:blip xmlns:r="http://schemas.openxmlformats.org/officeDocument/2006/relationships" r:embed="rId1"/>
        <a:stretch>
          <a:fillRect/>
        </a:stretch>
      </xdr:blipFill>
      <xdr:spPr>
        <a:xfrm>
          <a:off x="0" y="384313"/>
          <a:ext cx="6181203" cy="30065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2CDCF-1B0C-4488-A6B3-D4F0817BCF60}">
  <dimension ref="H3:J12"/>
  <sheetViews>
    <sheetView tabSelected="1" topLeftCell="C2" zoomScale="132" workbookViewId="0">
      <selection activeCell="K19" sqref="K19"/>
    </sheetView>
  </sheetViews>
  <sheetFormatPr defaultRowHeight="14.4" x14ac:dyDescent="0.3"/>
  <cols>
    <col min="8" max="8" width="15" customWidth="1"/>
  </cols>
  <sheetData>
    <row r="3" spans="8:10" x14ac:dyDescent="0.3">
      <c r="I3" t="s">
        <v>25</v>
      </c>
      <c r="J3" t="s">
        <v>26</v>
      </c>
    </row>
    <row r="4" spans="8:10" x14ac:dyDescent="0.3">
      <c r="H4" t="s">
        <v>21</v>
      </c>
      <c r="I4">
        <v>2</v>
      </c>
      <c r="J4">
        <v>50</v>
      </c>
    </row>
    <row r="5" spans="8:10" x14ac:dyDescent="0.3">
      <c r="H5" t="s">
        <v>22</v>
      </c>
      <c r="I5">
        <v>3</v>
      </c>
      <c r="J5">
        <v>150</v>
      </c>
    </row>
    <row r="6" spans="8:10" x14ac:dyDescent="0.3">
      <c r="H6" t="s">
        <v>23</v>
      </c>
      <c r="I6">
        <v>1</v>
      </c>
      <c r="J6">
        <v>250</v>
      </c>
    </row>
    <row r="7" spans="8:10" x14ac:dyDescent="0.3">
      <c r="H7" t="s">
        <v>24</v>
      </c>
      <c r="I7">
        <v>2</v>
      </c>
      <c r="J7">
        <v>100</v>
      </c>
    </row>
    <row r="10" spans="8:10" x14ac:dyDescent="0.3">
      <c r="J10">
        <f>I4*J4+I5*J5+I6*J6+I7*J7</f>
        <v>1000</v>
      </c>
    </row>
    <row r="12" spans="8:10" x14ac:dyDescent="0.3">
      <c r="J12">
        <f>SUMPRODUCT(I4:I7,J4:J7)</f>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8945A-C460-4D50-99DB-E5D63EB232E7}">
  <dimension ref="C1:O11"/>
  <sheetViews>
    <sheetView zoomScale="140" zoomScaleNormal="140" workbookViewId="0">
      <selection activeCell="C20" sqref="C20"/>
    </sheetView>
  </sheetViews>
  <sheetFormatPr defaultRowHeight="14.4" x14ac:dyDescent="0.3"/>
  <cols>
    <col min="7" max="7" width="10.6640625" customWidth="1"/>
    <col min="8" max="8" width="10.88671875" customWidth="1"/>
    <col min="9" max="9" width="3.21875" customWidth="1"/>
    <col min="14" max="14" width="12.6640625" customWidth="1"/>
  </cols>
  <sheetData>
    <row r="1" spans="3:15" x14ac:dyDescent="0.3">
      <c r="N1" t="s">
        <v>33</v>
      </c>
      <c r="O1">
        <v>9625</v>
      </c>
    </row>
    <row r="2" spans="3:15" x14ac:dyDescent="0.3">
      <c r="N2" t="s">
        <v>32</v>
      </c>
      <c r="O2">
        <v>8625</v>
      </c>
    </row>
    <row r="3" spans="3:15" x14ac:dyDescent="0.3">
      <c r="D3" t="s">
        <v>0</v>
      </c>
      <c r="E3" t="s">
        <v>0</v>
      </c>
      <c r="N3" t="s">
        <v>34</v>
      </c>
      <c r="O3">
        <v>9075</v>
      </c>
    </row>
    <row r="4" spans="3:15" x14ac:dyDescent="0.3">
      <c r="D4" t="s">
        <v>1</v>
      </c>
      <c r="E4" t="s">
        <v>2</v>
      </c>
      <c r="F4" t="s">
        <v>3</v>
      </c>
      <c r="G4" t="s">
        <v>36</v>
      </c>
      <c r="H4" t="s">
        <v>37</v>
      </c>
      <c r="J4" t="s">
        <v>10</v>
      </c>
      <c r="N4" t="s">
        <v>35</v>
      </c>
      <c r="O4">
        <v>8875</v>
      </c>
    </row>
    <row r="5" spans="3:15" x14ac:dyDescent="0.3">
      <c r="C5" t="s">
        <v>4</v>
      </c>
      <c r="D5">
        <v>1000</v>
      </c>
      <c r="E5">
        <v>0</v>
      </c>
      <c r="F5">
        <v>1100</v>
      </c>
      <c r="G5">
        <v>2</v>
      </c>
      <c r="H5">
        <v>0</v>
      </c>
      <c r="J5" t="s">
        <v>27</v>
      </c>
      <c r="L5">
        <f>SUMPRODUCT(F5:F7,G5:G7)</f>
        <v>8875</v>
      </c>
    </row>
    <row r="6" spans="3:15" x14ac:dyDescent="0.3">
      <c r="C6" t="s">
        <v>5</v>
      </c>
      <c r="D6">
        <v>750</v>
      </c>
      <c r="E6">
        <v>250</v>
      </c>
      <c r="F6">
        <v>800</v>
      </c>
      <c r="G6">
        <v>8</v>
      </c>
      <c r="H6">
        <v>10.666666666666666</v>
      </c>
    </row>
    <row r="7" spans="3:15" x14ac:dyDescent="0.3">
      <c r="C7" t="s">
        <v>6</v>
      </c>
      <c r="D7">
        <v>0</v>
      </c>
      <c r="E7">
        <v>1000</v>
      </c>
      <c r="F7">
        <v>275</v>
      </c>
      <c r="G7">
        <v>1</v>
      </c>
      <c r="H7">
        <v>0.33333333333333348</v>
      </c>
      <c r="J7" t="s">
        <v>11</v>
      </c>
      <c r="L7" t="s">
        <v>29</v>
      </c>
      <c r="N7" t="s">
        <v>30</v>
      </c>
    </row>
    <row r="8" spans="3:15" x14ac:dyDescent="0.3">
      <c r="J8" t="s">
        <v>28</v>
      </c>
      <c r="L8">
        <f>SUMPRODUCT(D5:D7,G5:G7)</f>
        <v>8000</v>
      </c>
      <c r="M8" t="s">
        <v>12</v>
      </c>
      <c r="N8">
        <v>8000</v>
      </c>
    </row>
    <row r="9" spans="3:15" x14ac:dyDescent="0.3">
      <c r="J9" t="s">
        <v>31</v>
      </c>
      <c r="L9">
        <f>SUMPRODUCT(E5:E7,G5:G7)</f>
        <v>3000</v>
      </c>
      <c r="M9" t="s">
        <v>12</v>
      </c>
      <c r="N9">
        <v>3000</v>
      </c>
    </row>
    <row r="10" spans="3:15" x14ac:dyDescent="0.3">
      <c r="D10" t="s">
        <v>1</v>
      </c>
      <c r="E10" t="s">
        <v>2</v>
      </c>
    </row>
    <row r="11" spans="3:15" x14ac:dyDescent="0.3">
      <c r="C11" t="s">
        <v>7</v>
      </c>
      <c r="D11">
        <v>8</v>
      </c>
      <c r="E11">
        <v>3</v>
      </c>
      <c r="F11"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D11FB-05AC-40FE-AEA3-3DADBF460476}">
  <dimension ref="M3:S34"/>
  <sheetViews>
    <sheetView topLeftCell="A10" workbookViewId="0">
      <selection activeCell="S28" sqref="S28"/>
    </sheetView>
  </sheetViews>
  <sheetFormatPr defaultRowHeight="14.4" x14ac:dyDescent="0.3"/>
  <sheetData>
    <row r="3" spans="13:19" x14ac:dyDescent="0.3">
      <c r="N3">
        <v>12000</v>
      </c>
      <c r="O3">
        <v>9000</v>
      </c>
      <c r="P3">
        <v>4000</v>
      </c>
    </row>
    <row r="4" spans="13:19" x14ac:dyDescent="0.3">
      <c r="N4" t="s">
        <v>38</v>
      </c>
      <c r="O4" t="s">
        <v>39</v>
      </c>
      <c r="P4" t="s">
        <v>40</v>
      </c>
      <c r="Q4" t="s">
        <v>9</v>
      </c>
      <c r="R4" t="s">
        <v>48</v>
      </c>
    </row>
    <row r="5" spans="13:19" x14ac:dyDescent="0.3">
      <c r="M5" t="s">
        <v>41</v>
      </c>
      <c r="N5">
        <v>100</v>
      </c>
      <c r="O5">
        <v>150</v>
      </c>
      <c r="P5">
        <v>0</v>
      </c>
      <c r="Q5">
        <v>38</v>
      </c>
      <c r="R5">
        <v>120</v>
      </c>
    </row>
    <row r="6" spans="13:19" x14ac:dyDescent="0.3">
      <c r="M6" t="s">
        <v>42</v>
      </c>
      <c r="N6">
        <v>120</v>
      </c>
      <c r="O6">
        <v>80</v>
      </c>
      <c r="P6">
        <v>100</v>
      </c>
      <c r="Q6">
        <v>40</v>
      </c>
      <c r="R6">
        <v>180</v>
      </c>
    </row>
    <row r="9" spans="13:19" x14ac:dyDescent="0.3">
      <c r="Q9" t="s">
        <v>29</v>
      </c>
      <c r="S9" t="s">
        <v>44</v>
      </c>
    </row>
    <row r="10" spans="13:19" x14ac:dyDescent="0.3">
      <c r="M10" t="s">
        <v>43</v>
      </c>
      <c r="Q10">
        <f>SUMPRODUCT(Q5:Q6,N5:N6)</f>
        <v>8600</v>
      </c>
      <c r="R10" t="s">
        <v>45</v>
      </c>
      <c r="S10">
        <v>12000</v>
      </c>
    </row>
    <row r="11" spans="13:19" x14ac:dyDescent="0.3">
      <c r="M11" t="s">
        <v>46</v>
      </c>
      <c r="Q11">
        <f>SUMPRODUCT(Q5:Q6,O5:O6)</f>
        <v>8900</v>
      </c>
      <c r="R11" t="s">
        <v>45</v>
      </c>
      <c r="S11">
        <v>9000</v>
      </c>
    </row>
    <row r="12" spans="13:19" x14ac:dyDescent="0.3">
      <c r="M12" t="s">
        <v>47</v>
      </c>
      <c r="Q12">
        <f>SUMPRODUCT(P5:P6,Q5:Q6)</f>
        <v>4000</v>
      </c>
      <c r="R12" t="s">
        <v>45</v>
      </c>
      <c r="S12">
        <v>4000</v>
      </c>
    </row>
    <row r="14" spans="13:19" x14ac:dyDescent="0.3">
      <c r="M14" t="s">
        <v>49</v>
      </c>
    </row>
    <row r="15" spans="13:19" x14ac:dyDescent="0.3">
      <c r="M15" t="s">
        <v>50</v>
      </c>
      <c r="P15">
        <f>SUMPRODUCT(R5:R6,Q5:Q6)</f>
        <v>11760</v>
      </c>
    </row>
    <row r="17" spans="13:15" x14ac:dyDescent="0.3">
      <c r="M17" s="1" t="s">
        <v>51</v>
      </c>
    </row>
    <row r="18" spans="13:15" x14ac:dyDescent="0.3">
      <c r="M18" t="s">
        <v>123</v>
      </c>
    </row>
    <row r="19" spans="13:15" x14ac:dyDescent="0.3">
      <c r="N19" t="s">
        <v>52</v>
      </c>
      <c r="O19" s="2" t="s">
        <v>53</v>
      </c>
    </row>
    <row r="20" spans="13:15" x14ac:dyDescent="0.3">
      <c r="N20" t="s">
        <v>54</v>
      </c>
      <c r="O20" s="2" t="s">
        <v>55</v>
      </c>
    </row>
    <row r="22" spans="13:15" x14ac:dyDescent="0.3">
      <c r="M22" t="s">
        <v>56</v>
      </c>
    </row>
    <row r="23" spans="13:15" x14ac:dyDescent="0.3">
      <c r="N23" t="s">
        <v>57</v>
      </c>
      <c r="O23" t="s">
        <v>58</v>
      </c>
    </row>
    <row r="26" spans="13:15" x14ac:dyDescent="0.3">
      <c r="M26" t="s">
        <v>59</v>
      </c>
    </row>
    <row r="27" spans="13:15" x14ac:dyDescent="0.3">
      <c r="N27" t="s">
        <v>60</v>
      </c>
      <c r="O27" t="s">
        <v>61</v>
      </c>
    </row>
    <row r="28" spans="13:15" x14ac:dyDescent="0.3">
      <c r="N28" t="s">
        <v>62</v>
      </c>
      <c r="O28" t="s">
        <v>63</v>
      </c>
    </row>
    <row r="29" spans="13:15" x14ac:dyDescent="0.3">
      <c r="N29" t="s">
        <v>64</v>
      </c>
      <c r="O29" t="s">
        <v>65</v>
      </c>
    </row>
    <row r="30" spans="13:15" x14ac:dyDescent="0.3">
      <c r="N30" t="s">
        <v>66</v>
      </c>
    </row>
    <row r="31" spans="13:15" x14ac:dyDescent="0.3">
      <c r="O31" t="s">
        <v>68</v>
      </c>
    </row>
    <row r="32" spans="13:15" x14ac:dyDescent="0.3">
      <c r="O32" t="s">
        <v>67</v>
      </c>
    </row>
    <row r="33" spans="14:15" x14ac:dyDescent="0.3">
      <c r="N33" t="s">
        <v>121</v>
      </c>
    </row>
    <row r="34" spans="14:15" x14ac:dyDescent="0.3">
      <c r="O34" t="s">
        <v>122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1DD09-AC56-4582-97E3-E02F9BC3484C}">
  <dimension ref="J2:N33"/>
  <sheetViews>
    <sheetView workbookViewId="0">
      <selection activeCell="J15" sqref="J15"/>
    </sheetView>
  </sheetViews>
  <sheetFormatPr defaultRowHeight="14.4" x14ac:dyDescent="0.3"/>
  <cols>
    <col min="10" max="10" width="15.77734375" customWidth="1"/>
  </cols>
  <sheetData>
    <row r="2" spans="10:14" x14ac:dyDescent="0.3">
      <c r="K2">
        <v>60</v>
      </c>
      <c r="L2">
        <v>80</v>
      </c>
    </row>
    <row r="3" spans="10:14" x14ac:dyDescent="0.3">
      <c r="K3" t="s">
        <v>89</v>
      </c>
      <c r="L3" t="s">
        <v>90</v>
      </c>
      <c r="M3" t="s">
        <v>9</v>
      </c>
      <c r="N3" t="s">
        <v>48</v>
      </c>
    </row>
    <row r="4" spans="10:14" x14ac:dyDescent="0.3">
      <c r="J4" t="s">
        <v>87</v>
      </c>
      <c r="K4">
        <v>3</v>
      </c>
      <c r="L4">
        <v>2</v>
      </c>
      <c r="M4">
        <v>10</v>
      </c>
      <c r="N4">
        <v>4000</v>
      </c>
    </row>
    <row r="5" spans="10:14" x14ac:dyDescent="0.3">
      <c r="J5" t="s">
        <v>88</v>
      </c>
      <c r="K5">
        <v>2</v>
      </c>
      <c r="L5">
        <v>4</v>
      </c>
      <c r="M5">
        <v>15</v>
      </c>
      <c r="N5">
        <v>5000</v>
      </c>
    </row>
    <row r="8" spans="10:14" x14ac:dyDescent="0.3">
      <c r="J8" t="s">
        <v>10</v>
      </c>
      <c r="L8" t="s">
        <v>50</v>
      </c>
      <c r="N8">
        <f>SUMPRODUCT(M4:M5,N4:N5)</f>
        <v>115000</v>
      </c>
    </row>
    <row r="10" spans="10:14" x14ac:dyDescent="0.3">
      <c r="J10" t="s">
        <v>11</v>
      </c>
      <c r="L10" t="s">
        <v>29</v>
      </c>
      <c r="N10" t="s">
        <v>44</v>
      </c>
    </row>
    <row r="11" spans="10:14" x14ac:dyDescent="0.3">
      <c r="J11" t="s">
        <v>92</v>
      </c>
      <c r="L11">
        <f>SUMPRODUCT(M4:M5,K4:K5)</f>
        <v>60</v>
      </c>
      <c r="M11" t="s">
        <v>45</v>
      </c>
      <c r="N11">
        <v>60</v>
      </c>
    </row>
    <row r="12" spans="10:14" x14ac:dyDescent="0.3">
      <c r="J12" t="s">
        <v>93</v>
      </c>
      <c r="L12">
        <f>SUMPRODUCT(M4:M5,L4:L5)</f>
        <v>80</v>
      </c>
      <c r="M12" t="s">
        <v>45</v>
      </c>
      <c r="N12">
        <v>80</v>
      </c>
    </row>
    <row r="14" spans="10:14" x14ac:dyDescent="0.3">
      <c r="J14" t="s">
        <v>108</v>
      </c>
    </row>
    <row r="16" spans="10:14" x14ac:dyDescent="0.3">
      <c r="K16" t="s">
        <v>94</v>
      </c>
    </row>
    <row r="17" spans="10:13" x14ac:dyDescent="0.3">
      <c r="K17" t="s">
        <v>95</v>
      </c>
    </row>
    <row r="19" spans="10:13" x14ac:dyDescent="0.3">
      <c r="J19" t="s">
        <v>85</v>
      </c>
    </row>
    <row r="21" spans="10:13" x14ac:dyDescent="0.3">
      <c r="K21" t="s">
        <v>96</v>
      </c>
    </row>
    <row r="23" spans="10:13" x14ac:dyDescent="0.3">
      <c r="J23" t="s">
        <v>11</v>
      </c>
    </row>
    <row r="25" spans="10:13" x14ac:dyDescent="0.3">
      <c r="K25" t="s">
        <v>97</v>
      </c>
      <c r="M25" t="s">
        <v>69</v>
      </c>
    </row>
    <row r="26" spans="10:13" x14ac:dyDescent="0.3">
      <c r="K26" t="s">
        <v>98</v>
      </c>
      <c r="M26" t="s">
        <v>70</v>
      </c>
    </row>
    <row r="28" spans="10:13" x14ac:dyDescent="0.3">
      <c r="K28" t="s">
        <v>99</v>
      </c>
    </row>
    <row r="29" spans="10:13" x14ac:dyDescent="0.3">
      <c r="K29" t="s">
        <v>68</v>
      </c>
    </row>
    <row r="30" spans="10:13" x14ac:dyDescent="0.3">
      <c r="K30" t="s">
        <v>67</v>
      </c>
    </row>
    <row r="32" spans="10:13" x14ac:dyDescent="0.3">
      <c r="K32" t="s">
        <v>86</v>
      </c>
    </row>
    <row r="33" spans="11:11" x14ac:dyDescent="0.3">
      <c r="K33" t="s">
        <v>100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BED5D-E86A-42F1-965A-7FB30AAEF259}">
  <dimension ref="J2:O38"/>
  <sheetViews>
    <sheetView workbookViewId="0">
      <selection activeCell="I1" sqref="I1"/>
    </sheetView>
  </sheetViews>
  <sheetFormatPr defaultRowHeight="14.4" x14ac:dyDescent="0.3"/>
  <cols>
    <col min="10" max="10" width="17.5546875" customWidth="1"/>
  </cols>
  <sheetData>
    <row r="2" spans="10:15" x14ac:dyDescent="0.3">
      <c r="K2">
        <v>6000</v>
      </c>
      <c r="L2">
        <v>12000</v>
      </c>
      <c r="M2">
        <v>300</v>
      </c>
    </row>
    <row r="3" spans="10:15" x14ac:dyDescent="0.3">
      <c r="K3" t="s">
        <v>104</v>
      </c>
      <c r="L3" t="s">
        <v>105</v>
      </c>
      <c r="M3" t="s">
        <v>106</v>
      </c>
      <c r="N3" t="s">
        <v>9</v>
      </c>
      <c r="O3" t="s">
        <v>48</v>
      </c>
    </row>
    <row r="4" spans="10:15" x14ac:dyDescent="0.3">
      <c r="J4" t="s">
        <v>101</v>
      </c>
      <c r="K4">
        <v>60</v>
      </c>
      <c r="L4">
        <v>40</v>
      </c>
      <c r="M4">
        <v>3</v>
      </c>
      <c r="N4">
        <v>100</v>
      </c>
      <c r="O4">
        <v>420</v>
      </c>
    </row>
    <row r="5" spans="10:15" x14ac:dyDescent="0.3">
      <c r="J5" t="s">
        <v>102</v>
      </c>
      <c r="K5">
        <v>60</v>
      </c>
      <c r="L5">
        <v>150</v>
      </c>
      <c r="M5">
        <v>2</v>
      </c>
      <c r="N5">
        <v>0</v>
      </c>
      <c r="O5">
        <v>300</v>
      </c>
    </row>
    <row r="6" spans="10:15" x14ac:dyDescent="0.3">
      <c r="J6" t="s">
        <v>103</v>
      </c>
      <c r="K6">
        <v>60</v>
      </c>
      <c r="L6">
        <v>10</v>
      </c>
      <c r="M6">
        <v>4</v>
      </c>
      <c r="N6">
        <v>0</v>
      </c>
      <c r="O6">
        <v>480</v>
      </c>
    </row>
    <row r="8" spans="10:15" x14ac:dyDescent="0.3">
      <c r="J8" t="s">
        <v>85</v>
      </c>
    </row>
    <row r="9" spans="10:15" x14ac:dyDescent="0.3">
      <c r="K9" t="s">
        <v>91</v>
      </c>
      <c r="L9">
        <f>SUMPRODUCT(N4:N6,O4:O6)</f>
        <v>42000</v>
      </c>
    </row>
    <row r="11" spans="10:15" x14ac:dyDescent="0.3">
      <c r="J11" t="s">
        <v>11</v>
      </c>
    </row>
    <row r="12" spans="10:15" x14ac:dyDescent="0.3">
      <c r="K12" t="s">
        <v>104</v>
      </c>
      <c r="L12">
        <f>SUMPRODUCT(N4:N6,K4:K6)</f>
        <v>6000</v>
      </c>
      <c r="M12" t="s">
        <v>45</v>
      </c>
      <c r="N12">
        <v>6000</v>
      </c>
    </row>
    <row r="13" spans="10:15" x14ac:dyDescent="0.3">
      <c r="K13" t="s">
        <v>105</v>
      </c>
      <c r="L13">
        <f>SUMPRODUCT(N4:N6,L4:L6)</f>
        <v>4000</v>
      </c>
      <c r="M13" t="s">
        <v>45</v>
      </c>
      <c r="N13">
        <v>12000</v>
      </c>
    </row>
    <row r="14" spans="10:15" x14ac:dyDescent="0.3">
      <c r="K14" t="s">
        <v>106</v>
      </c>
      <c r="L14">
        <f>SUMPRODUCT(N4:N6,M4:M6)</f>
        <v>300</v>
      </c>
      <c r="M14" t="s">
        <v>45</v>
      </c>
      <c r="N14">
        <v>300</v>
      </c>
    </row>
    <row r="17" spans="10:12" x14ac:dyDescent="0.3">
      <c r="J17" t="s">
        <v>107</v>
      </c>
    </row>
    <row r="19" spans="10:12" x14ac:dyDescent="0.3">
      <c r="J19" t="s">
        <v>108</v>
      </c>
    </row>
    <row r="20" spans="10:12" x14ac:dyDescent="0.3">
      <c r="K20" t="s">
        <v>109</v>
      </c>
    </row>
    <row r="21" spans="10:12" x14ac:dyDescent="0.3">
      <c r="K21" t="s">
        <v>110</v>
      </c>
    </row>
    <row r="22" spans="10:12" x14ac:dyDescent="0.3">
      <c r="K22" t="s">
        <v>111</v>
      </c>
    </row>
    <row r="24" spans="10:12" x14ac:dyDescent="0.3">
      <c r="J24" t="s">
        <v>85</v>
      </c>
    </row>
    <row r="25" spans="10:12" x14ac:dyDescent="0.3">
      <c r="K25" t="s">
        <v>112</v>
      </c>
    </row>
    <row r="27" spans="10:12" x14ac:dyDescent="0.3">
      <c r="J27" t="s">
        <v>11</v>
      </c>
    </row>
    <row r="28" spans="10:12" x14ac:dyDescent="0.3">
      <c r="K28" t="s">
        <v>104</v>
      </c>
      <c r="L28" t="s">
        <v>114</v>
      </c>
    </row>
    <row r="29" spans="10:12" x14ac:dyDescent="0.3">
      <c r="K29" t="s">
        <v>105</v>
      </c>
      <c r="L29" t="s">
        <v>115</v>
      </c>
    </row>
    <row r="30" spans="10:12" x14ac:dyDescent="0.3">
      <c r="K30" t="s">
        <v>113</v>
      </c>
      <c r="L30" t="s">
        <v>116</v>
      </c>
    </row>
    <row r="32" spans="10:12" x14ac:dyDescent="0.3">
      <c r="K32" t="s">
        <v>117</v>
      </c>
    </row>
    <row r="33" spans="11:11" x14ac:dyDescent="0.3">
      <c r="K33" t="s">
        <v>118</v>
      </c>
    </row>
    <row r="34" spans="11:11" x14ac:dyDescent="0.3">
      <c r="K34" t="s">
        <v>71</v>
      </c>
    </row>
    <row r="35" spans="11:11" x14ac:dyDescent="0.3">
      <c r="K35" t="s">
        <v>119</v>
      </c>
    </row>
    <row r="37" spans="11:11" x14ac:dyDescent="0.3">
      <c r="K37" t="s">
        <v>86</v>
      </c>
    </row>
    <row r="38" spans="11:11" x14ac:dyDescent="0.3">
      <c r="K38" t="s">
        <v>120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F6C0D-5A17-4214-B0C3-CE125D10BFBA}">
  <dimension ref="A1:Y39"/>
  <sheetViews>
    <sheetView zoomScale="121" workbookViewId="0">
      <selection activeCell="G23" sqref="G23"/>
    </sheetView>
  </sheetViews>
  <sheetFormatPr defaultRowHeight="14.4" x14ac:dyDescent="0.3"/>
  <cols>
    <col min="6" max="9" width="8.88671875" customWidth="1"/>
  </cols>
  <sheetData>
    <row r="1" spans="1:25" x14ac:dyDescent="0.3">
      <c r="A1" s="58" t="s">
        <v>234</v>
      </c>
      <c r="B1" s="58"/>
      <c r="C1" s="58"/>
    </row>
    <row r="2" spans="1:25" x14ac:dyDescent="0.3">
      <c r="J2" t="s">
        <v>126</v>
      </c>
      <c r="K2" t="s">
        <v>13</v>
      </c>
      <c r="L2" t="s">
        <v>14</v>
      </c>
      <c r="M2" t="s">
        <v>15</v>
      </c>
      <c r="N2" t="s">
        <v>16</v>
      </c>
      <c r="O2" t="s">
        <v>17</v>
      </c>
      <c r="P2" t="s">
        <v>18</v>
      </c>
      <c r="Q2" t="s">
        <v>161</v>
      </c>
      <c r="S2" t="s">
        <v>153</v>
      </c>
      <c r="V2" t="s">
        <v>85</v>
      </c>
    </row>
    <row r="3" spans="1:25" x14ac:dyDescent="0.3">
      <c r="A3" t="s">
        <v>170</v>
      </c>
      <c r="J3" t="s">
        <v>127</v>
      </c>
      <c r="K3" s="6">
        <v>1</v>
      </c>
      <c r="L3" s="6">
        <v>1</v>
      </c>
      <c r="M3" s="6">
        <v>1</v>
      </c>
      <c r="N3" s="6">
        <v>1</v>
      </c>
      <c r="O3" s="5">
        <v>0</v>
      </c>
      <c r="P3" s="5">
        <v>0</v>
      </c>
      <c r="Q3" s="5">
        <v>0</v>
      </c>
      <c r="R3" s="5"/>
      <c r="S3" s="5">
        <v>1</v>
      </c>
    </row>
    <row r="4" spans="1:25" x14ac:dyDescent="0.3">
      <c r="A4" t="s">
        <v>171</v>
      </c>
      <c r="J4" t="s">
        <v>128</v>
      </c>
      <c r="K4">
        <v>0</v>
      </c>
      <c r="L4">
        <v>1</v>
      </c>
      <c r="M4">
        <v>1</v>
      </c>
      <c r="N4">
        <v>1</v>
      </c>
      <c r="O4">
        <v>0</v>
      </c>
      <c r="P4">
        <v>0</v>
      </c>
      <c r="Q4">
        <v>0</v>
      </c>
      <c r="S4">
        <v>0</v>
      </c>
      <c r="V4" t="s">
        <v>154</v>
      </c>
      <c r="W4">
        <f>SUM(S3:S15)</f>
        <v>5</v>
      </c>
    </row>
    <row r="5" spans="1:25" x14ac:dyDescent="0.3">
      <c r="A5" s="9" t="s">
        <v>13</v>
      </c>
      <c r="J5" t="s">
        <v>129</v>
      </c>
      <c r="K5" s="5">
        <v>0</v>
      </c>
      <c r="L5" s="5">
        <v>0</v>
      </c>
      <c r="M5" s="6">
        <v>1</v>
      </c>
      <c r="N5" s="5">
        <v>1</v>
      </c>
      <c r="O5" s="5">
        <v>0</v>
      </c>
      <c r="P5" s="6">
        <v>1</v>
      </c>
      <c r="Q5" s="6">
        <v>0</v>
      </c>
      <c r="R5" s="5"/>
      <c r="S5" s="5">
        <v>1</v>
      </c>
    </row>
    <row r="6" spans="1:25" x14ac:dyDescent="0.3">
      <c r="A6" s="9" t="s">
        <v>14</v>
      </c>
      <c r="J6" t="s">
        <v>130</v>
      </c>
      <c r="K6">
        <v>0</v>
      </c>
      <c r="L6">
        <v>1</v>
      </c>
      <c r="M6">
        <v>1</v>
      </c>
      <c r="N6">
        <v>0</v>
      </c>
      <c r="O6">
        <v>0</v>
      </c>
      <c r="P6">
        <v>1</v>
      </c>
      <c r="Q6">
        <v>0</v>
      </c>
      <c r="S6">
        <v>0</v>
      </c>
    </row>
    <row r="7" spans="1:25" x14ac:dyDescent="0.3">
      <c r="A7" s="9" t="s">
        <v>15</v>
      </c>
      <c r="J7" t="s">
        <v>131</v>
      </c>
      <c r="K7">
        <v>1</v>
      </c>
      <c r="L7">
        <v>1</v>
      </c>
      <c r="M7">
        <v>0</v>
      </c>
      <c r="N7">
        <v>0</v>
      </c>
      <c r="O7">
        <v>1</v>
      </c>
      <c r="P7">
        <v>0</v>
      </c>
      <c r="Q7">
        <v>0</v>
      </c>
      <c r="S7">
        <v>0</v>
      </c>
      <c r="V7" t="s">
        <v>155</v>
      </c>
    </row>
    <row r="8" spans="1:25" x14ac:dyDescent="0.3">
      <c r="A8" s="9" t="s">
        <v>16</v>
      </c>
      <c r="J8" t="s">
        <v>132</v>
      </c>
      <c r="K8">
        <v>0</v>
      </c>
      <c r="L8">
        <v>0</v>
      </c>
      <c r="M8">
        <v>1</v>
      </c>
      <c r="N8">
        <v>1</v>
      </c>
      <c r="O8">
        <v>1</v>
      </c>
      <c r="P8">
        <v>0</v>
      </c>
      <c r="Q8">
        <v>0</v>
      </c>
      <c r="S8">
        <v>0</v>
      </c>
      <c r="W8" t="s">
        <v>156</v>
      </c>
      <c r="Y8" t="s">
        <v>19</v>
      </c>
    </row>
    <row r="9" spans="1:25" x14ac:dyDescent="0.3">
      <c r="A9" s="9" t="s">
        <v>17</v>
      </c>
      <c r="J9" t="s">
        <v>133</v>
      </c>
      <c r="K9" s="6">
        <v>1</v>
      </c>
      <c r="L9" s="6">
        <v>1</v>
      </c>
      <c r="M9" s="6">
        <v>1</v>
      </c>
      <c r="N9" s="5">
        <v>0</v>
      </c>
      <c r="O9" s="6">
        <v>1</v>
      </c>
      <c r="P9" s="6">
        <v>1</v>
      </c>
      <c r="Q9" s="6">
        <v>0</v>
      </c>
      <c r="R9" s="5"/>
      <c r="S9" s="5">
        <v>1</v>
      </c>
      <c r="V9" t="s">
        <v>13</v>
      </c>
      <c r="W9">
        <f>SUMPRODUCT(S3:S15,K3:K15)</f>
        <v>2</v>
      </c>
      <c r="X9" t="s">
        <v>12</v>
      </c>
      <c r="Y9">
        <v>2</v>
      </c>
    </row>
    <row r="10" spans="1:25" x14ac:dyDescent="0.3">
      <c r="A10" s="9" t="s">
        <v>18</v>
      </c>
      <c r="J10" t="s">
        <v>134</v>
      </c>
      <c r="K10">
        <v>0</v>
      </c>
      <c r="L10">
        <v>1</v>
      </c>
      <c r="M10">
        <v>0</v>
      </c>
      <c r="N10">
        <v>1</v>
      </c>
      <c r="O10">
        <v>0</v>
      </c>
      <c r="P10">
        <v>0</v>
      </c>
      <c r="Q10">
        <v>0</v>
      </c>
      <c r="S10">
        <v>0</v>
      </c>
      <c r="V10" t="s">
        <v>157</v>
      </c>
      <c r="W10">
        <f>SUMPRODUCT(S3:S15,L3:L15)</f>
        <v>3</v>
      </c>
      <c r="X10" t="s">
        <v>12</v>
      </c>
      <c r="Y10">
        <v>3</v>
      </c>
    </row>
    <row r="11" spans="1:25" x14ac:dyDescent="0.3">
      <c r="A11" s="9" t="s">
        <v>167</v>
      </c>
      <c r="J11" t="s">
        <v>135</v>
      </c>
      <c r="K11">
        <v>0</v>
      </c>
      <c r="L11">
        <v>0</v>
      </c>
      <c r="M11">
        <v>1</v>
      </c>
      <c r="N11">
        <v>0</v>
      </c>
      <c r="O11">
        <v>0</v>
      </c>
      <c r="P11">
        <v>1</v>
      </c>
      <c r="Q11">
        <v>0</v>
      </c>
      <c r="S11">
        <v>0</v>
      </c>
      <c r="V11" t="s">
        <v>158</v>
      </c>
      <c r="W11">
        <f>SUMPRODUCT(S3:S14,M3:M14)</f>
        <v>4</v>
      </c>
      <c r="X11" t="s">
        <v>12</v>
      </c>
      <c r="Y11">
        <v>4</v>
      </c>
    </row>
    <row r="12" spans="1:25" x14ac:dyDescent="0.3">
      <c r="A12" t="s">
        <v>172</v>
      </c>
      <c r="J12" t="s">
        <v>136</v>
      </c>
      <c r="K12" s="5">
        <v>0</v>
      </c>
      <c r="L12" s="6">
        <v>1</v>
      </c>
      <c r="M12" s="6">
        <v>1</v>
      </c>
      <c r="N12" s="6">
        <v>1</v>
      </c>
      <c r="O12" s="6">
        <v>1</v>
      </c>
      <c r="P12" s="5">
        <v>0</v>
      </c>
      <c r="Q12" s="5">
        <v>0</v>
      </c>
      <c r="R12" s="5"/>
      <c r="S12" s="5">
        <v>1</v>
      </c>
      <c r="V12" t="s">
        <v>16</v>
      </c>
      <c r="W12">
        <f>SUMPRODUCT(S3:S15,N3:N15)</f>
        <v>3</v>
      </c>
      <c r="X12" t="s">
        <v>12</v>
      </c>
      <c r="Y12">
        <v>3</v>
      </c>
    </row>
    <row r="13" spans="1:25" x14ac:dyDescent="0.3">
      <c r="A13" t="s">
        <v>173</v>
      </c>
      <c r="J13" t="s">
        <v>137</v>
      </c>
      <c r="K13">
        <v>0</v>
      </c>
      <c r="L13">
        <v>1</v>
      </c>
      <c r="M13">
        <v>1</v>
      </c>
      <c r="N13">
        <v>0</v>
      </c>
      <c r="O13">
        <v>0</v>
      </c>
      <c r="P13">
        <v>1</v>
      </c>
      <c r="Q13">
        <v>0</v>
      </c>
      <c r="S13">
        <v>0</v>
      </c>
      <c r="V13" t="s">
        <v>159</v>
      </c>
      <c r="W13">
        <f>SUMPRODUCT(S3:S15,O3:O15)</f>
        <v>2</v>
      </c>
      <c r="X13" t="s">
        <v>12</v>
      </c>
      <c r="Y13">
        <v>2</v>
      </c>
    </row>
    <row r="14" spans="1:25" x14ac:dyDescent="0.3">
      <c r="A14" s="9" t="s">
        <v>174</v>
      </c>
      <c r="J14" t="s">
        <v>138</v>
      </c>
      <c r="K14">
        <v>0</v>
      </c>
      <c r="L14">
        <v>0</v>
      </c>
      <c r="M14">
        <v>0</v>
      </c>
      <c r="N14">
        <v>0</v>
      </c>
      <c r="O14">
        <v>1</v>
      </c>
      <c r="P14">
        <v>1</v>
      </c>
      <c r="Q14">
        <v>0</v>
      </c>
      <c r="S14">
        <v>0</v>
      </c>
      <c r="V14" t="s">
        <v>160</v>
      </c>
      <c r="W14">
        <f>SUMPRODUCT(P3:P15,S3:S15)</f>
        <v>2</v>
      </c>
      <c r="X14" t="s">
        <v>12</v>
      </c>
      <c r="Y14">
        <v>2</v>
      </c>
    </row>
    <row r="15" spans="1:25" x14ac:dyDescent="0.3">
      <c r="A15" s="9" t="s">
        <v>175</v>
      </c>
      <c r="J15" t="s">
        <v>162</v>
      </c>
      <c r="K15" s="5">
        <v>0</v>
      </c>
      <c r="L15" s="5">
        <v>0</v>
      </c>
      <c r="M15" s="5">
        <v>0</v>
      </c>
      <c r="N15" s="5">
        <v>0</v>
      </c>
      <c r="O15" s="5">
        <v>0</v>
      </c>
      <c r="P15" s="5">
        <v>0</v>
      </c>
      <c r="Q15" s="7">
        <v>1</v>
      </c>
      <c r="R15" s="5"/>
      <c r="S15" s="5">
        <v>1</v>
      </c>
      <c r="V15" t="s">
        <v>161</v>
      </c>
      <c r="W15">
        <f>SUMPRODUCT(S3:S15,Q3:Q15)</f>
        <v>1</v>
      </c>
      <c r="X15" t="s">
        <v>12</v>
      </c>
      <c r="Y15">
        <v>1</v>
      </c>
    </row>
    <row r="16" spans="1:25" x14ac:dyDescent="0.3">
      <c r="A16" s="9" t="s">
        <v>176</v>
      </c>
    </row>
    <row r="17" spans="1:23" x14ac:dyDescent="0.3">
      <c r="A17" s="9" t="s">
        <v>177</v>
      </c>
      <c r="K17" t="s">
        <v>13</v>
      </c>
      <c r="L17" t="s">
        <v>14</v>
      </c>
      <c r="M17" t="s">
        <v>15</v>
      </c>
      <c r="N17" t="s">
        <v>16</v>
      </c>
      <c r="O17" t="s">
        <v>17</v>
      </c>
      <c r="P17" t="s">
        <v>18</v>
      </c>
      <c r="Q17" t="s">
        <v>161</v>
      </c>
    </row>
    <row r="18" spans="1:23" x14ac:dyDescent="0.3">
      <c r="A18" s="9" t="s">
        <v>178</v>
      </c>
      <c r="J18" t="s">
        <v>19</v>
      </c>
      <c r="K18">
        <v>2</v>
      </c>
      <c r="L18">
        <v>3</v>
      </c>
      <c r="M18">
        <v>4</v>
      </c>
      <c r="N18">
        <v>3</v>
      </c>
      <c r="O18">
        <v>2</v>
      </c>
      <c r="P18">
        <v>2</v>
      </c>
      <c r="Q18">
        <v>1</v>
      </c>
    </row>
    <row r="19" spans="1:23" x14ac:dyDescent="0.3">
      <c r="A19" s="9" t="s">
        <v>179</v>
      </c>
      <c r="V19" s="1" t="s">
        <v>123</v>
      </c>
    </row>
    <row r="20" spans="1:23" x14ac:dyDescent="0.3">
      <c r="A20" s="9" t="s">
        <v>180</v>
      </c>
      <c r="W20" t="s">
        <v>139</v>
      </c>
    </row>
    <row r="21" spans="1:23" x14ac:dyDescent="0.3">
      <c r="A21" t="s">
        <v>168</v>
      </c>
      <c r="W21" t="s">
        <v>140</v>
      </c>
    </row>
    <row r="22" spans="1:23" x14ac:dyDescent="0.3">
      <c r="A22" t="s">
        <v>181</v>
      </c>
      <c r="W22" t="s">
        <v>141</v>
      </c>
    </row>
    <row r="23" spans="1:23" x14ac:dyDescent="0.3">
      <c r="A23" s="1" t="s">
        <v>169</v>
      </c>
    </row>
    <row r="24" spans="1:23" x14ac:dyDescent="0.3">
      <c r="A24" s="8" t="s">
        <v>182</v>
      </c>
      <c r="V24" s="1" t="s">
        <v>166</v>
      </c>
    </row>
    <row r="25" spans="1:23" x14ac:dyDescent="0.3">
      <c r="A25" s="8" t="s">
        <v>183</v>
      </c>
      <c r="V25" t="s">
        <v>142</v>
      </c>
      <c r="W25" s="3" t="s">
        <v>143</v>
      </c>
    </row>
    <row r="26" spans="1:23" x14ac:dyDescent="0.3">
      <c r="A26" s="8" t="s">
        <v>184</v>
      </c>
      <c r="W26" t="s">
        <v>151</v>
      </c>
    </row>
    <row r="27" spans="1:23" x14ac:dyDescent="0.3">
      <c r="W27" t="s">
        <v>152</v>
      </c>
    </row>
    <row r="29" spans="1:23" x14ac:dyDescent="0.3">
      <c r="V29" s="1" t="s">
        <v>144</v>
      </c>
    </row>
    <row r="30" spans="1:23" x14ac:dyDescent="0.3">
      <c r="W30" t="s">
        <v>145</v>
      </c>
    </row>
    <row r="31" spans="1:23" x14ac:dyDescent="0.3">
      <c r="W31" t="s">
        <v>146</v>
      </c>
    </row>
    <row r="32" spans="1:23" x14ac:dyDescent="0.3">
      <c r="W32" t="s">
        <v>147</v>
      </c>
    </row>
    <row r="33" spans="23:23" x14ac:dyDescent="0.3">
      <c r="W33" t="s">
        <v>148</v>
      </c>
    </row>
    <row r="34" spans="23:23" x14ac:dyDescent="0.3">
      <c r="W34" t="s">
        <v>149</v>
      </c>
    </row>
    <row r="35" spans="23:23" x14ac:dyDescent="0.3">
      <c r="W35" t="s">
        <v>150</v>
      </c>
    </row>
    <row r="36" spans="23:23" x14ac:dyDescent="0.3">
      <c r="W36" t="s">
        <v>163</v>
      </c>
    </row>
    <row r="38" spans="23:23" x14ac:dyDescent="0.3">
      <c r="W38" t="s">
        <v>165</v>
      </c>
    </row>
    <row r="39" spans="23:23" x14ac:dyDescent="0.3">
      <c r="W39" t="s">
        <v>164</v>
      </c>
    </row>
  </sheetData>
  <mergeCells count="1">
    <mergeCell ref="A1:C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E89A8-FC0C-490E-A143-D15245A54CD3}">
  <dimension ref="C1:S39"/>
  <sheetViews>
    <sheetView zoomScale="121" workbookViewId="0">
      <selection activeCell="P1" sqref="P1:R1"/>
    </sheetView>
  </sheetViews>
  <sheetFormatPr defaultRowHeight="14.4" x14ac:dyDescent="0.3"/>
  <sheetData>
    <row r="1" spans="3:19" x14ac:dyDescent="0.3">
      <c r="P1" s="58" t="s">
        <v>234</v>
      </c>
      <c r="Q1" s="58"/>
      <c r="R1" s="58"/>
    </row>
    <row r="2" spans="3:19" x14ac:dyDescent="0.3">
      <c r="C2" t="s">
        <v>126</v>
      </c>
      <c r="D2" t="s">
        <v>13</v>
      </c>
      <c r="E2" t="s">
        <v>14</v>
      </c>
      <c r="F2" t="s">
        <v>15</v>
      </c>
      <c r="G2" t="s">
        <v>16</v>
      </c>
      <c r="H2" t="s">
        <v>17</v>
      </c>
      <c r="I2" t="s">
        <v>18</v>
      </c>
      <c r="J2" t="s">
        <v>161</v>
      </c>
      <c r="K2" t="s">
        <v>212</v>
      </c>
      <c r="M2" t="s">
        <v>213</v>
      </c>
      <c r="P2" t="s">
        <v>85</v>
      </c>
    </row>
    <row r="3" spans="3:19" x14ac:dyDescent="0.3">
      <c r="C3" t="s">
        <v>127</v>
      </c>
      <c r="D3" s="6">
        <v>1</v>
      </c>
      <c r="E3" s="6">
        <v>1</v>
      </c>
      <c r="F3" s="6">
        <v>1</v>
      </c>
      <c r="G3" s="6">
        <v>1</v>
      </c>
      <c r="H3" s="5">
        <v>0</v>
      </c>
      <c r="I3" s="5">
        <v>0</v>
      </c>
      <c r="J3" s="5">
        <v>0</v>
      </c>
      <c r="K3" s="5">
        <v>7</v>
      </c>
      <c r="L3" s="5"/>
      <c r="M3" s="5">
        <v>1</v>
      </c>
    </row>
    <row r="4" spans="3:19" x14ac:dyDescent="0.3">
      <c r="C4" t="s">
        <v>128</v>
      </c>
      <c r="D4">
        <v>0</v>
      </c>
      <c r="E4">
        <v>1</v>
      </c>
      <c r="F4">
        <v>1</v>
      </c>
      <c r="G4">
        <v>1</v>
      </c>
      <c r="H4">
        <v>0</v>
      </c>
      <c r="I4">
        <v>0</v>
      </c>
      <c r="J4">
        <v>0</v>
      </c>
      <c r="K4">
        <v>4</v>
      </c>
      <c r="M4">
        <v>1</v>
      </c>
      <c r="P4" t="s">
        <v>154</v>
      </c>
      <c r="Q4">
        <f>SUMPRODUCT(M3:M15,K3:K15)</f>
        <v>42</v>
      </c>
    </row>
    <row r="5" spans="3:19" x14ac:dyDescent="0.3">
      <c r="C5" t="s">
        <v>129</v>
      </c>
      <c r="D5" s="5">
        <v>0</v>
      </c>
      <c r="E5" s="5">
        <v>0</v>
      </c>
      <c r="F5" s="6">
        <v>1</v>
      </c>
      <c r="G5" s="5">
        <v>1</v>
      </c>
      <c r="H5" s="5">
        <v>0</v>
      </c>
      <c r="I5" s="6">
        <v>1</v>
      </c>
      <c r="J5" s="6">
        <v>0</v>
      </c>
      <c r="K5" s="6">
        <v>9</v>
      </c>
      <c r="L5" s="5"/>
      <c r="M5" s="5">
        <v>0</v>
      </c>
    </row>
    <row r="6" spans="3:19" x14ac:dyDescent="0.3">
      <c r="C6" t="s">
        <v>130</v>
      </c>
      <c r="D6">
        <v>0</v>
      </c>
      <c r="E6">
        <v>1</v>
      </c>
      <c r="F6">
        <v>1</v>
      </c>
      <c r="G6">
        <v>0</v>
      </c>
      <c r="H6">
        <v>0</v>
      </c>
      <c r="I6">
        <v>1</v>
      </c>
      <c r="J6">
        <v>0</v>
      </c>
      <c r="K6">
        <v>5</v>
      </c>
      <c r="M6">
        <v>0</v>
      </c>
    </row>
    <row r="7" spans="3:19" x14ac:dyDescent="0.3">
      <c r="C7" t="s">
        <v>131</v>
      </c>
      <c r="D7">
        <v>1</v>
      </c>
      <c r="E7">
        <v>1</v>
      </c>
      <c r="F7">
        <v>0</v>
      </c>
      <c r="G7">
        <v>0</v>
      </c>
      <c r="H7">
        <v>1</v>
      </c>
      <c r="I7">
        <v>0</v>
      </c>
      <c r="J7">
        <v>0</v>
      </c>
      <c r="K7">
        <v>5</v>
      </c>
      <c r="M7">
        <v>1</v>
      </c>
      <c r="P7" t="s">
        <v>155</v>
      </c>
    </row>
    <row r="8" spans="3:19" x14ac:dyDescent="0.3">
      <c r="C8" t="s">
        <v>132</v>
      </c>
      <c r="D8">
        <v>0</v>
      </c>
      <c r="E8">
        <v>0</v>
      </c>
      <c r="F8">
        <v>1</v>
      </c>
      <c r="G8">
        <v>1</v>
      </c>
      <c r="H8">
        <v>1</v>
      </c>
      <c r="I8">
        <v>0</v>
      </c>
      <c r="J8">
        <v>0</v>
      </c>
      <c r="K8">
        <v>5</v>
      </c>
      <c r="M8">
        <v>1</v>
      </c>
      <c r="Q8" t="s">
        <v>156</v>
      </c>
      <c r="S8" t="s">
        <v>19</v>
      </c>
    </row>
    <row r="9" spans="3:19" x14ac:dyDescent="0.3">
      <c r="C9" t="s">
        <v>133</v>
      </c>
      <c r="D9" s="6">
        <v>1</v>
      </c>
      <c r="E9" s="6">
        <v>1</v>
      </c>
      <c r="F9" s="6">
        <v>1</v>
      </c>
      <c r="G9" s="5">
        <v>0</v>
      </c>
      <c r="H9" s="6">
        <v>1</v>
      </c>
      <c r="I9" s="6">
        <v>1</v>
      </c>
      <c r="J9" s="6">
        <v>0</v>
      </c>
      <c r="K9" s="6">
        <v>12</v>
      </c>
      <c r="L9" s="5"/>
      <c r="M9" s="5">
        <v>0</v>
      </c>
      <c r="P9" t="s">
        <v>13</v>
      </c>
      <c r="Q9">
        <f>SUMPRODUCT(M3:M15,D3:D15)</f>
        <v>2</v>
      </c>
      <c r="R9" t="s">
        <v>12</v>
      </c>
      <c r="S9">
        <v>2</v>
      </c>
    </row>
    <row r="10" spans="3:19" x14ac:dyDescent="0.3">
      <c r="C10" t="s">
        <v>134</v>
      </c>
      <c r="D10">
        <v>0</v>
      </c>
      <c r="E10">
        <v>1</v>
      </c>
      <c r="F10">
        <v>0</v>
      </c>
      <c r="G10">
        <v>1</v>
      </c>
      <c r="H10">
        <v>0</v>
      </c>
      <c r="I10">
        <v>0</v>
      </c>
      <c r="J10">
        <v>0</v>
      </c>
      <c r="K10">
        <v>5</v>
      </c>
      <c r="M10">
        <v>0</v>
      </c>
      <c r="P10" t="s">
        <v>157</v>
      </c>
      <c r="Q10">
        <f>SUMPRODUCT(M3:M15,E3:E15)</f>
        <v>4</v>
      </c>
      <c r="R10" t="s">
        <v>12</v>
      </c>
      <c r="S10">
        <v>3</v>
      </c>
    </row>
    <row r="11" spans="3:19" x14ac:dyDescent="0.3">
      <c r="C11" t="s">
        <v>135</v>
      </c>
      <c r="D11">
        <v>0</v>
      </c>
      <c r="E11">
        <v>0</v>
      </c>
      <c r="F11">
        <v>1</v>
      </c>
      <c r="G11">
        <v>0</v>
      </c>
      <c r="H11">
        <v>0</v>
      </c>
      <c r="I11">
        <v>1</v>
      </c>
      <c r="J11">
        <v>0</v>
      </c>
      <c r="K11">
        <v>5</v>
      </c>
      <c r="M11">
        <v>0</v>
      </c>
      <c r="P11" t="s">
        <v>158</v>
      </c>
      <c r="Q11">
        <f>SUMPRODUCT(M3:M14,F3:F14)</f>
        <v>4</v>
      </c>
      <c r="R11" t="s">
        <v>12</v>
      </c>
      <c r="S11">
        <v>4</v>
      </c>
    </row>
    <row r="12" spans="3:19" x14ac:dyDescent="0.3">
      <c r="C12" t="s">
        <v>136</v>
      </c>
      <c r="D12" s="5">
        <v>0</v>
      </c>
      <c r="E12" s="6">
        <v>1</v>
      </c>
      <c r="F12" s="6">
        <v>1</v>
      </c>
      <c r="G12" s="6">
        <v>1</v>
      </c>
      <c r="H12" s="6">
        <v>1</v>
      </c>
      <c r="I12" s="5">
        <v>0</v>
      </c>
      <c r="J12" s="5">
        <v>0</v>
      </c>
      <c r="K12" s="5">
        <v>14</v>
      </c>
      <c r="L12" s="5"/>
      <c r="M12" s="5">
        <v>0</v>
      </c>
      <c r="P12" t="s">
        <v>16</v>
      </c>
      <c r="Q12">
        <f>SUMPRODUCT(M3:M15,G3:G15)</f>
        <v>3</v>
      </c>
      <c r="R12" t="s">
        <v>12</v>
      </c>
      <c r="S12">
        <v>3</v>
      </c>
    </row>
    <row r="13" spans="3:19" x14ac:dyDescent="0.3">
      <c r="C13" t="s">
        <v>137</v>
      </c>
      <c r="D13">
        <v>0</v>
      </c>
      <c r="E13">
        <v>1</v>
      </c>
      <c r="F13">
        <v>1</v>
      </c>
      <c r="G13">
        <v>0</v>
      </c>
      <c r="H13">
        <v>0</v>
      </c>
      <c r="I13">
        <v>1</v>
      </c>
      <c r="J13">
        <v>0</v>
      </c>
      <c r="K13">
        <v>3</v>
      </c>
      <c r="M13">
        <v>1</v>
      </c>
      <c r="P13" t="s">
        <v>159</v>
      </c>
      <c r="Q13">
        <f>SUMPRODUCT(M3:M15,H3:H15)</f>
        <v>3</v>
      </c>
      <c r="R13" t="s">
        <v>12</v>
      </c>
      <c r="S13">
        <v>2</v>
      </c>
    </row>
    <row r="14" spans="3:19" x14ac:dyDescent="0.3">
      <c r="C14" t="s">
        <v>138</v>
      </c>
      <c r="D14">
        <v>0</v>
      </c>
      <c r="E14">
        <v>0</v>
      </c>
      <c r="F14">
        <v>0</v>
      </c>
      <c r="G14">
        <v>0</v>
      </c>
      <c r="H14">
        <v>1</v>
      </c>
      <c r="I14">
        <v>1</v>
      </c>
      <c r="J14">
        <v>0</v>
      </c>
      <c r="K14">
        <v>3</v>
      </c>
      <c r="M14">
        <v>1</v>
      </c>
      <c r="P14" t="s">
        <v>160</v>
      </c>
      <c r="Q14">
        <f>SUMPRODUCT(I3:I15,M3:M15)</f>
        <v>2</v>
      </c>
      <c r="R14" t="s">
        <v>12</v>
      </c>
      <c r="S14">
        <v>2</v>
      </c>
    </row>
    <row r="15" spans="3:19" x14ac:dyDescent="0.3">
      <c r="C15" t="s">
        <v>162</v>
      </c>
      <c r="D15" s="5">
        <v>0</v>
      </c>
      <c r="E15" s="5">
        <v>0</v>
      </c>
      <c r="F15" s="5">
        <v>0</v>
      </c>
      <c r="G15" s="5">
        <v>0</v>
      </c>
      <c r="H15" s="5">
        <v>0</v>
      </c>
      <c r="I15" s="5">
        <v>0</v>
      </c>
      <c r="J15" s="7">
        <v>1</v>
      </c>
      <c r="K15" s="7">
        <v>15</v>
      </c>
      <c r="L15" s="5"/>
      <c r="M15" s="5">
        <v>1</v>
      </c>
      <c r="P15" t="s">
        <v>161</v>
      </c>
      <c r="Q15">
        <f>SUMPRODUCT(M3:M15,J3:J15)</f>
        <v>1</v>
      </c>
      <c r="R15" t="s">
        <v>12</v>
      </c>
      <c r="S15">
        <v>1</v>
      </c>
    </row>
    <row r="17" spans="3:17" x14ac:dyDescent="0.3">
      <c r="D17" t="s">
        <v>13</v>
      </c>
      <c r="E17" t="s">
        <v>14</v>
      </c>
      <c r="F17" t="s">
        <v>15</v>
      </c>
      <c r="G17" t="s">
        <v>16</v>
      </c>
      <c r="H17" t="s">
        <v>17</v>
      </c>
      <c r="I17" t="s">
        <v>18</v>
      </c>
      <c r="J17" t="s">
        <v>161</v>
      </c>
    </row>
    <row r="18" spans="3:17" x14ac:dyDescent="0.3">
      <c r="C18" t="s">
        <v>19</v>
      </c>
      <c r="D18">
        <v>2</v>
      </c>
      <c r="E18">
        <v>3</v>
      </c>
      <c r="F18">
        <v>4</v>
      </c>
      <c r="G18">
        <v>3</v>
      </c>
      <c r="H18">
        <v>2</v>
      </c>
      <c r="I18">
        <v>2</v>
      </c>
      <c r="J18">
        <v>1</v>
      </c>
    </row>
    <row r="19" spans="3:17" x14ac:dyDescent="0.3">
      <c r="P19" s="1" t="s">
        <v>123</v>
      </c>
    </row>
    <row r="20" spans="3:17" x14ac:dyDescent="0.3">
      <c r="Q20" t="s">
        <v>139</v>
      </c>
    </row>
    <row r="21" spans="3:17" x14ac:dyDescent="0.3">
      <c r="E21" t="s">
        <v>20</v>
      </c>
      <c r="Q21" t="s">
        <v>140</v>
      </c>
    </row>
    <row r="22" spans="3:17" x14ac:dyDescent="0.3">
      <c r="Q22" t="s">
        <v>141</v>
      </c>
    </row>
    <row r="24" spans="3:17" x14ac:dyDescent="0.3">
      <c r="P24" s="1" t="s">
        <v>166</v>
      </c>
    </row>
    <row r="25" spans="3:17" x14ac:dyDescent="0.3">
      <c r="P25" t="s">
        <v>142</v>
      </c>
      <c r="Q25" s="3" t="s">
        <v>217</v>
      </c>
    </row>
    <row r="26" spans="3:17" x14ac:dyDescent="0.3">
      <c r="Q26" t="s">
        <v>151</v>
      </c>
    </row>
    <row r="27" spans="3:17" x14ac:dyDescent="0.3">
      <c r="Q27" t="s">
        <v>152</v>
      </c>
    </row>
    <row r="29" spans="3:17" x14ac:dyDescent="0.3">
      <c r="P29" s="1" t="s">
        <v>144</v>
      </c>
    </row>
    <row r="30" spans="3:17" x14ac:dyDescent="0.3">
      <c r="Q30" t="s">
        <v>145</v>
      </c>
    </row>
    <row r="31" spans="3:17" x14ac:dyDescent="0.3">
      <c r="Q31" t="s">
        <v>146</v>
      </c>
    </row>
    <row r="32" spans="3:17" x14ac:dyDescent="0.3">
      <c r="Q32" t="s">
        <v>147</v>
      </c>
    </row>
    <row r="33" spans="17:17" x14ac:dyDescent="0.3">
      <c r="Q33" t="s">
        <v>148</v>
      </c>
    </row>
    <row r="34" spans="17:17" x14ac:dyDescent="0.3">
      <c r="Q34" t="s">
        <v>149</v>
      </c>
    </row>
    <row r="35" spans="17:17" x14ac:dyDescent="0.3">
      <c r="Q35" t="s">
        <v>150</v>
      </c>
    </row>
    <row r="36" spans="17:17" x14ac:dyDescent="0.3">
      <c r="Q36" t="s">
        <v>163</v>
      </c>
    </row>
    <row r="38" spans="17:17" x14ac:dyDescent="0.3">
      <c r="Q38" t="s">
        <v>165</v>
      </c>
    </row>
    <row r="39" spans="17:17" x14ac:dyDescent="0.3">
      <c r="Q39" t="s">
        <v>164</v>
      </c>
    </row>
  </sheetData>
  <mergeCells count="1">
    <mergeCell ref="P1:R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361E8-3FC1-497A-9797-02EA5071B985}">
  <dimension ref="K1:Q18"/>
  <sheetViews>
    <sheetView workbookViewId="0">
      <selection activeCell="K17" sqref="K17"/>
    </sheetView>
  </sheetViews>
  <sheetFormatPr defaultRowHeight="14.4" x14ac:dyDescent="0.3"/>
  <cols>
    <col min="12" max="12" width="19.6640625" customWidth="1"/>
  </cols>
  <sheetData>
    <row r="1" spans="11:17" x14ac:dyDescent="0.3">
      <c r="K1" s="58" t="s">
        <v>216</v>
      </c>
      <c r="L1" s="58"/>
      <c r="M1" s="58"/>
      <c r="N1" s="58"/>
      <c r="O1" s="58"/>
      <c r="P1" s="58"/>
      <c r="Q1" s="58"/>
    </row>
    <row r="4" spans="11:17" x14ac:dyDescent="0.3">
      <c r="M4" t="s">
        <v>189</v>
      </c>
      <c r="N4" t="s">
        <v>218</v>
      </c>
      <c r="P4" t="s">
        <v>153</v>
      </c>
    </row>
    <row r="5" spans="11:17" x14ac:dyDescent="0.3">
      <c r="L5" t="s">
        <v>185</v>
      </c>
      <c r="M5">
        <v>0.09</v>
      </c>
      <c r="N5">
        <v>40</v>
      </c>
      <c r="P5">
        <v>1</v>
      </c>
    </row>
    <row r="6" spans="11:17" x14ac:dyDescent="0.3">
      <c r="L6" t="s">
        <v>186</v>
      </c>
      <c r="M6">
        <v>0.06</v>
      </c>
      <c r="N6">
        <v>30</v>
      </c>
      <c r="P6">
        <v>1</v>
      </c>
    </row>
    <row r="7" spans="11:17" x14ac:dyDescent="0.3">
      <c r="L7" t="s">
        <v>187</v>
      </c>
      <c r="M7">
        <v>0.08</v>
      </c>
      <c r="N7">
        <v>50</v>
      </c>
      <c r="P7">
        <v>0</v>
      </c>
    </row>
    <row r="8" spans="11:17" x14ac:dyDescent="0.3">
      <c r="L8" t="s">
        <v>188</v>
      </c>
      <c r="M8">
        <v>0.05</v>
      </c>
      <c r="N8">
        <v>20</v>
      </c>
      <c r="P8">
        <v>1</v>
      </c>
    </row>
    <row r="12" spans="11:17" x14ac:dyDescent="0.3">
      <c r="M12" t="s">
        <v>85</v>
      </c>
    </row>
    <row r="13" spans="11:17" x14ac:dyDescent="0.3">
      <c r="O13" t="s">
        <v>91</v>
      </c>
      <c r="Q13">
        <f>SUMPRODUCT(P5:P8,M5:M8)</f>
        <v>0.2</v>
      </c>
    </row>
    <row r="15" spans="11:17" x14ac:dyDescent="0.3">
      <c r="M15" t="s">
        <v>11</v>
      </c>
    </row>
    <row r="17" spans="13:17" x14ac:dyDescent="0.3">
      <c r="O17" t="s">
        <v>29</v>
      </c>
      <c r="Q17" t="s">
        <v>44</v>
      </c>
    </row>
    <row r="18" spans="13:17" x14ac:dyDescent="0.3">
      <c r="M18" t="s">
        <v>219</v>
      </c>
      <c r="O18">
        <f>SUMPRODUCT(P5:P8,N5:N8)</f>
        <v>90</v>
      </c>
      <c r="P18" t="s">
        <v>45</v>
      </c>
      <c r="Q18">
        <v>90</v>
      </c>
    </row>
  </sheetData>
  <mergeCells count="1">
    <mergeCell ref="K1:Q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5FD0B-9FFB-49B2-828F-946D7F092B9B}">
  <dimension ref="B1:P24"/>
  <sheetViews>
    <sheetView workbookViewId="0">
      <selection activeCell="P12" sqref="P12"/>
    </sheetView>
  </sheetViews>
  <sheetFormatPr defaultRowHeight="14.4" x14ac:dyDescent="0.3"/>
  <sheetData>
    <row r="1" spans="2:16" ht="21" x14ac:dyDescent="0.4">
      <c r="B1" s="59" t="s">
        <v>221</v>
      </c>
      <c r="C1" s="59"/>
      <c r="D1" s="59"/>
      <c r="E1" s="59"/>
      <c r="F1" s="59"/>
      <c r="G1" s="59"/>
      <c r="L1">
        <v>20</v>
      </c>
      <c r="M1">
        <v>14</v>
      </c>
    </row>
    <row r="2" spans="2:16" x14ac:dyDescent="0.3">
      <c r="B2" s="60" t="s">
        <v>323</v>
      </c>
      <c r="C2" s="60"/>
      <c r="D2" s="60"/>
      <c r="E2" s="60"/>
      <c r="F2" s="60"/>
      <c r="G2" s="60"/>
      <c r="K2" t="s">
        <v>320</v>
      </c>
      <c r="L2" t="s">
        <v>321</v>
      </c>
      <c r="M2" t="s">
        <v>322</v>
      </c>
      <c r="O2" t="s">
        <v>153</v>
      </c>
    </row>
    <row r="3" spans="2:16" x14ac:dyDescent="0.3">
      <c r="B3" s="60"/>
      <c r="C3" s="60"/>
      <c r="D3" s="60"/>
      <c r="E3" s="60"/>
      <c r="F3" s="60"/>
      <c r="G3" s="60"/>
      <c r="J3" t="s">
        <v>127</v>
      </c>
      <c r="K3">
        <v>18</v>
      </c>
      <c r="L3">
        <v>6</v>
      </c>
      <c r="M3">
        <v>4</v>
      </c>
      <c r="O3">
        <v>1</v>
      </c>
    </row>
    <row r="4" spans="2:16" x14ac:dyDescent="0.3">
      <c r="B4" s="60"/>
      <c r="C4" s="60"/>
      <c r="D4" s="60"/>
      <c r="E4" s="60"/>
      <c r="F4" s="60"/>
      <c r="G4" s="60"/>
      <c r="J4" t="s">
        <v>319</v>
      </c>
      <c r="K4">
        <v>20</v>
      </c>
      <c r="L4">
        <v>7</v>
      </c>
      <c r="M4">
        <v>5</v>
      </c>
      <c r="O4">
        <v>1</v>
      </c>
    </row>
    <row r="5" spans="2:16" x14ac:dyDescent="0.3">
      <c r="B5" s="60"/>
      <c r="C5" s="60"/>
      <c r="D5" s="60"/>
      <c r="E5" s="60"/>
      <c r="F5" s="60"/>
      <c r="G5" s="60"/>
      <c r="J5" t="s">
        <v>129</v>
      </c>
      <c r="K5">
        <v>14</v>
      </c>
      <c r="L5">
        <v>5</v>
      </c>
      <c r="M5">
        <v>3</v>
      </c>
      <c r="O5">
        <v>0</v>
      </c>
    </row>
    <row r="6" spans="2:16" x14ac:dyDescent="0.3">
      <c r="B6" s="60"/>
      <c r="C6" s="60"/>
      <c r="D6" s="60"/>
      <c r="E6" s="60"/>
      <c r="F6" s="60"/>
      <c r="G6" s="60"/>
      <c r="J6" t="s">
        <v>130</v>
      </c>
      <c r="K6">
        <v>16</v>
      </c>
      <c r="L6">
        <v>6</v>
      </c>
      <c r="M6">
        <v>4</v>
      </c>
      <c r="O6">
        <v>1</v>
      </c>
    </row>
    <row r="7" spans="2:16" x14ac:dyDescent="0.3">
      <c r="B7" s="60"/>
      <c r="C7" s="60"/>
      <c r="D7" s="60"/>
      <c r="E7" s="60"/>
      <c r="F7" s="60"/>
      <c r="G7" s="60"/>
      <c r="J7" t="s">
        <v>131</v>
      </c>
      <c r="K7">
        <v>10</v>
      </c>
      <c r="L7">
        <v>4</v>
      </c>
      <c r="M7">
        <v>2</v>
      </c>
      <c r="O7">
        <v>0</v>
      </c>
    </row>
    <row r="8" spans="2:16" x14ac:dyDescent="0.3">
      <c r="B8" s="60"/>
      <c r="C8" s="60"/>
      <c r="D8" s="60"/>
      <c r="E8" s="60"/>
      <c r="F8" s="60"/>
      <c r="G8" s="60"/>
      <c r="J8" t="s">
        <v>132</v>
      </c>
      <c r="K8">
        <v>12</v>
      </c>
      <c r="L8">
        <v>5</v>
      </c>
      <c r="M8">
        <v>3</v>
      </c>
      <c r="O8">
        <v>0</v>
      </c>
    </row>
    <row r="9" spans="2:16" x14ac:dyDescent="0.3">
      <c r="B9" s="60"/>
      <c r="C9" s="60"/>
      <c r="D9" s="60"/>
      <c r="E9" s="60"/>
      <c r="F9" s="60"/>
      <c r="G9" s="60"/>
    </row>
    <row r="10" spans="2:16" x14ac:dyDescent="0.3">
      <c r="B10" s="60"/>
      <c r="C10" s="60"/>
      <c r="D10" s="60"/>
      <c r="E10" s="60"/>
      <c r="F10" s="60"/>
      <c r="G10" s="60"/>
    </row>
    <row r="11" spans="2:16" x14ac:dyDescent="0.3">
      <c r="B11" s="60"/>
      <c r="C11" s="60"/>
      <c r="D11" s="60"/>
      <c r="E11" s="60"/>
      <c r="F11" s="60"/>
      <c r="G11" s="60"/>
    </row>
    <row r="12" spans="2:16" x14ac:dyDescent="0.3">
      <c r="B12" s="60"/>
      <c r="C12" s="60"/>
      <c r="D12" s="60"/>
      <c r="E12" s="60"/>
      <c r="F12" s="60"/>
      <c r="G12" s="60"/>
      <c r="K12" t="s">
        <v>10</v>
      </c>
      <c r="N12" t="s">
        <v>91</v>
      </c>
      <c r="P12">
        <f>SUMPRODUCT(O3:O8,K3:K8)+O3*O4*6+O4*O6*5+O5*O7*4</f>
        <v>65</v>
      </c>
    </row>
    <row r="13" spans="2:16" x14ac:dyDescent="0.3">
      <c r="B13" s="60"/>
      <c r="C13" s="60"/>
      <c r="D13" s="60"/>
      <c r="E13" s="60"/>
      <c r="F13" s="60"/>
      <c r="G13" s="60"/>
    </row>
    <row r="14" spans="2:16" x14ac:dyDescent="0.3">
      <c r="B14" s="60"/>
      <c r="C14" s="60"/>
      <c r="D14" s="60"/>
      <c r="E14" s="60"/>
      <c r="F14" s="60"/>
      <c r="G14" s="60"/>
    </row>
    <row r="15" spans="2:16" x14ac:dyDescent="0.3">
      <c r="B15" s="60"/>
      <c r="C15" s="60"/>
      <c r="D15" s="60"/>
      <c r="E15" s="60"/>
      <c r="F15" s="60"/>
      <c r="G15" s="60"/>
      <c r="K15" t="s">
        <v>11</v>
      </c>
    </row>
    <row r="16" spans="2:16" x14ac:dyDescent="0.3">
      <c r="B16" s="60"/>
      <c r="C16" s="60"/>
      <c r="D16" s="60"/>
      <c r="E16" s="60"/>
      <c r="F16" s="60"/>
      <c r="G16" s="60"/>
      <c r="L16" t="s">
        <v>321</v>
      </c>
      <c r="N16">
        <f>SUMPRODUCT(L3:L8,O3:O8)</f>
        <v>19</v>
      </c>
      <c r="O16" t="s">
        <v>45</v>
      </c>
      <c r="P16">
        <v>20</v>
      </c>
    </row>
    <row r="17" spans="2:16" x14ac:dyDescent="0.3">
      <c r="B17" s="60"/>
      <c r="C17" s="60"/>
      <c r="D17" s="60"/>
      <c r="E17" s="60"/>
      <c r="F17" s="60"/>
      <c r="G17" s="60"/>
      <c r="L17" t="s">
        <v>322</v>
      </c>
      <c r="N17">
        <f>SUMPRODUCT(M3:M8,O3:O8)</f>
        <v>13</v>
      </c>
      <c r="O17" t="s">
        <v>45</v>
      </c>
      <c r="P17">
        <v>14</v>
      </c>
    </row>
    <row r="18" spans="2:16" x14ac:dyDescent="0.3">
      <c r="B18" s="60"/>
      <c r="C18" s="60"/>
      <c r="D18" s="60"/>
      <c r="E18" s="60"/>
      <c r="F18" s="60"/>
      <c r="G18" s="60"/>
    </row>
    <row r="19" spans="2:16" x14ac:dyDescent="0.3">
      <c r="B19" s="60"/>
      <c r="C19" s="60"/>
      <c r="D19" s="60"/>
      <c r="E19" s="60"/>
      <c r="F19" s="60"/>
      <c r="G19" s="60"/>
    </row>
    <row r="20" spans="2:16" x14ac:dyDescent="0.3">
      <c r="B20" s="60"/>
      <c r="C20" s="60"/>
      <c r="D20" s="60"/>
      <c r="E20" s="60"/>
      <c r="F20" s="60"/>
      <c r="G20" s="60"/>
    </row>
    <row r="21" spans="2:16" x14ac:dyDescent="0.3">
      <c r="B21" s="60"/>
      <c r="C21" s="60"/>
      <c r="D21" s="60"/>
      <c r="E21" s="60"/>
      <c r="F21" s="60"/>
      <c r="G21" s="60"/>
    </row>
    <row r="22" spans="2:16" x14ac:dyDescent="0.3">
      <c r="B22" s="60"/>
      <c r="C22" s="60"/>
      <c r="D22" s="60"/>
      <c r="E22" s="60"/>
      <c r="F22" s="60"/>
      <c r="G22" s="60"/>
    </row>
    <row r="23" spans="2:16" x14ac:dyDescent="0.3">
      <c r="B23" s="60"/>
      <c r="C23" s="60"/>
      <c r="D23" s="60"/>
      <c r="E23" s="60"/>
      <c r="F23" s="60"/>
      <c r="G23" s="60"/>
    </row>
    <row r="24" spans="2:16" x14ac:dyDescent="0.3">
      <c r="B24" s="60"/>
      <c r="C24" s="60"/>
      <c r="D24" s="60"/>
      <c r="E24" s="60"/>
      <c r="F24" s="60"/>
      <c r="G24" s="60"/>
    </row>
  </sheetData>
  <mergeCells count="2">
    <mergeCell ref="B1:G1"/>
    <mergeCell ref="B2:G2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CC3D9-A9E7-4E19-911D-2FA847CD6AE2}">
  <dimension ref="B1:S26"/>
  <sheetViews>
    <sheetView workbookViewId="0">
      <selection activeCell="T22" sqref="T22"/>
    </sheetView>
  </sheetViews>
  <sheetFormatPr defaultRowHeight="14.4" x14ac:dyDescent="0.3"/>
  <sheetData>
    <row r="1" spans="2:19" x14ac:dyDescent="0.3">
      <c r="I1" s="58" t="s">
        <v>215</v>
      </c>
      <c r="J1" s="58"/>
      <c r="K1" s="58"/>
      <c r="L1" s="58"/>
      <c r="M1" s="58"/>
    </row>
    <row r="3" spans="2:19" ht="14.4" customHeight="1" x14ac:dyDescent="0.3">
      <c r="B3" s="61" t="s">
        <v>198</v>
      </c>
      <c r="C3" s="61"/>
      <c r="D3" s="61"/>
      <c r="E3" s="61"/>
      <c r="F3" s="61"/>
      <c r="I3" s="11" t="s">
        <v>199</v>
      </c>
      <c r="J3" s="11" t="s">
        <v>200</v>
      </c>
      <c r="K3" s="11" t="s">
        <v>201</v>
      </c>
      <c r="L3" s="11" t="s">
        <v>202</v>
      </c>
      <c r="M3" s="11" t="s">
        <v>203</v>
      </c>
    </row>
    <row r="4" spans="2:19" ht="14.4" customHeight="1" x14ac:dyDescent="0.3">
      <c r="B4" s="61"/>
      <c r="C4" s="61"/>
      <c r="D4" s="61"/>
      <c r="E4" s="61"/>
      <c r="F4" s="61"/>
      <c r="I4" s="12" t="s">
        <v>204</v>
      </c>
      <c r="J4" s="12">
        <v>1</v>
      </c>
      <c r="K4" s="12">
        <v>0</v>
      </c>
      <c r="L4" s="12">
        <v>1</v>
      </c>
      <c r="M4" s="12">
        <v>0</v>
      </c>
    </row>
    <row r="5" spans="2:19" ht="14.4" customHeight="1" x14ac:dyDescent="0.3">
      <c r="B5" s="61"/>
      <c r="C5" s="61"/>
      <c r="D5" s="61"/>
      <c r="E5" s="61"/>
      <c r="F5" s="61"/>
      <c r="I5" s="12" t="s">
        <v>205</v>
      </c>
      <c r="J5" s="12">
        <v>1</v>
      </c>
      <c r="K5" s="12">
        <v>1</v>
      </c>
      <c r="L5" s="12">
        <v>0</v>
      </c>
      <c r="M5" s="12">
        <v>0</v>
      </c>
    </row>
    <row r="6" spans="2:19" ht="14.4" customHeight="1" x14ac:dyDescent="0.3">
      <c r="B6" s="61"/>
      <c r="C6" s="61"/>
      <c r="D6" s="61"/>
      <c r="E6" s="61"/>
      <c r="F6" s="61"/>
      <c r="I6" s="12" t="s">
        <v>206</v>
      </c>
      <c r="J6" s="12">
        <v>0</v>
      </c>
      <c r="K6" s="12">
        <v>1</v>
      </c>
      <c r="L6" s="12">
        <v>1</v>
      </c>
      <c r="M6" s="12">
        <v>0</v>
      </c>
    </row>
    <row r="7" spans="2:19" ht="14.4" customHeight="1" x14ac:dyDescent="0.3">
      <c r="B7" s="61"/>
      <c r="C7" s="61"/>
      <c r="D7" s="61"/>
      <c r="E7" s="61"/>
      <c r="F7" s="61"/>
      <c r="I7" s="12" t="s">
        <v>207</v>
      </c>
      <c r="J7" s="12">
        <v>0</v>
      </c>
      <c r="K7" s="12">
        <v>0</v>
      </c>
      <c r="L7" s="12">
        <v>1</v>
      </c>
      <c r="M7" s="12">
        <v>1</v>
      </c>
    </row>
    <row r="8" spans="2:19" ht="14.4" customHeight="1" x14ac:dyDescent="0.3">
      <c r="B8" s="61"/>
      <c r="C8" s="61"/>
      <c r="D8" s="61"/>
      <c r="E8" s="61"/>
      <c r="F8" s="61"/>
      <c r="I8" s="12" t="s">
        <v>208</v>
      </c>
      <c r="J8" s="12">
        <v>0</v>
      </c>
      <c r="K8" s="12">
        <v>1</v>
      </c>
      <c r="L8" s="12">
        <v>0</v>
      </c>
      <c r="M8" s="12">
        <v>1</v>
      </c>
    </row>
    <row r="9" spans="2:19" ht="14.4" customHeight="1" x14ac:dyDescent="0.3">
      <c r="B9" s="61"/>
      <c r="C9" s="61"/>
      <c r="D9" s="61"/>
      <c r="E9" s="61"/>
      <c r="F9" s="61"/>
      <c r="I9" s="12" t="s">
        <v>209</v>
      </c>
      <c r="J9" s="12">
        <v>1</v>
      </c>
      <c r="K9" s="12">
        <v>0</v>
      </c>
      <c r="L9" s="12">
        <v>0</v>
      </c>
      <c r="M9" s="12">
        <v>1</v>
      </c>
    </row>
    <row r="10" spans="2:19" ht="14.4" customHeight="1" x14ac:dyDescent="0.3">
      <c r="B10" s="61"/>
      <c r="C10" s="61"/>
      <c r="D10" s="61"/>
      <c r="E10" s="61"/>
      <c r="F10" s="61"/>
    </row>
    <row r="11" spans="2:19" ht="14.4" customHeight="1" x14ac:dyDescent="0.3">
      <c r="B11" s="61"/>
      <c r="C11" s="61"/>
      <c r="D11" s="61"/>
      <c r="E11" s="61"/>
      <c r="F11" s="61"/>
    </row>
    <row r="12" spans="2:19" ht="14.4" customHeight="1" x14ac:dyDescent="0.3">
      <c r="B12" s="61"/>
      <c r="C12" s="61"/>
      <c r="D12" s="61"/>
      <c r="E12" s="61"/>
      <c r="F12" s="61"/>
    </row>
    <row r="13" spans="2:19" ht="14.4" customHeight="1" x14ac:dyDescent="0.3">
      <c r="B13" s="61"/>
      <c r="C13" s="61"/>
      <c r="D13" s="61"/>
      <c r="E13" s="61"/>
      <c r="F13" s="61"/>
      <c r="K13" s="23" t="s">
        <v>199</v>
      </c>
      <c r="L13" s="12" t="s">
        <v>204</v>
      </c>
      <c r="M13" s="12" t="s">
        <v>205</v>
      </c>
      <c r="N13" s="12" t="s">
        <v>206</v>
      </c>
      <c r="O13" s="12" t="s">
        <v>207</v>
      </c>
      <c r="P13" s="12" t="s">
        <v>208</v>
      </c>
      <c r="Q13" s="12" t="s">
        <v>209</v>
      </c>
      <c r="S13" s="12" t="s">
        <v>153</v>
      </c>
    </row>
    <row r="14" spans="2:19" ht="14.4" customHeight="1" x14ac:dyDescent="0.3">
      <c r="B14" s="61"/>
      <c r="C14" s="61"/>
      <c r="D14" s="61"/>
      <c r="E14" s="61"/>
      <c r="F14" s="61"/>
      <c r="K14" s="23" t="s">
        <v>200</v>
      </c>
      <c r="L14" s="12">
        <v>1</v>
      </c>
      <c r="M14" s="12">
        <v>1</v>
      </c>
      <c r="N14" s="12">
        <v>0</v>
      </c>
      <c r="O14" s="12">
        <v>0</v>
      </c>
      <c r="P14" s="12">
        <v>0</v>
      </c>
      <c r="Q14" s="12">
        <v>1</v>
      </c>
      <c r="S14" s="12">
        <v>1</v>
      </c>
    </row>
    <row r="15" spans="2:19" ht="14.4" customHeight="1" x14ac:dyDescent="0.3">
      <c r="B15" s="61"/>
      <c r="C15" s="61"/>
      <c r="D15" s="61"/>
      <c r="E15" s="61"/>
      <c r="F15" s="61"/>
      <c r="K15" s="23" t="s">
        <v>201</v>
      </c>
      <c r="L15" s="12">
        <v>0</v>
      </c>
      <c r="M15" s="12">
        <v>1</v>
      </c>
      <c r="N15" s="12">
        <v>1</v>
      </c>
      <c r="O15" s="12">
        <v>0</v>
      </c>
      <c r="P15" s="12">
        <v>1</v>
      </c>
      <c r="Q15" s="12">
        <v>0</v>
      </c>
      <c r="S15" s="12">
        <v>0</v>
      </c>
    </row>
    <row r="16" spans="2:19" ht="14.4" customHeight="1" x14ac:dyDescent="0.3">
      <c r="B16" s="61"/>
      <c r="C16" s="61"/>
      <c r="D16" s="61"/>
      <c r="E16" s="61"/>
      <c r="F16" s="61"/>
      <c r="K16" s="23" t="s">
        <v>202</v>
      </c>
      <c r="L16" s="12">
        <v>1</v>
      </c>
      <c r="M16" s="12">
        <v>0</v>
      </c>
      <c r="N16" s="12">
        <v>1</v>
      </c>
      <c r="O16" s="12">
        <v>1</v>
      </c>
      <c r="P16" s="12">
        <v>0</v>
      </c>
      <c r="Q16" s="12">
        <v>0</v>
      </c>
      <c r="S16" s="12">
        <v>1</v>
      </c>
    </row>
    <row r="17" spans="2:19" ht="14.4" customHeight="1" x14ac:dyDescent="0.3">
      <c r="B17" s="61"/>
      <c r="C17" s="61"/>
      <c r="D17" s="61"/>
      <c r="E17" s="61"/>
      <c r="F17" s="61"/>
      <c r="K17" s="23" t="s">
        <v>203</v>
      </c>
      <c r="L17" s="12">
        <v>0</v>
      </c>
      <c r="M17" s="12">
        <v>0</v>
      </c>
      <c r="N17" s="12">
        <v>0</v>
      </c>
      <c r="O17" s="12">
        <v>1</v>
      </c>
      <c r="P17" s="12">
        <v>1</v>
      </c>
      <c r="Q17" s="12">
        <v>1</v>
      </c>
      <c r="S17" s="12">
        <v>1</v>
      </c>
    </row>
    <row r="18" spans="2:19" ht="14.4" customHeight="1" x14ac:dyDescent="0.3">
      <c r="B18" s="61"/>
      <c r="C18" s="61"/>
      <c r="D18" s="61"/>
      <c r="E18" s="61"/>
      <c r="F18" s="61"/>
    </row>
    <row r="19" spans="2:19" ht="18.600000000000001" customHeight="1" x14ac:dyDescent="0.3">
      <c r="B19" s="61"/>
      <c r="C19" s="61"/>
      <c r="D19" s="61"/>
      <c r="E19" s="61"/>
      <c r="F19" s="61"/>
      <c r="L19" s="12" t="s">
        <v>324</v>
      </c>
      <c r="M19" s="12" t="s">
        <v>243</v>
      </c>
      <c r="N19" s="12">
        <f>SUM(S14:S17)</f>
        <v>3</v>
      </c>
      <c r="O19" s="12"/>
      <c r="P19" s="12"/>
      <c r="Q19" s="12"/>
    </row>
    <row r="20" spans="2:19" x14ac:dyDescent="0.3">
      <c r="K20" s="11"/>
      <c r="N20" t="s">
        <v>29</v>
      </c>
      <c r="P20" t="s">
        <v>30</v>
      </c>
    </row>
    <row r="21" spans="2:19" x14ac:dyDescent="0.3">
      <c r="M21" t="s">
        <v>204</v>
      </c>
      <c r="N21">
        <f>SUMPRODUCT(S14:S17,L14:L17)</f>
        <v>2</v>
      </c>
      <c r="O21" t="s">
        <v>12</v>
      </c>
      <c r="P21">
        <v>1</v>
      </c>
    </row>
    <row r="22" spans="2:19" x14ac:dyDescent="0.3">
      <c r="M22" t="s">
        <v>205</v>
      </c>
      <c r="N22">
        <f>SUMPRODUCT(M14:M17,S14:S17)</f>
        <v>1</v>
      </c>
      <c r="O22" t="s">
        <v>12</v>
      </c>
      <c r="P22">
        <v>1</v>
      </c>
    </row>
    <row r="23" spans="2:19" x14ac:dyDescent="0.3">
      <c r="M23" t="s">
        <v>206</v>
      </c>
      <c r="N23">
        <f>SUMPRODUCT(N14:N17,S14:S17)</f>
        <v>1</v>
      </c>
      <c r="O23" t="s">
        <v>12</v>
      </c>
      <c r="P23">
        <v>1</v>
      </c>
    </row>
    <row r="24" spans="2:19" x14ac:dyDescent="0.3">
      <c r="M24" t="s">
        <v>207</v>
      </c>
      <c r="N24">
        <f>SUMPRODUCT(O14:O17,S14:S17)</f>
        <v>2</v>
      </c>
      <c r="O24" t="s">
        <v>12</v>
      </c>
      <c r="P24">
        <v>1</v>
      </c>
    </row>
    <row r="25" spans="2:19" x14ac:dyDescent="0.3">
      <c r="M25" t="s">
        <v>208</v>
      </c>
      <c r="N25">
        <f>SUMPRODUCT(P14:P17,S14:S17)</f>
        <v>1</v>
      </c>
      <c r="O25" t="s">
        <v>12</v>
      </c>
      <c r="P25">
        <v>1</v>
      </c>
    </row>
    <row r="26" spans="2:19" x14ac:dyDescent="0.3">
      <c r="M26" t="s">
        <v>209</v>
      </c>
      <c r="N26">
        <f>SUMPRODUCT(Q14:Q17,S14:S17)</f>
        <v>2</v>
      </c>
      <c r="O26" t="s">
        <v>12</v>
      </c>
      <c r="P26">
        <v>1</v>
      </c>
    </row>
  </sheetData>
  <mergeCells count="2">
    <mergeCell ref="B3:F19"/>
    <mergeCell ref="I1:M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82326-B891-403C-8A19-FB1F025A8A93}">
  <dimension ref="B1:W35"/>
  <sheetViews>
    <sheetView topLeftCell="A2" workbookViewId="0">
      <selection activeCell="H2" sqref="H2:W26"/>
    </sheetView>
  </sheetViews>
  <sheetFormatPr defaultRowHeight="14.4" x14ac:dyDescent="0.3"/>
  <sheetData>
    <row r="1" spans="2:23" ht="18" x14ac:dyDescent="0.3">
      <c r="I1" s="4" t="s">
        <v>197</v>
      </c>
    </row>
    <row r="3" spans="2:23" ht="15" thickBot="1" x14ac:dyDescent="0.35"/>
    <row r="4" spans="2:23" x14ac:dyDescent="0.3">
      <c r="I4" s="62" t="s">
        <v>127</v>
      </c>
      <c r="J4" s="63"/>
      <c r="K4" s="62" t="s">
        <v>128</v>
      </c>
      <c r="L4" s="63"/>
      <c r="M4" s="62" t="s">
        <v>129</v>
      </c>
      <c r="N4" s="63"/>
      <c r="O4" s="62" t="s">
        <v>130</v>
      </c>
      <c r="P4" s="63"/>
    </row>
    <row r="5" spans="2:23" ht="15" thickBot="1" x14ac:dyDescent="0.35">
      <c r="I5" s="64"/>
      <c r="J5" s="65"/>
      <c r="K5" s="64"/>
      <c r="L5" s="65"/>
      <c r="M5" s="64"/>
      <c r="N5" s="65"/>
      <c r="O5" s="64"/>
      <c r="P5" s="65"/>
    </row>
    <row r="6" spans="2:23" x14ac:dyDescent="0.3">
      <c r="I6" s="62" t="s">
        <v>131</v>
      </c>
      <c r="J6" s="63"/>
      <c r="K6" s="62" t="s">
        <v>132</v>
      </c>
      <c r="L6" s="63"/>
      <c r="M6" s="62" t="s">
        <v>133</v>
      </c>
      <c r="N6" s="63"/>
      <c r="O6" s="62" t="s">
        <v>134</v>
      </c>
      <c r="P6" s="63"/>
    </row>
    <row r="7" spans="2:23" ht="15" thickBot="1" x14ac:dyDescent="0.35">
      <c r="I7" s="64"/>
      <c r="J7" s="65"/>
      <c r="K7" s="64"/>
      <c r="L7" s="65"/>
      <c r="M7" s="64"/>
      <c r="N7" s="65"/>
      <c r="O7" s="64"/>
      <c r="P7" s="65"/>
    </row>
    <row r="8" spans="2:23" x14ac:dyDescent="0.3">
      <c r="I8" s="62" t="s">
        <v>135</v>
      </c>
      <c r="J8" s="63"/>
      <c r="K8" s="62" t="s">
        <v>136</v>
      </c>
      <c r="L8" s="63"/>
      <c r="M8" s="62" t="s">
        <v>137</v>
      </c>
      <c r="N8" s="63"/>
      <c r="O8" s="62" t="s">
        <v>138</v>
      </c>
      <c r="P8" s="63"/>
    </row>
    <row r="9" spans="2:23" ht="15" thickBot="1" x14ac:dyDescent="0.35">
      <c r="I9" s="64"/>
      <c r="J9" s="65"/>
      <c r="K9" s="64"/>
      <c r="L9" s="65"/>
      <c r="M9" s="64"/>
      <c r="N9" s="65"/>
      <c r="O9" s="64"/>
      <c r="P9" s="65"/>
    </row>
    <row r="10" spans="2:23" x14ac:dyDescent="0.3">
      <c r="I10" s="10"/>
      <c r="J10" s="10"/>
      <c r="K10" s="10"/>
      <c r="L10" s="10"/>
      <c r="M10" s="10"/>
    </row>
    <row r="11" spans="2:23" x14ac:dyDescent="0.3">
      <c r="I11" s="10"/>
      <c r="J11" s="10"/>
      <c r="K11" s="10"/>
      <c r="L11" s="10"/>
      <c r="M11" s="10"/>
    </row>
    <row r="12" spans="2:23" x14ac:dyDescent="0.3">
      <c r="I12" s="10"/>
      <c r="J12" s="10"/>
      <c r="K12" s="10"/>
      <c r="L12" s="10"/>
      <c r="M12" s="10"/>
    </row>
    <row r="13" spans="2:23" x14ac:dyDescent="0.3">
      <c r="I13" s="10"/>
      <c r="J13" s="10"/>
      <c r="K13" s="10"/>
      <c r="L13" s="10"/>
      <c r="M13" s="10"/>
    </row>
    <row r="14" spans="2:23" x14ac:dyDescent="0.3">
      <c r="J14" t="s">
        <v>127</v>
      </c>
      <c r="K14" t="s">
        <v>128</v>
      </c>
      <c r="L14" t="s">
        <v>129</v>
      </c>
      <c r="M14" t="s">
        <v>130</v>
      </c>
      <c r="N14" t="s">
        <v>131</v>
      </c>
      <c r="O14" t="s">
        <v>132</v>
      </c>
      <c r="P14" t="s">
        <v>133</v>
      </c>
      <c r="Q14" t="s">
        <v>134</v>
      </c>
      <c r="R14" t="s">
        <v>135</v>
      </c>
      <c r="S14" t="s">
        <v>136</v>
      </c>
      <c r="T14" t="s">
        <v>137</v>
      </c>
      <c r="U14" t="s">
        <v>138</v>
      </c>
      <c r="W14" t="s">
        <v>190</v>
      </c>
    </row>
    <row r="15" spans="2:23" x14ac:dyDescent="0.3">
      <c r="I15" t="s">
        <v>127</v>
      </c>
      <c r="J15">
        <v>1</v>
      </c>
      <c r="K15">
        <v>1</v>
      </c>
      <c r="L15">
        <v>0</v>
      </c>
      <c r="M15">
        <v>0</v>
      </c>
      <c r="N15">
        <v>1</v>
      </c>
      <c r="O15">
        <v>1</v>
      </c>
      <c r="P15">
        <v>0</v>
      </c>
      <c r="Q15">
        <v>0</v>
      </c>
      <c r="R15">
        <v>0</v>
      </c>
      <c r="S15">
        <v>0</v>
      </c>
      <c r="T15">
        <v>0</v>
      </c>
      <c r="U15">
        <v>0</v>
      </c>
      <c r="W15">
        <v>1</v>
      </c>
    </row>
    <row r="16" spans="2:23" x14ac:dyDescent="0.3">
      <c r="B16" t="s">
        <v>193</v>
      </c>
      <c r="I16" t="s">
        <v>128</v>
      </c>
      <c r="J16">
        <v>1</v>
      </c>
      <c r="K16">
        <v>1</v>
      </c>
      <c r="L16">
        <v>1</v>
      </c>
      <c r="M16">
        <v>0</v>
      </c>
      <c r="N16">
        <v>1</v>
      </c>
      <c r="O16">
        <v>1</v>
      </c>
      <c r="P16">
        <v>1</v>
      </c>
      <c r="Q16">
        <v>0</v>
      </c>
      <c r="R16">
        <v>0</v>
      </c>
      <c r="S16">
        <v>0</v>
      </c>
      <c r="T16">
        <v>0</v>
      </c>
      <c r="U16">
        <v>0</v>
      </c>
      <c r="W16">
        <v>1</v>
      </c>
    </row>
    <row r="17" spans="2:23" x14ac:dyDescent="0.3">
      <c r="B17" t="s">
        <v>194</v>
      </c>
      <c r="I17" t="s">
        <v>129</v>
      </c>
      <c r="J17">
        <v>0</v>
      </c>
      <c r="K17">
        <v>1</v>
      </c>
      <c r="L17">
        <v>1</v>
      </c>
      <c r="M17">
        <v>1</v>
      </c>
      <c r="N17">
        <v>0</v>
      </c>
      <c r="O17">
        <v>1</v>
      </c>
      <c r="P17">
        <v>1</v>
      </c>
      <c r="Q17">
        <v>1</v>
      </c>
      <c r="R17">
        <v>0</v>
      </c>
      <c r="S17">
        <v>0</v>
      </c>
      <c r="T17">
        <v>0</v>
      </c>
      <c r="U17">
        <v>0</v>
      </c>
      <c r="W17">
        <v>0</v>
      </c>
    </row>
    <row r="18" spans="2:23" x14ac:dyDescent="0.3">
      <c r="B18" t="s">
        <v>195</v>
      </c>
      <c r="I18" t="s">
        <v>130</v>
      </c>
      <c r="J18">
        <v>0</v>
      </c>
      <c r="K18">
        <v>0</v>
      </c>
      <c r="L18">
        <v>1</v>
      </c>
      <c r="M18">
        <v>1</v>
      </c>
      <c r="N18">
        <v>0</v>
      </c>
      <c r="O18">
        <v>0</v>
      </c>
      <c r="P18">
        <v>1</v>
      </c>
      <c r="Q18">
        <v>1</v>
      </c>
      <c r="R18">
        <v>0</v>
      </c>
      <c r="S18">
        <v>0</v>
      </c>
      <c r="T18">
        <v>0</v>
      </c>
      <c r="U18">
        <v>0</v>
      </c>
      <c r="W18">
        <v>0</v>
      </c>
    </row>
    <row r="19" spans="2:23" x14ac:dyDescent="0.3">
      <c r="B19" t="s">
        <v>196</v>
      </c>
      <c r="I19" t="s">
        <v>131</v>
      </c>
      <c r="J19">
        <v>1</v>
      </c>
      <c r="K19">
        <v>1</v>
      </c>
      <c r="L19">
        <v>0</v>
      </c>
      <c r="M19">
        <v>0</v>
      </c>
      <c r="N19">
        <v>1</v>
      </c>
      <c r="O19">
        <v>1</v>
      </c>
      <c r="P19">
        <v>0</v>
      </c>
      <c r="Q19">
        <v>0</v>
      </c>
      <c r="R19">
        <v>1</v>
      </c>
      <c r="S19">
        <v>1</v>
      </c>
      <c r="T19">
        <v>0</v>
      </c>
      <c r="U19">
        <v>0</v>
      </c>
      <c r="W19">
        <v>0</v>
      </c>
    </row>
    <row r="20" spans="2:23" x14ac:dyDescent="0.3">
      <c r="I20" t="s">
        <v>132</v>
      </c>
      <c r="J20">
        <v>1</v>
      </c>
      <c r="K20">
        <v>1</v>
      </c>
      <c r="L20">
        <v>1</v>
      </c>
      <c r="M20">
        <v>0</v>
      </c>
      <c r="N20">
        <v>1</v>
      </c>
      <c r="O20">
        <v>1</v>
      </c>
      <c r="P20">
        <v>1</v>
      </c>
      <c r="Q20">
        <v>0</v>
      </c>
      <c r="R20">
        <v>1</v>
      </c>
      <c r="S20">
        <v>1</v>
      </c>
      <c r="T20">
        <v>1</v>
      </c>
      <c r="U20">
        <v>0</v>
      </c>
      <c r="W20">
        <v>0</v>
      </c>
    </row>
    <row r="21" spans="2:23" x14ac:dyDescent="0.3">
      <c r="I21" t="s">
        <v>133</v>
      </c>
      <c r="J21">
        <v>0</v>
      </c>
      <c r="K21">
        <v>1</v>
      </c>
      <c r="L21">
        <v>1</v>
      </c>
      <c r="M21">
        <v>1</v>
      </c>
      <c r="N21">
        <v>0</v>
      </c>
      <c r="O21">
        <v>1</v>
      </c>
      <c r="P21">
        <v>1</v>
      </c>
      <c r="Q21">
        <v>1</v>
      </c>
      <c r="R21">
        <v>0</v>
      </c>
      <c r="S21">
        <v>1</v>
      </c>
      <c r="T21">
        <v>1</v>
      </c>
      <c r="U21">
        <v>1</v>
      </c>
      <c r="W21">
        <v>0</v>
      </c>
    </row>
    <row r="22" spans="2:23" x14ac:dyDescent="0.3">
      <c r="I22" t="s">
        <v>134</v>
      </c>
      <c r="J22">
        <v>0</v>
      </c>
      <c r="K22">
        <v>0</v>
      </c>
      <c r="L22">
        <v>1</v>
      </c>
      <c r="M22">
        <v>1</v>
      </c>
      <c r="N22">
        <v>0</v>
      </c>
      <c r="O22">
        <v>0</v>
      </c>
      <c r="P22">
        <v>1</v>
      </c>
      <c r="Q22">
        <v>1</v>
      </c>
      <c r="R22">
        <v>0</v>
      </c>
      <c r="S22">
        <v>0</v>
      </c>
      <c r="T22">
        <v>1</v>
      </c>
      <c r="U22">
        <v>1</v>
      </c>
      <c r="W22">
        <v>0</v>
      </c>
    </row>
    <row r="23" spans="2:23" x14ac:dyDescent="0.3">
      <c r="I23" t="s">
        <v>135</v>
      </c>
      <c r="J23">
        <v>0</v>
      </c>
      <c r="K23">
        <v>0</v>
      </c>
      <c r="L23">
        <v>0</v>
      </c>
      <c r="M23">
        <v>0</v>
      </c>
      <c r="N23">
        <v>1</v>
      </c>
      <c r="O23">
        <v>1</v>
      </c>
      <c r="P23">
        <v>0</v>
      </c>
      <c r="Q23">
        <v>0</v>
      </c>
      <c r="R23">
        <v>1</v>
      </c>
      <c r="S23">
        <v>1</v>
      </c>
      <c r="T23">
        <v>0</v>
      </c>
      <c r="U23">
        <v>0</v>
      </c>
      <c r="W23">
        <v>0</v>
      </c>
    </row>
    <row r="24" spans="2:23" x14ac:dyDescent="0.3">
      <c r="I24" t="s">
        <v>136</v>
      </c>
      <c r="J24">
        <v>0</v>
      </c>
      <c r="K24">
        <v>0</v>
      </c>
      <c r="L24">
        <v>0</v>
      </c>
      <c r="M24">
        <v>0</v>
      </c>
      <c r="N24">
        <v>1</v>
      </c>
      <c r="O24">
        <v>1</v>
      </c>
      <c r="P24">
        <v>1</v>
      </c>
      <c r="Q24">
        <v>0</v>
      </c>
      <c r="R24">
        <v>1</v>
      </c>
      <c r="S24">
        <v>1</v>
      </c>
      <c r="T24">
        <v>1</v>
      </c>
      <c r="U24">
        <v>0</v>
      </c>
      <c r="W24">
        <v>0</v>
      </c>
    </row>
    <row r="25" spans="2:23" x14ac:dyDescent="0.3">
      <c r="I25" t="s">
        <v>137</v>
      </c>
      <c r="J25">
        <v>0</v>
      </c>
      <c r="K25">
        <v>0</v>
      </c>
      <c r="L25">
        <v>0</v>
      </c>
      <c r="M25">
        <v>0</v>
      </c>
      <c r="N25">
        <v>0</v>
      </c>
      <c r="O25">
        <v>1</v>
      </c>
      <c r="P25">
        <v>1</v>
      </c>
      <c r="Q25">
        <v>1</v>
      </c>
      <c r="R25">
        <v>0</v>
      </c>
      <c r="S25">
        <v>1</v>
      </c>
      <c r="T25">
        <v>1</v>
      </c>
      <c r="U25">
        <v>1</v>
      </c>
      <c r="W25">
        <v>0</v>
      </c>
    </row>
    <row r="26" spans="2:23" x14ac:dyDescent="0.3">
      <c r="I26" t="s">
        <v>138</v>
      </c>
      <c r="J26">
        <v>0</v>
      </c>
      <c r="K26">
        <v>0</v>
      </c>
      <c r="L26">
        <v>0</v>
      </c>
      <c r="M26">
        <v>0</v>
      </c>
      <c r="N26">
        <v>0</v>
      </c>
      <c r="O26">
        <v>0</v>
      </c>
      <c r="P26">
        <v>1</v>
      </c>
      <c r="Q26">
        <v>1</v>
      </c>
      <c r="R26">
        <v>0</v>
      </c>
      <c r="S26">
        <v>0</v>
      </c>
      <c r="T26">
        <v>1</v>
      </c>
      <c r="U26">
        <v>1</v>
      </c>
      <c r="W26">
        <v>0</v>
      </c>
    </row>
    <row r="29" spans="2:23" x14ac:dyDescent="0.3">
      <c r="I29" t="s">
        <v>154</v>
      </c>
      <c r="J29">
        <f>SUM(W15:W26)</f>
        <v>2</v>
      </c>
    </row>
    <row r="31" spans="2:23" x14ac:dyDescent="0.3">
      <c r="I31" t="s">
        <v>191</v>
      </c>
      <c r="V31" t="s">
        <v>155</v>
      </c>
    </row>
    <row r="32" spans="2:23" x14ac:dyDescent="0.3">
      <c r="J32" t="s">
        <v>127</v>
      </c>
      <c r="K32" t="s">
        <v>128</v>
      </c>
      <c r="L32" t="s">
        <v>129</v>
      </c>
      <c r="M32" t="s">
        <v>130</v>
      </c>
      <c r="N32" t="s">
        <v>131</v>
      </c>
      <c r="O32" t="s">
        <v>132</v>
      </c>
      <c r="P32" t="s">
        <v>133</v>
      </c>
      <c r="Q32" t="s">
        <v>134</v>
      </c>
      <c r="R32" t="s">
        <v>135</v>
      </c>
      <c r="S32" t="s">
        <v>136</v>
      </c>
      <c r="T32" t="s">
        <v>137</v>
      </c>
      <c r="U32" t="s">
        <v>138</v>
      </c>
    </row>
    <row r="33" spans="9:21" x14ac:dyDescent="0.3">
      <c r="I33" t="s">
        <v>29</v>
      </c>
      <c r="J33">
        <f t="shared" ref="J33:U33" si="0">SUMPRODUCT($W$15:$W$26,J15:J26)</f>
        <v>2</v>
      </c>
      <c r="K33">
        <f t="shared" si="0"/>
        <v>2</v>
      </c>
      <c r="L33">
        <f t="shared" si="0"/>
        <v>1</v>
      </c>
      <c r="M33">
        <f t="shared" si="0"/>
        <v>0</v>
      </c>
      <c r="N33">
        <f t="shared" si="0"/>
        <v>2</v>
      </c>
      <c r="O33">
        <f t="shared" si="0"/>
        <v>2</v>
      </c>
      <c r="P33">
        <f t="shared" si="0"/>
        <v>1</v>
      </c>
      <c r="Q33">
        <f t="shared" si="0"/>
        <v>0</v>
      </c>
      <c r="R33">
        <f t="shared" si="0"/>
        <v>0</v>
      </c>
      <c r="S33">
        <f t="shared" si="0"/>
        <v>0</v>
      </c>
      <c r="T33">
        <f t="shared" si="0"/>
        <v>0</v>
      </c>
      <c r="U33">
        <f t="shared" si="0"/>
        <v>0</v>
      </c>
    </row>
    <row r="35" spans="9:21" x14ac:dyDescent="0.3">
      <c r="I35" t="s">
        <v>192</v>
      </c>
      <c r="J35">
        <v>2</v>
      </c>
      <c r="K35">
        <v>2</v>
      </c>
      <c r="L35">
        <v>2</v>
      </c>
      <c r="M35">
        <v>2</v>
      </c>
      <c r="N35">
        <v>2</v>
      </c>
      <c r="O35">
        <v>2</v>
      </c>
      <c r="P35">
        <v>2</v>
      </c>
      <c r="Q35">
        <v>2</v>
      </c>
      <c r="R35">
        <v>2</v>
      </c>
      <c r="S35">
        <v>2</v>
      </c>
      <c r="T35">
        <v>2</v>
      </c>
      <c r="U35">
        <v>2</v>
      </c>
    </row>
  </sheetData>
  <mergeCells count="12">
    <mergeCell ref="I8:J9"/>
    <mergeCell ref="K8:L9"/>
    <mergeCell ref="M8:N9"/>
    <mergeCell ref="O8:P9"/>
    <mergeCell ref="I4:J5"/>
    <mergeCell ref="K4:L5"/>
    <mergeCell ref="M4:N5"/>
    <mergeCell ref="O4:P5"/>
    <mergeCell ref="I6:J7"/>
    <mergeCell ref="K6:L7"/>
    <mergeCell ref="M6:N7"/>
    <mergeCell ref="O6:P7"/>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3CA2A-2031-4EE8-A79C-230E3A2747E4}">
  <dimension ref="C4:T32"/>
  <sheetViews>
    <sheetView workbookViewId="0">
      <selection activeCell="N11" sqref="N11"/>
    </sheetView>
  </sheetViews>
  <sheetFormatPr defaultRowHeight="14.4" x14ac:dyDescent="0.3"/>
  <sheetData>
    <row r="4" spans="4:18" ht="15" thickBot="1" x14ac:dyDescent="0.35"/>
    <row r="5" spans="4:18" x14ac:dyDescent="0.3">
      <c r="D5" s="66" t="s">
        <v>127</v>
      </c>
      <c r="E5" s="67"/>
      <c r="F5" s="66" t="s">
        <v>128</v>
      </c>
      <c r="G5" s="67"/>
      <c r="H5" s="70" t="s">
        <v>129</v>
      </c>
      <c r="I5" s="71"/>
      <c r="J5" s="74" t="s">
        <v>130</v>
      </c>
      <c r="K5" s="75"/>
    </row>
    <row r="6" spans="4:18" ht="15" thickBot="1" x14ac:dyDescent="0.35">
      <c r="D6" s="68"/>
      <c r="E6" s="69"/>
      <c r="F6" s="68"/>
      <c r="G6" s="69"/>
      <c r="H6" s="72"/>
      <c r="I6" s="73"/>
      <c r="J6" s="76"/>
      <c r="K6" s="77"/>
    </row>
    <row r="7" spans="4:18" x14ac:dyDescent="0.3">
      <c r="D7" s="66" t="s">
        <v>131</v>
      </c>
      <c r="E7" s="67"/>
      <c r="F7" s="70" t="s">
        <v>132</v>
      </c>
      <c r="G7" s="71"/>
      <c r="H7" s="74" t="s">
        <v>133</v>
      </c>
      <c r="I7" s="75"/>
      <c r="J7" s="74" t="s">
        <v>134</v>
      </c>
      <c r="K7" s="75"/>
    </row>
    <row r="8" spans="4:18" ht="15" thickBot="1" x14ac:dyDescent="0.35">
      <c r="D8" s="68"/>
      <c r="E8" s="69"/>
      <c r="F8" s="72"/>
      <c r="G8" s="73"/>
      <c r="H8" s="76"/>
      <c r="I8" s="77"/>
      <c r="J8" s="76"/>
      <c r="K8" s="77"/>
    </row>
    <row r="9" spans="4:18" x14ac:dyDescent="0.3">
      <c r="D9" s="66" t="s">
        <v>135</v>
      </c>
      <c r="E9" s="67"/>
      <c r="F9" s="66" t="s">
        <v>136</v>
      </c>
      <c r="G9" s="67"/>
      <c r="H9" s="66" t="s">
        <v>137</v>
      </c>
      <c r="I9" s="67"/>
      <c r="J9" s="62" t="s">
        <v>138</v>
      </c>
      <c r="K9" s="63"/>
    </row>
    <row r="10" spans="4:18" ht="15" thickBot="1" x14ac:dyDescent="0.35">
      <c r="D10" s="68"/>
      <c r="E10" s="69"/>
      <c r="F10" s="68"/>
      <c r="G10" s="69"/>
      <c r="H10" s="68"/>
      <c r="I10" s="69"/>
      <c r="J10" s="64"/>
      <c r="K10" s="65"/>
    </row>
    <row r="11" spans="4:18" x14ac:dyDescent="0.3">
      <c r="D11" s="10"/>
      <c r="E11" s="10"/>
      <c r="F11" s="10"/>
      <c r="G11" s="10"/>
      <c r="H11" s="10"/>
    </row>
    <row r="12" spans="4:18" x14ac:dyDescent="0.3">
      <c r="D12" s="10"/>
      <c r="E12" s="10"/>
      <c r="F12" s="10"/>
      <c r="G12" s="10"/>
      <c r="H12" s="10"/>
    </row>
    <row r="13" spans="4:18" x14ac:dyDescent="0.3">
      <c r="D13" s="10"/>
      <c r="E13" s="10"/>
      <c r="F13" s="10"/>
      <c r="G13" s="10"/>
      <c r="H13" s="10"/>
    </row>
    <row r="14" spans="4:18" x14ac:dyDescent="0.3">
      <c r="D14" s="10"/>
      <c r="E14" s="10"/>
      <c r="F14" s="10"/>
      <c r="G14" s="10"/>
      <c r="H14" s="10"/>
    </row>
    <row r="15" spans="4:18" x14ac:dyDescent="0.3">
      <c r="E15" t="s">
        <v>127</v>
      </c>
      <c r="F15" t="s">
        <v>128</v>
      </c>
      <c r="G15" t="s">
        <v>129</v>
      </c>
      <c r="H15" t="s">
        <v>130</v>
      </c>
      <c r="I15" t="s">
        <v>131</v>
      </c>
      <c r="J15" t="s">
        <v>132</v>
      </c>
      <c r="K15" t="s">
        <v>133</v>
      </c>
      <c r="L15" t="s">
        <v>134</v>
      </c>
      <c r="M15" t="s">
        <v>135</v>
      </c>
      <c r="N15" t="s">
        <v>136</v>
      </c>
      <c r="O15" t="s">
        <v>137</v>
      </c>
      <c r="P15" t="s">
        <v>138</v>
      </c>
      <c r="R15" t="s">
        <v>190</v>
      </c>
    </row>
    <row r="16" spans="4:18" x14ac:dyDescent="0.3">
      <c r="D16" t="s">
        <v>127</v>
      </c>
      <c r="E16">
        <v>1</v>
      </c>
      <c r="F16">
        <v>1</v>
      </c>
      <c r="G16">
        <v>0</v>
      </c>
      <c r="H16">
        <v>0</v>
      </c>
      <c r="I16">
        <v>1</v>
      </c>
      <c r="J16">
        <v>1</v>
      </c>
      <c r="K16">
        <v>0</v>
      </c>
      <c r="L16">
        <v>0</v>
      </c>
      <c r="M16">
        <v>0</v>
      </c>
      <c r="N16">
        <v>0</v>
      </c>
      <c r="O16">
        <v>0</v>
      </c>
      <c r="P16">
        <v>0</v>
      </c>
      <c r="R16">
        <v>0</v>
      </c>
    </row>
    <row r="17" spans="3:20" x14ac:dyDescent="0.3">
      <c r="D17" t="s">
        <v>128</v>
      </c>
      <c r="E17">
        <v>1</v>
      </c>
      <c r="F17">
        <v>1</v>
      </c>
      <c r="G17">
        <v>1</v>
      </c>
      <c r="H17">
        <v>0</v>
      </c>
      <c r="I17">
        <v>1</v>
      </c>
      <c r="J17">
        <v>1</v>
      </c>
      <c r="K17">
        <v>1</v>
      </c>
      <c r="L17">
        <v>0</v>
      </c>
      <c r="M17">
        <v>0</v>
      </c>
      <c r="N17">
        <v>0</v>
      </c>
      <c r="O17">
        <v>0</v>
      </c>
      <c r="P17">
        <v>0</v>
      </c>
      <c r="R17">
        <v>0</v>
      </c>
    </row>
    <row r="18" spans="3:20" x14ac:dyDescent="0.3">
      <c r="D18" t="s">
        <v>129</v>
      </c>
      <c r="E18">
        <v>0</v>
      </c>
      <c r="F18">
        <v>1</v>
      </c>
      <c r="G18">
        <v>1</v>
      </c>
      <c r="H18">
        <v>1</v>
      </c>
      <c r="I18">
        <v>0</v>
      </c>
      <c r="J18">
        <v>1</v>
      </c>
      <c r="K18">
        <v>1</v>
      </c>
      <c r="L18">
        <v>1</v>
      </c>
      <c r="M18">
        <v>0</v>
      </c>
      <c r="N18">
        <v>0</v>
      </c>
      <c r="O18">
        <v>0</v>
      </c>
      <c r="P18">
        <v>0</v>
      </c>
      <c r="R18">
        <v>1</v>
      </c>
    </row>
    <row r="19" spans="3:20" x14ac:dyDescent="0.3">
      <c r="D19" t="s">
        <v>130</v>
      </c>
      <c r="E19">
        <v>0</v>
      </c>
      <c r="F19">
        <v>0</v>
      </c>
      <c r="G19">
        <v>1</v>
      </c>
      <c r="H19">
        <v>1</v>
      </c>
      <c r="I19">
        <v>0</v>
      </c>
      <c r="J19">
        <v>0</v>
      </c>
      <c r="K19">
        <v>1</v>
      </c>
      <c r="L19">
        <v>1</v>
      </c>
      <c r="M19">
        <v>0</v>
      </c>
      <c r="N19">
        <v>0</v>
      </c>
      <c r="O19">
        <v>0</v>
      </c>
      <c r="P19">
        <v>0</v>
      </c>
      <c r="R19">
        <v>0</v>
      </c>
    </row>
    <row r="20" spans="3:20" x14ac:dyDescent="0.3">
      <c r="D20" t="s">
        <v>131</v>
      </c>
      <c r="E20">
        <v>1</v>
      </c>
      <c r="F20">
        <v>1</v>
      </c>
      <c r="G20">
        <v>0</v>
      </c>
      <c r="H20">
        <v>0</v>
      </c>
      <c r="I20">
        <v>1</v>
      </c>
      <c r="J20">
        <v>1</v>
      </c>
      <c r="K20">
        <v>0</v>
      </c>
      <c r="L20">
        <v>0</v>
      </c>
      <c r="M20">
        <v>1</v>
      </c>
      <c r="N20">
        <v>1</v>
      </c>
      <c r="O20">
        <v>0</v>
      </c>
      <c r="P20">
        <v>0</v>
      </c>
      <c r="R20">
        <v>0</v>
      </c>
    </row>
    <row r="21" spans="3:20" x14ac:dyDescent="0.3">
      <c r="D21" t="s">
        <v>132</v>
      </c>
      <c r="E21">
        <v>1</v>
      </c>
      <c r="F21">
        <v>1</v>
      </c>
      <c r="G21">
        <v>1</v>
      </c>
      <c r="H21">
        <v>0</v>
      </c>
      <c r="I21">
        <v>1</v>
      </c>
      <c r="J21">
        <v>1</v>
      </c>
      <c r="K21">
        <v>1</v>
      </c>
      <c r="L21">
        <v>0</v>
      </c>
      <c r="M21">
        <v>1</v>
      </c>
      <c r="N21">
        <v>1</v>
      </c>
      <c r="O21">
        <v>1</v>
      </c>
      <c r="P21">
        <v>0</v>
      </c>
      <c r="R21">
        <v>1</v>
      </c>
    </row>
    <row r="22" spans="3:20" x14ac:dyDescent="0.3">
      <c r="D22" t="s">
        <v>133</v>
      </c>
      <c r="E22">
        <v>0</v>
      </c>
      <c r="F22">
        <v>1</v>
      </c>
      <c r="G22">
        <v>1</v>
      </c>
      <c r="H22">
        <v>1</v>
      </c>
      <c r="I22">
        <v>0</v>
      </c>
      <c r="J22">
        <v>1</v>
      </c>
      <c r="K22">
        <v>1</v>
      </c>
      <c r="L22">
        <v>1</v>
      </c>
      <c r="M22">
        <v>0</v>
      </c>
      <c r="N22">
        <v>1</v>
      </c>
      <c r="O22">
        <v>1</v>
      </c>
      <c r="P22">
        <v>1</v>
      </c>
      <c r="R22">
        <v>0</v>
      </c>
    </row>
    <row r="23" spans="3:20" x14ac:dyDescent="0.3">
      <c r="D23" t="s">
        <v>134</v>
      </c>
      <c r="E23">
        <v>0</v>
      </c>
      <c r="F23">
        <v>0</v>
      </c>
      <c r="G23">
        <v>1</v>
      </c>
      <c r="H23">
        <v>1</v>
      </c>
      <c r="I23">
        <v>0</v>
      </c>
      <c r="J23">
        <v>0</v>
      </c>
      <c r="K23">
        <v>1</v>
      </c>
      <c r="L23">
        <v>1</v>
      </c>
      <c r="M23">
        <v>0</v>
      </c>
      <c r="N23">
        <v>0</v>
      </c>
      <c r="O23">
        <v>1</v>
      </c>
      <c r="P23">
        <v>1</v>
      </c>
      <c r="R23">
        <v>0</v>
      </c>
    </row>
    <row r="24" spans="3:20" x14ac:dyDescent="0.3">
      <c r="D24" t="s">
        <v>135</v>
      </c>
      <c r="E24">
        <v>0</v>
      </c>
      <c r="F24">
        <v>0</v>
      </c>
      <c r="G24">
        <v>0</v>
      </c>
      <c r="H24">
        <v>0</v>
      </c>
      <c r="I24">
        <v>1</v>
      </c>
      <c r="J24">
        <v>1</v>
      </c>
      <c r="K24">
        <v>0</v>
      </c>
      <c r="L24">
        <v>0</v>
      </c>
      <c r="M24">
        <v>1</v>
      </c>
      <c r="N24">
        <v>1</v>
      </c>
      <c r="O24">
        <v>0</v>
      </c>
      <c r="P24">
        <v>0</v>
      </c>
      <c r="R24">
        <v>0</v>
      </c>
    </row>
    <row r="25" spans="3:20" x14ac:dyDescent="0.3">
      <c r="D25" t="s">
        <v>136</v>
      </c>
      <c r="E25">
        <v>0</v>
      </c>
      <c r="F25">
        <v>0</v>
      </c>
      <c r="G25">
        <v>0</v>
      </c>
      <c r="H25">
        <v>0</v>
      </c>
      <c r="I25">
        <v>1</v>
      </c>
      <c r="J25">
        <v>1</v>
      </c>
      <c r="K25">
        <v>1</v>
      </c>
      <c r="L25">
        <v>0</v>
      </c>
      <c r="M25">
        <v>1</v>
      </c>
      <c r="N25">
        <v>1</v>
      </c>
      <c r="O25">
        <v>1</v>
      </c>
      <c r="P25">
        <v>0</v>
      </c>
      <c r="R25">
        <v>0</v>
      </c>
    </row>
    <row r="26" spans="3:20" x14ac:dyDescent="0.3">
      <c r="D26" t="s">
        <v>137</v>
      </c>
      <c r="E26">
        <v>0</v>
      </c>
      <c r="F26">
        <v>0</v>
      </c>
      <c r="G26">
        <v>0</v>
      </c>
      <c r="H26">
        <v>0</v>
      </c>
      <c r="I26">
        <v>0</v>
      </c>
      <c r="J26">
        <v>1</v>
      </c>
      <c r="K26">
        <v>1</v>
      </c>
      <c r="L26">
        <v>1</v>
      </c>
      <c r="M26">
        <v>0</v>
      </c>
      <c r="N26">
        <v>1</v>
      </c>
      <c r="O26">
        <v>1</v>
      </c>
      <c r="P26">
        <v>1</v>
      </c>
      <c r="R26">
        <v>0</v>
      </c>
    </row>
    <row r="27" spans="3:20" x14ac:dyDescent="0.3">
      <c r="D27" t="s">
        <v>138</v>
      </c>
      <c r="E27">
        <v>0</v>
      </c>
      <c r="F27">
        <v>0</v>
      </c>
      <c r="G27">
        <v>0</v>
      </c>
      <c r="H27">
        <v>0</v>
      </c>
      <c r="I27">
        <v>0</v>
      </c>
      <c r="J27">
        <v>0</v>
      </c>
      <c r="K27">
        <v>1</v>
      </c>
      <c r="L27">
        <v>1</v>
      </c>
      <c r="M27">
        <v>0</v>
      </c>
      <c r="N27">
        <v>0</v>
      </c>
      <c r="O27">
        <v>1</v>
      </c>
      <c r="P27">
        <v>1</v>
      </c>
      <c r="R27">
        <v>0</v>
      </c>
    </row>
    <row r="29" spans="3:20" x14ac:dyDescent="0.3">
      <c r="C29" t="s">
        <v>255</v>
      </c>
      <c r="E29" t="s">
        <v>127</v>
      </c>
      <c r="F29" t="s">
        <v>128</v>
      </c>
      <c r="G29" t="s">
        <v>129</v>
      </c>
      <c r="H29" t="s">
        <v>130</v>
      </c>
      <c r="I29" t="s">
        <v>131</v>
      </c>
      <c r="J29" t="s">
        <v>132</v>
      </c>
      <c r="K29" t="s">
        <v>133</v>
      </c>
      <c r="L29" t="s">
        <v>134</v>
      </c>
      <c r="M29" t="s">
        <v>135</v>
      </c>
      <c r="N29" t="s">
        <v>136</v>
      </c>
      <c r="O29" t="s">
        <v>137</v>
      </c>
      <c r="P29" t="s">
        <v>138</v>
      </c>
    </row>
    <row r="30" spans="3:20" x14ac:dyDescent="0.3">
      <c r="E30">
        <f>SUMPRODUCT($R$16:$R$27,E16:E27)</f>
        <v>1</v>
      </c>
      <c r="F30">
        <f t="shared" ref="F30:P30" si="0">SUMPRODUCT($R$16:$R$27,F16:F27)</f>
        <v>2</v>
      </c>
      <c r="G30">
        <f t="shared" si="0"/>
        <v>2</v>
      </c>
      <c r="H30">
        <f t="shared" si="0"/>
        <v>1</v>
      </c>
      <c r="I30">
        <f t="shared" si="0"/>
        <v>1</v>
      </c>
      <c r="J30">
        <f t="shared" si="0"/>
        <v>2</v>
      </c>
      <c r="K30">
        <f t="shared" si="0"/>
        <v>2</v>
      </c>
      <c r="L30">
        <f t="shared" si="0"/>
        <v>1</v>
      </c>
      <c r="M30">
        <f t="shared" si="0"/>
        <v>1</v>
      </c>
      <c r="N30">
        <f t="shared" si="0"/>
        <v>1</v>
      </c>
      <c r="O30">
        <f t="shared" si="0"/>
        <v>1</v>
      </c>
      <c r="P30">
        <f t="shared" si="0"/>
        <v>0</v>
      </c>
      <c r="R30" t="s">
        <v>337</v>
      </c>
      <c r="T30">
        <f>SUM(R16:R27)</f>
        <v>2</v>
      </c>
    </row>
    <row r="31" spans="3:20" x14ac:dyDescent="0.3">
      <c r="E31" t="s">
        <v>12</v>
      </c>
      <c r="F31" t="s">
        <v>12</v>
      </c>
      <c r="G31" t="s">
        <v>12</v>
      </c>
      <c r="H31" t="s">
        <v>12</v>
      </c>
      <c r="I31" t="s">
        <v>12</v>
      </c>
      <c r="J31" t="s">
        <v>12</v>
      </c>
      <c r="K31" t="s">
        <v>12</v>
      </c>
      <c r="L31" t="s">
        <v>12</v>
      </c>
      <c r="M31" t="s">
        <v>12</v>
      </c>
      <c r="N31" t="s">
        <v>12</v>
      </c>
      <c r="O31" t="s">
        <v>12</v>
      </c>
      <c r="P31" t="s">
        <v>269</v>
      </c>
    </row>
    <row r="32" spans="3:20" x14ac:dyDescent="0.3">
      <c r="C32" t="s">
        <v>336</v>
      </c>
      <c r="E32">
        <v>1</v>
      </c>
      <c r="F32">
        <v>1</v>
      </c>
      <c r="G32">
        <v>1</v>
      </c>
      <c r="H32">
        <v>1</v>
      </c>
      <c r="I32">
        <v>1</v>
      </c>
      <c r="J32">
        <v>1</v>
      </c>
      <c r="K32">
        <v>1</v>
      </c>
      <c r="L32">
        <v>1</v>
      </c>
      <c r="M32">
        <v>1</v>
      </c>
      <c r="N32">
        <v>1</v>
      </c>
      <c r="O32">
        <v>1</v>
      </c>
      <c r="P32">
        <v>0</v>
      </c>
    </row>
  </sheetData>
  <mergeCells count="12">
    <mergeCell ref="D9:E10"/>
    <mergeCell ref="F9:G10"/>
    <mergeCell ref="H9:I10"/>
    <mergeCell ref="J9:K10"/>
    <mergeCell ref="D5:E6"/>
    <mergeCell ref="F5:G6"/>
    <mergeCell ref="H5:I6"/>
    <mergeCell ref="J5:K6"/>
    <mergeCell ref="D7:E8"/>
    <mergeCell ref="F7:G8"/>
    <mergeCell ref="H7:I8"/>
    <mergeCell ref="J7:K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92A3F-52C3-44F2-9CE5-0603E758FFB3}">
  <dimension ref="B1:P23"/>
  <sheetViews>
    <sheetView workbookViewId="0">
      <selection activeCell="M16" sqref="M16"/>
    </sheetView>
  </sheetViews>
  <sheetFormatPr defaultRowHeight="14.4" x14ac:dyDescent="0.3"/>
  <cols>
    <col min="6" max="6" width="18.5546875" customWidth="1"/>
    <col min="10" max="10" width="13.6640625" customWidth="1"/>
  </cols>
  <sheetData>
    <row r="1" spans="2:16" x14ac:dyDescent="0.3">
      <c r="B1" s="78" t="s">
        <v>220</v>
      </c>
      <c r="C1" s="78"/>
      <c r="D1" s="78"/>
      <c r="E1" s="78"/>
      <c r="F1" s="78"/>
    </row>
    <row r="3" spans="2:16" ht="14.4" customHeight="1" x14ac:dyDescent="0.3">
      <c r="B3" s="61" t="s">
        <v>222</v>
      </c>
      <c r="C3" s="61"/>
      <c r="D3" s="61"/>
      <c r="E3" s="61"/>
      <c r="F3" s="61"/>
    </row>
    <row r="4" spans="2:16" x14ac:dyDescent="0.3">
      <c r="B4" s="61"/>
      <c r="C4" s="61"/>
      <c r="D4" s="61"/>
      <c r="E4" s="61"/>
      <c r="F4" s="61"/>
      <c r="L4" t="s">
        <v>232</v>
      </c>
      <c r="M4" t="s">
        <v>233</v>
      </c>
      <c r="P4">
        <v>20</v>
      </c>
    </row>
    <row r="5" spans="2:16" x14ac:dyDescent="0.3">
      <c r="B5" s="61"/>
      <c r="C5" s="61"/>
      <c r="D5" s="61"/>
      <c r="E5" s="61"/>
      <c r="F5" s="61"/>
      <c r="J5" t="s">
        <v>226</v>
      </c>
      <c r="L5" t="s">
        <v>223</v>
      </c>
      <c r="M5" t="s">
        <v>225</v>
      </c>
      <c r="N5" t="s">
        <v>224</v>
      </c>
      <c r="O5" t="s">
        <v>228</v>
      </c>
      <c r="P5" t="s">
        <v>227</v>
      </c>
    </row>
    <row r="6" spans="2:16" x14ac:dyDescent="0.3">
      <c r="B6" s="61"/>
      <c r="C6" s="61"/>
      <c r="D6" s="61"/>
      <c r="E6" s="61"/>
      <c r="F6" s="61"/>
      <c r="J6">
        <v>8</v>
      </c>
      <c r="K6" t="s">
        <v>127</v>
      </c>
      <c r="L6" s="5">
        <v>1</v>
      </c>
      <c r="M6" s="5">
        <v>8</v>
      </c>
      <c r="N6">
        <v>30000</v>
      </c>
      <c r="O6">
        <v>9000</v>
      </c>
      <c r="P6">
        <v>2</v>
      </c>
    </row>
    <row r="7" spans="2:16" x14ac:dyDescent="0.3">
      <c r="B7" s="61"/>
      <c r="C7" s="61"/>
      <c r="D7" s="61"/>
      <c r="E7" s="61"/>
      <c r="F7" s="61"/>
      <c r="J7">
        <v>12</v>
      </c>
      <c r="K7" t="s">
        <v>128</v>
      </c>
      <c r="L7" s="5">
        <v>0</v>
      </c>
      <c r="M7" s="5">
        <v>12</v>
      </c>
      <c r="N7">
        <v>20000</v>
      </c>
      <c r="O7">
        <v>7000</v>
      </c>
      <c r="P7">
        <v>1</v>
      </c>
    </row>
    <row r="8" spans="2:16" x14ac:dyDescent="0.3">
      <c r="B8" s="61"/>
      <c r="C8" s="61"/>
      <c r="D8" s="61"/>
      <c r="E8" s="61"/>
      <c r="F8" s="61"/>
    </row>
    <row r="9" spans="2:16" x14ac:dyDescent="0.3">
      <c r="B9" s="61"/>
      <c r="C9" s="61"/>
      <c r="D9" s="61"/>
      <c r="E9" s="61"/>
      <c r="F9" s="61"/>
    </row>
    <row r="10" spans="2:16" x14ac:dyDescent="0.3">
      <c r="B10" s="61"/>
      <c r="C10" s="61"/>
      <c r="D10" s="61"/>
      <c r="E10" s="61"/>
      <c r="F10" s="61"/>
      <c r="J10" t="s">
        <v>56</v>
      </c>
    </row>
    <row r="11" spans="2:16" x14ac:dyDescent="0.3">
      <c r="B11" s="61"/>
      <c r="C11" s="61"/>
      <c r="D11" s="61"/>
      <c r="E11" s="61"/>
      <c r="F11" s="61"/>
      <c r="K11" t="s">
        <v>57</v>
      </c>
      <c r="L11">
        <f>L6*(M6*O6-N6)+L7*(M7*O7-N7)</f>
        <v>42000</v>
      </c>
    </row>
    <row r="12" spans="2:16" x14ac:dyDescent="0.3">
      <c r="B12" s="61"/>
      <c r="C12" s="61"/>
      <c r="D12" s="61"/>
      <c r="E12" s="61"/>
      <c r="F12" s="61"/>
    </row>
    <row r="13" spans="2:16" x14ac:dyDescent="0.3">
      <c r="B13" s="61"/>
      <c r="C13" s="61"/>
      <c r="D13" s="61"/>
      <c r="E13" s="61"/>
      <c r="F13" s="61"/>
      <c r="K13" t="s">
        <v>155</v>
      </c>
    </row>
    <row r="14" spans="2:16" x14ac:dyDescent="0.3">
      <c r="B14" s="61"/>
      <c r="C14" s="61"/>
      <c r="D14" s="61"/>
      <c r="E14" s="61"/>
      <c r="F14" s="61"/>
      <c r="L14" t="s">
        <v>229</v>
      </c>
      <c r="M14">
        <f>M6</f>
        <v>8</v>
      </c>
      <c r="N14" t="s">
        <v>45</v>
      </c>
      <c r="O14">
        <v>8</v>
      </c>
    </row>
    <row r="15" spans="2:16" x14ac:dyDescent="0.3">
      <c r="B15" s="61"/>
      <c r="C15" s="61"/>
      <c r="D15" s="61"/>
      <c r="E15" s="61"/>
      <c r="F15" s="61"/>
      <c r="L15" t="s">
        <v>230</v>
      </c>
      <c r="M15">
        <f>M7</f>
        <v>12</v>
      </c>
      <c r="N15" t="s">
        <v>45</v>
      </c>
      <c r="O15">
        <v>12</v>
      </c>
    </row>
    <row r="16" spans="2:16" x14ac:dyDescent="0.3">
      <c r="B16" s="61"/>
      <c r="C16" s="61"/>
      <c r="D16" s="61"/>
      <c r="E16" s="61"/>
      <c r="F16" s="61"/>
      <c r="L16" t="s">
        <v>231</v>
      </c>
      <c r="M16">
        <f>SUMPRODUCT(M6:M7,P6:P7,L6:L7)</f>
        <v>16</v>
      </c>
      <c r="N16" t="s">
        <v>45</v>
      </c>
      <c r="O16">
        <v>20</v>
      </c>
    </row>
    <row r="17" spans="2:6" x14ac:dyDescent="0.3">
      <c r="B17" s="61"/>
      <c r="C17" s="61"/>
      <c r="D17" s="61"/>
      <c r="E17" s="61"/>
      <c r="F17" s="61"/>
    </row>
    <row r="18" spans="2:6" x14ac:dyDescent="0.3">
      <c r="B18" s="61"/>
      <c r="C18" s="61"/>
      <c r="D18" s="61"/>
      <c r="E18" s="61"/>
      <c r="F18" s="61"/>
    </row>
    <row r="19" spans="2:6" x14ac:dyDescent="0.3">
      <c r="B19" s="61"/>
      <c r="C19" s="61"/>
      <c r="D19" s="61"/>
      <c r="E19" s="61"/>
      <c r="F19" s="61"/>
    </row>
    <row r="20" spans="2:6" x14ac:dyDescent="0.3">
      <c r="B20" s="61"/>
      <c r="C20" s="61"/>
      <c r="D20" s="61"/>
      <c r="E20" s="61"/>
      <c r="F20" s="61"/>
    </row>
    <row r="21" spans="2:6" x14ac:dyDescent="0.3">
      <c r="B21" s="61"/>
      <c r="C21" s="61"/>
      <c r="D21" s="61"/>
      <c r="E21" s="61"/>
      <c r="F21" s="61"/>
    </row>
    <row r="22" spans="2:6" x14ac:dyDescent="0.3">
      <c r="B22" s="61"/>
      <c r="C22" s="61"/>
      <c r="D22" s="61"/>
      <c r="E22" s="61"/>
      <c r="F22" s="61"/>
    </row>
    <row r="23" spans="2:6" x14ac:dyDescent="0.3">
      <c r="B23" s="61"/>
      <c r="C23" s="61"/>
      <c r="D23" s="61"/>
      <c r="E23" s="61"/>
      <c r="F23" s="61"/>
    </row>
  </sheetData>
  <mergeCells count="2">
    <mergeCell ref="B3:F23"/>
    <mergeCell ref="B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3024C-9E91-4D86-9F1B-5D6E9B5CAA89}">
  <dimension ref="B1:W29"/>
  <sheetViews>
    <sheetView zoomScale="112" workbookViewId="0"/>
  </sheetViews>
  <sheetFormatPr defaultRowHeight="14.4" x14ac:dyDescent="0.3"/>
  <sheetData>
    <row r="1" spans="2:23" x14ac:dyDescent="0.3">
      <c r="B1" s="78" t="s">
        <v>338</v>
      </c>
      <c r="C1" s="78"/>
      <c r="D1" s="78"/>
      <c r="E1" s="78"/>
      <c r="F1" s="78"/>
      <c r="G1" s="78"/>
      <c r="H1" s="78"/>
    </row>
    <row r="3" spans="2:23" x14ac:dyDescent="0.3">
      <c r="B3" s="60" t="s">
        <v>235</v>
      </c>
      <c r="C3" s="60"/>
      <c r="D3" s="60"/>
      <c r="E3" s="60"/>
      <c r="F3" s="60"/>
      <c r="G3" s="60"/>
      <c r="H3" s="60"/>
      <c r="L3">
        <v>6000</v>
      </c>
      <c r="M3">
        <v>4000</v>
      </c>
      <c r="N3">
        <v>2000</v>
      </c>
      <c r="O3">
        <v>1500</v>
      </c>
      <c r="T3">
        <v>6000</v>
      </c>
      <c r="U3">
        <v>4000</v>
      </c>
      <c r="V3">
        <v>2000</v>
      </c>
      <c r="W3">
        <v>1500</v>
      </c>
    </row>
    <row r="4" spans="2:23" x14ac:dyDescent="0.3">
      <c r="B4" s="60"/>
      <c r="C4" s="60"/>
      <c r="D4" s="60"/>
      <c r="E4" s="60"/>
      <c r="F4" s="60"/>
      <c r="G4" s="60"/>
      <c r="H4" s="60"/>
      <c r="K4" s="31"/>
      <c r="L4" s="31" t="s">
        <v>236</v>
      </c>
      <c r="M4" s="31" t="s">
        <v>237</v>
      </c>
      <c r="N4" s="31" t="s">
        <v>238</v>
      </c>
      <c r="O4" s="31" t="s">
        <v>239</v>
      </c>
      <c r="S4" s="31"/>
      <c r="T4" s="31" t="s">
        <v>236</v>
      </c>
      <c r="U4" s="31" t="s">
        <v>237</v>
      </c>
      <c r="V4" s="31" t="s">
        <v>238</v>
      </c>
      <c r="W4" s="31" t="s">
        <v>239</v>
      </c>
    </row>
    <row r="5" spans="2:23" x14ac:dyDescent="0.3">
      <c r="B5" s="60"/>
      <c r="C5" s="60"/>
      <c r="D5" s="60"/>
      <c r="E5" s="60"/>
      <c r="F5" s="60"/>
      <c r="G5" s="60"/>
      <c r="H5" s="60"/>
      <c r="J5">
        <v>5000</v>
      </c>
      <c r="K5" s="31" t="s">
        <v>240</v>
      </c>
      <c r="L5" s="31">
        <v>3</v>
      </c>
      <c r="M5" s="31">
        <v>2</v>
      </c>
      <c r="N5" s="31">
        <v>7</v>
      </c>
      <c r="O5" s="31">
        <v>6</v>
      </c>
      <c r="R5">
        <v>5000</v>
      </c>
      <c r="S5" s="31" t="s">
        <v>240</v>
      </c>
      <c r="T5" s="31">
        <v>3</v>
      </c>
      <c r="U5" s="31">
        <v>2</v>
      </c>
      <c r="V5" s="31">
        <v>7</v>
      </c>
      <c r="W5" s="31">
        <v>6</v>
      </c>
    </row>
    <row r="6" spans="2:23" x14ac:dyDescent="0.3">
      <c r="B6" s="60"/>
      <c r="C6" s="60"/>
      <c r="D6" s="60"/>
      <c r="E6" s="60"/>
      <c r="F6" s="60"/>
      <c r="G6" s="60"/>
      <c r="H6" s="60"/>
      <c r="J6">
        <v>6000</v>
      </c>
      <c r="K6" s="31" t="s">
        <v>241</v>
      </c>
      <c r="L6" s="31">
        <v>7</v>
      </c>
      <c r="M6" s="31">
        <v>5</v>
      </c>
      <c r="N6" s="31">
        <v>2</v>
      </c>
      <c r="O6" s="31">
        <v>3</v>
      </c>
      <c r="R6">
        <v>6000</v>
      </c>
      <c r="S6" s="31" t="s">
        <v>241</v>
      </c>
      <c r="T6" s="31">
        <v>7</v>
      </c>
      <c r="U6" s="31">
        <v>5</v>
      </c>
      <c r="V6" s="31">
        <v>2</v>
      </c>
      <c r="W6" s="31">
        <v>3</v>
      </c>
    </row>
    <row r="7" spans="2:23" x14ac:dyDescent="0.3">
      <c r="B7" s="60"/>
      <c r="C7" s="60"/>
      <c r="D7" s="60"/>
      <c r="E7" s="60"/>
      <c r="F7" s="60"/>
      <c r="G7" s="60"/>
      <c r="H7" s="60"/>
      <c r="J7">
        <v>2500</v>
      </c>
      <c r="K7" s="31" t="s">
        <v>242</v>
      </c>
      <c r="L7" s="31">
        <v>2</v>
      </c>
      <c r="M7" s="31">
        <v>5</v>
      </c>
      <c r="N7" s="31">
        <v>4</v>
      </c>
      <c r="O7" s="31">
        <v>5</v>
      </c>
      <c r="R7">
        <v>2500</v>
      </c>
      <c r="S7" s="31" t="s">
        <v>242</v>
      </c>
      <c r="T7" s="31">
        <v>2</v>
      </c>
      <c r="U7" s="31">
        <v>5</v>
      </c>
      <c r="V7" s="31">
        <v>4</v>
      </c>
      <c r="W7" s="31">
        <v>5</v>
      </c>
    </row>
    <row r="8" spans="2:23" x14ac:dyDescent="0.3">
      <c r="B8" s="60"/>
      <c r="C8" s="60"/>
      <c r="D8" s="60"/>
      <c r="E8" s="60"/>
      <c r="F8" s="60"/>
      <c r="G8" s="60"/>
      <c r="H8" s="60"/>
    </row>
    <row r="9" spans="2:23" x14ac:dyDescent="0.3">
      <c r="B9" s="60"/>
      <c r="C9" s="60"/>
      <c r="D9" s="60"/>
      <c r="E9" s="60"/>
      <c r="F9" s="60"/>
      <c r="G9" s="60"/>
      <c r="H9" s="60"/>
    </row>
    <row r="10" spans="2:23" x14ac:dyDescent="0.3">
      <c r="B10" s="60"/>
      <c r="C10" s="60"/>
      <c r="D10" s="60"/>
      <c r="E10" s="60"/>
      <c r="F10" s="60"/>
      <c r="G10" s="60"/>
      <c r="H10" s="60"/>
    </row>
    <row r="11" spans="2:23" x14ac:dyDescent="0.3">
      <c r="B11" s="60"/>
      <c r="C11" s="60"/>
      <c r="D11" s="60"/>
      <c r="E11" s="60"/>
      <c r="F11" s="60"/>
      <c r="G11" s="60"/>
      <c r="H11" s="60"/>
    </row>
    <row r="12" spans="2:23" x14ac:dyDescent="0.3">
      <c r="B12" s="60"/>
      <c r="C12" s="60"/>
      <c r="D12" s="60"/>
      <c r="E12" s="60"/>
      <c r="F12" s="60"/>
      <c r="G12" s="60"/>
      <c r="H12" s="60"/>
      <c r="K12" s="31"/>
      <c r="L12" s="31" t="s">
        <v>236</v>
      </c>
      <c r="M12" s="31" t="s">
        <v>237</v>
      </c>
      <c r="N12" s="31" t="s">
        <v>238</v>
      </c>
      <c r="O12" s="31" t="s">
        <v>239</v>
      </c>
      <c r="S12" s="31"/>
      <c r="T12" s="31" t="s">
        <v>236</v>
      </c>
      <c r="U12" s="31" t="s">
        <v>237</v>
      </c>
      <c r="V12" s="31" t="s">
        <v>238</v>
      </c>
      <c r="W12" s="31" t="s">
        <v>239</v>
      </c>
    </row>
    <row r="13" spans="2:23" x14ac:dyDescent="0.3">
      <c r="B13" s="60"/>
      <c r="C13" s="60"/>
      <c r="D13" s="60"/>
      <c r="E13" s="60"/>
      <c r="F13" s="60"/>
      <c r="G13" s="60"/>
      <c r="H13" s="60"/>
      <c r="K13" s="31" t="s">
        <v>240</v>
      </c>
      <c r="L13" s="31">
        <v>1000</v>
      </c>
      <c r="M13" s="31">
        <v>4000</v>
      </c>
      <c r="N13" s="31"/>
      <c r="O13" s="31"/>
      <c r="S13" s="31" t="s">
        <v>240</v>
      </c>
      <c r="T13" s="31">
        <v>3500</v>
      </c>
      <c r="U13" s="31">
        <v>1500</v>
      </c>
      <c r="V13" s="31">
        <v>0</v>
      </c>
      <c r="W13" s="31">
        <v>0</v>
      </c>
    </row>
    <row r="14" spans="2:23" x14ac:dyDescent="0.3">
      <c r="B14" s="60"/>
      <c r="C14" s="60"/>
      <c r="D14" s="60"/>
      <c r="E14" s="60"/>
      <c r="F14" s="60"/>
      <c r="G14" s="60"/>
      <c r="H14" s="60"/>
      <c r="K14" s="31" t="s">
        <v>241</v>
      </c>
      <c r="L14" s="31">
        <v>2500</v>
      </c>
      <c r="M14" s="31"/>
      <c r="N14" s="31">
        <v>2000</v>
      </c>
      <c r="O14" s="31">
        <v>1500</v>
      </c>
      <c r="S14" s="31" t="s">
        <v>241</v>
      </c>
      <c r="T14" s="31">
        <v>0</v>
      </c>
      <c r="U14" s="31">
        <v>2500</v>
      </c>
      <c r="V14" s="31">
        <v>2000</v>
      </c>
      <c r="W14" s="31">
        <v>1500</v>
      </c>
    </row>
    <row r="15" spans="2:23" x14ac:dyDescent="0.3">
      <c r="B15" s="60"/>
      <c r="C15" s="60"/>
      <c r="D15" s="60"/>
      <c r="E15" s="60"/>
      <c r="F15" s="60"/>
      <c r="G15" s="60"/>
      <c r="H15" s="60"/>
      <c r="K15" s="31" t="s">
        <v>242</v>
      </c>
      <c r="L15" s="31">
        <v>2500</v>
      </c>
      <c r="M15" s="31"/>
      <c r="N15" s="31"/>
      <c r="O15" s="31"/>
      <c r="S15" s="31" t="s">
        <v>242</v>
      </c>
      <c r="T15" s="31">
        <v>2500</v>
      </c>
      <c r="U15" s="31">
        <v>0</v>
      </c>
      <c r="V15" s="31">
        <v>0</v>
      </c>
      <c r="W15" s="31">
        <v>0</v>
      </c>
    </row>
    <row r="16" spans="2:23" x14ac:dyDescent="0.3">
      <c r="B16" s="60"/>
      <c r="C16" s="60"/>
      <c r="D16" s="60"/>
      <c r="E16" s="60"/>
      <c r="F16" s="60"/>
      <c r="G16" s="60"/>
      <c r="H16" s="60"/>
    </row>
    <row r="17" spans="2:22" x14ac:dyDescent="0.3">
      <c r="B17" s="60"/>
      <c r="C17" s="60"/>
      <c r="D17" s="60"/>
      <c r="E17" s="60"/>
      <c r="F17" s="60"/>
      <c r="G17" s="60"/>
      <c r="H17" s="60"/>
    </row>
    <row r="18" spans="2:22" x14ac:dyDescent="0.3">
      <c r="B18" s="60"/>
      <c r="C18" s="60"/>
      <c r="D18" s="60"/>
      <c r="E18" s="60"/>
      <c r="F18" s="60"/>
      <c r="G18" s="60"/>
      <c r="H18" s="60"/>
    </row>
    <row r="19" spans="2:22" x14ac:dyDescent="0.3">
      <c r="B19" s="60"/>
      <c r="C19" s="60"/>
      <c r="D19" s="60"/>
      <c r="E19" s="60"/>
      <c r="F19" s="60"/>
      <c r="G19" s="60"/>
      <c r="H19" s="60"/>
      <c r="S19" t="s">
        <v>325</v>
      </c>
      <c r="U19">
        <f>SUMPRODUCT(T5:W7,T13:W15)</f>
        <v>39500</v>
      </c>
    </row>
    <row r="20" spans="2:22" x14ac:dyDescent="0.3">
      <c r="B20" s="60"/>
      <c r="C20" s="60"/>
      <c r="D20" s="60"/>
      <c r="E20" s="60"/>
      <c r="F20" s="60"/>
      <c r="G20" s="60"/>
      <c r="H20" s="60"/>
      <c r="K20" t="s">
        <v>325</v>
      </c>
      <c r="M20">
        <f>SUMPRODUCT(L5:O7,L13:O15)</f>
        <v>42000</v>
      </c>
    </row>
    <row r="21" spans="2:22" x14ac:dyDescent="0.3">
      <c r="B21" s="60"/>
      <c r="C21" s="60"/>
      <c r="D21" s="60"/>
      <c r="E21" s="60"/>
      <c r="F21" s="60"/>
      <c r="G21" s="60"/>
      <c r="H21" s="60"/>
      <c r="S21" t="s">
        <v>155</v>
      </c>
    </row>
    <row r="22" spans="2:22" x14ac:dyDescent="0.3">
      <c r="B22" s="60"/>
      <c r="C22" s="60"/>
      <c r="D22" s="60"/>
      <c r="E22" s="60"/>
      <c r="F22" s="60"/>
      <c r="G22" s="60"/>
      <c r="H22" s="60"/>
    </row>
    <row r="23" spans="2:22" x14ac:dyDescent="0.3">
      <c r="B23" s="60"/>
      <c r="C23" s="60"/>
      <c r="D23" s="60"/>
      <c r="E23" s="60"/>
      <c r="F23" s="60"/>
      <c r="G23" s="60"/>
      <c r="H23" s="60"/>
      <c r="S23" t="s">
        <v>240</v>
      </c>
      <c r="T23">
        <f>SUM(T13:W13)</f>
        <v>5000</v>
      </c>
      <c r="U23" t="s">
        <v>45</v>
      </c>
      <c r="V23">
        <v>5000</v>
      </c>
    </row>
    <row r="24" spans="2:22" x14ac:dyDescent="0.3">
      <c r="B24" s="60"/>
      <c r="C24" s="60"/>
      <c r="D24" s="60"/>
      <c r="E24" s="60"/>
      <c r="F24" s="60"/>
      <c r="G24" s="60"/>
      <c r="H24" s="60"/>
      <c r="S24" t="s">
        <v>241</v>
      </c>
      <c r="T24">
        <f>SUM(T14:W14)</f>
        <v>6000</v>
      </c>
      <c r="U24" t="s">
        <v>45</v>
      </c>
      <c r="V24">
        <v>6000</v>
      </c>
    </row>
    <row r="25" spans="2:22" x14ac:dyDescent="0.3">
      <c r="B25" s="60"/>
      <c r="C25" s="60"/>
      <c r="D25" s="60"/>
      <c r="E25" s="60"/>
      <c r="F25" s="60"/>
      <c r="G25" s="60"/>
      <c r="H25" s="60"/>
      <c r="S25" t="s">
        <v>242</v>
      </c>
      <c r="T25">
        <f>SUM(T15:W15)</f>
        <v>2500</v>
      </c>
      <c r="U25" t="s">
        <v>45</v>
      </c>
      <c r="V25">
        <v>2500</v>
      </c>
    </row>
    <row r="26" spans="2:22" x14ac:dyDescent="0.3">
      <c r="S26" t="s">
        <v>236</v>
      </c>
      <c r="T26">
        <f>SUM(T13:T15)</f>
        <v>6000</v>
      </c>
      <c r="U26" t="s">
        <v>12</v>
      </c>
      <c r="V26">
        <v>6000</v>
      </c>
    </row>
    <row r="27" spans="2:22" x14ac:dyDescent="0.3">
      <c r="S27" t="s">
        <v>237</v>
      </c>
      <c r="T27">
        <f>SUM(U13:U15)</f>
        <v>4000</v>
      </c>
      <c r="U27" t="s">
        <v>12</v>
      </c>
      <c r="V27">
        <v>4000</v>
      </c>
    </row>
    <row r="28" spans="2:22" x14ac:dyDescent="0.3">
      <c r="S28" t="s">
        <v>238</v>
      </c>
      <c r="T28">
        <f>SUM(V13:V15)</f>
        <v>2000</v>
      </c>
      <c r="U28" t="s">
        <v>12</v>
      </c>
      <c r="V28">
        <v>2000</v>
      </c>
    </row>
    <row r="29" spans="2:22" x14ac:dyDescent="0.3">
      <c r="S29" t="s">
        <v>239</v>
      </c>
      <c r="T29">
        <f>SUM(W13:W15)</f>
        <v>1500</v>
      </c>
      <c r="U29" t="s">
        <v>12</v>
      </c>
      <c r="V29">
        <v>1500</v>
      </c>
    </row>
  </sheetData>
  <mergeCells count="2">
    <mergeCell ref="B3:H25"/>
    <mergeCell ref="B1:H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1306A-99DC-4B54-B61C-2D3885445931}">
  <dimension ref="B2:R29"/>
  <sheetViews>
    <sheetView zoomScale="68" workbookViewId="0">
      <selection activeCell="T32" sqref="T32"/>
    </sheetView>
  </sheetViews>
  <sheetFormatPr defaultRowHeight="14.4" x14ac:dyDescent="0.3"/>
  <cols>
    <col min="9" max="10" width="8.88671875" style="34"/>
    <col min="11" max="11" width="33.33203125" style="34" customWidth="1"/>
    <col min="12" max="12" width="15.77734375" style="34" customWidth="1"/>
    <col min="13" max="15" width="8.88671875" style="34"/>
    <col min="16" max="16" width="12" style="34" customWidth="1"/>
    <col min="17" max="17" width="4.33203125" customWidth="1"/>
  </cols>
  <sheetData>
    <row r="2" spans="2:17" x14ac:dyDescent="0.3">
      <c r="B2" s="60" t="s">
        <v>275</v>
      </c>
      <c r="C2" s="60"/>
      <c r="D2" s="60"/>
      <c r="E2" s="60"/>
      <c r="F2" s="60"/>
    </row>
    <row r="3" spans="2:17" x14ac:dyDescent="0.3">
      <c r="B3" s="60"/>
      <c r="C3" s="60"/>
      <c r="D3" s="60"/>
      <c r="E3" s="60"/>
      <c r="F3" s="60"/>
    </row>
    <row r="4" spans="2:17" x14ac:dyDescent="0.3">
      <c r="B4" s="60"/>
      <c r="C4" s="60"/>
      <c r="D4" s="60"/>
      <c r="E4" s="60"/>
      <c r="F4" s="60"/>
    </row>
    <row r="5" spans="2:17" x14ac:dyDescent="0.3">
      <c r="B5" s="60"/>
      <c r="C5" s="60"/>
      <c r="D5" s="60"/>
      <c r="E5" s="60"/>
      <c r="F5" s="60"/>
      <c r="L5" s="78" t="s">
        <v>327</v>
      </c>
      <c r="M5" s="78"/>
      <c r="N5" s="78"/>
      <c r="O5" s="78"/>
    </row>
    <row r="6" spans="2:17" x14ac:dyDescent="0.3">
      <c r="B6" s="60"/>
      <c r="C6" s="60"/>
      <c r="D6" s="60"/>
      <c r="E6" s="60"/>
      <c r="F6" s="60"/>
      <c r="M6" s="34">
        <v>25</v>
      </c>
      <c r="N6" s="34">
        <v>25</v>
      </c>
      <c r="Q6" s="34"/>
    </row>
    <row r="7" spans="2:17" x14ac:dyDescent="0.3">
      <c r="B7" s="60"/>
      <c r="C7" s="60"/>
      <c r="D7" s="60"/>
      <c r="E7" s="60"/>
      <c r="F7" s="60"/>
      <c r="L7" s="20"/>
      <c r="M7" s="20" t="s">
        <v>278</v>
      </c>
      <c r="N7" s="20" t="s">
        <v>280</v>
      </c>
      <c r="O7" s="20" t="s">
        <v>279</v>
      </c>
      <c r="Q7" s="34"/>
    </row>
    <row r="8" spans="2:17" x14ac:dyDescent="0.3">
      <c r="B8" s="60"/>
      <c r="C8" s="60"/>
      <c r="D8" s="60"/>
      <c r="E8" s="60"/>
      <c r="F8" s="60"/>
      <c r="K8" s="34">
        <v>30</v>
      </c>
      <c r="L8" s="20" t="s">
        <v>276</v>
      </c>
      <c r="M8" s="20">
        <v>10</v>
      </c>
      <c r="N8" s="20">
        <v>12</v>
      </c>
      <c r="O8" s="20">
        <v>4</v>
      </c>
      <c r="Q8" s="34"/>
    </row>
    <row r="9" spans="2:17" x14ac:dyDescent="0.3">
      <c r="B9" s="60"/>
      <c r="C9" s="60"/>
      <c r="D9" s="60"/>
      <c r="E9" s="60"/>
      <c r="F9" s="60"/>
      <c r="K9" s="34">
        <v>20</v>
      </c>
      <c r="L9" s="20" t="s">
        <v>277</v>
      </c>
      <c r="M9" s="20">
        <v>11</v>
      </c>
      <c r="N9" s="20">
        <v>9</v>
      </c>
      <c r="O9" s="20">
        <v>6</v>
      </c>
      <c r="Q9" s="34"/>
    </row>
    <row r="10" spans="2:17" x14ac:dyDescent="0.3">
      <c r="B10" s="60"/>
      <c r="C10" s="60"/>
      <c r="D10" s="60"/>
      <c r="E10" s="60"/>
      <c r="F10" s="60"/>
      <c r="L10" s="20" t="s">
        <v>279</v>
      </c>
      <c r="M10" s="20">
        <v>3</v>
      </c>
      <c r="N10" s="20">
        <v>5</v>
      </c>
      <c r="O10" s="20"/>
      <c r="Q10" s="34"/>
    </row>
    <row r="11" spans="2:17" x14ac:dyDescent="0.3">
      <c r="B11" s="60"/>
      <c r="C11" s="60"/>
      <c r="D11" s="60"/>
      <c r="E11" s="60"/>
      <c r="F11" s="60"/>
      <c r="Q11" s="34"/>
    </row>
    <row r="12" spans="2:17" x14ac:dyDescent="0.3">
      <c r="B12" s="60"/>
      <c r="C12" s="60"/>
      <c r="D12" s="60"/>
      <c r="E12" s="60"/>
      <c r="F12" s="60"/>
      <c r="Q12" s="34"/>
    </row>
    <row r="13" spans="2:17" x14ac:dyDescent="0.3">
      <c r="B13" s="60"/>
      <c r="C13" s="60"/>
      <c r="D13" s="60"/>
      <c r="E13" s="60"/>
      <c r="F13" s="60"/>
      <c r="Q13" s="34"/>
    </row>
    <row r="14" spans="2:17" x14ac:dyDescent="0.3">
      <c r="B14" s="60"/>
      <c r="C14" s="60"/>
      <c r="D14" s="60"/>
      <c r="E14" s="60"/>
      <c r="F14" s="60"/>
      <c r="L14" s="78" t="s">
        <v>328</v>
      </c>
      <c r="M14" s="78"/>
      <c r="N14" s="78"/>
      <c r="O14" s="78"/>
      <c r="Q14" s="34"/>
    </row>
    <row r="15" spans="2:17" x14ac:dyDescent="0.3">
      <c r="B15" s="60"/>
      <c r="C15" s="60"/>
      <c r="D15" s="60"/>
      <c r="E15" s="60"/>
      <c r="F15" s="60"/>
      <c r="L15" s="20"/>
      <c r="M15" s="20" t="s">
        <v>278</v>
      </c>
      <c r="N15" s="20" t="s">
        <v>280</v>
      </c>
      <c r="O15" s="20" t="s">
        <v>279</v>
      </c>
      <c r="Q15" s="34"/>
    </row>
    <row r="16" spans="2:17" x14ac:dyDescent="0.3">
      <c r="B16" s="60"/>
      <c r="C16" s="60"/>
      <c r="D16" s="60"/>
      <c r="E16" s="60"/>
      <c r="F16" s="60"/>
      <c r="L16" s="20" t="s">
        <v>276</v>
      </c>
      <c r="M16" s="20">
        <v>0</v>
      </c>
      <c r="N16" s="20">
        <v>0</v>
      </c>
      <c r="O16" s="20">
        <v>30</v>
      </c>
      <c r="Q16" s="34"/>
    </row>
    <row r="17" spans="2:18" x14ac:dyDescent="0.3">
      <c r="B17" s="60"/>
      <c r="C17" s="60"/>
      <c r="D17" s="60"/>
      <c r="E17" s="60"/>
      <c r="F17" s="60"/>
      <c r="K17" s="34" t="s">
        <v>326</v>
      </c>
      <c r="L17" s="20" t="s">
        <v>277</v>
      </c>
      <c r="M17" s="20">
        <v>0</v>
      </c>
      <c r="N17" s="20">
        <v>20</v>
      </c>
      <c r="O17" s="20">
        <v>0</v>
      </c>
      <c r="Q17" s="34"/>
    </row>
    <row r="18" spans="2:18" x14ac:dyDescent="0.3">
      <c r="B18" s="60"/>
      <c r="C18" s="60"/>
      <c r="D18" s="60"/>
      <c r="E18" s="60"/>
      <c r="F18" s="60"/>
      <c r="L18" s="20" t="s">
        <v>279</v>
      </c>
      <c r="M18" s="20">
        <v>25</v>
      </c>
      <c r="N18" s="20">
        <v>5</v>
      </c>
      <c r="O18" s="20">
        <v>0</v>
      </c>
    </row>
    <row r="19" spans="2:18" x14ac:dyDescent="0.3">
      <c r="B19" s="60"/>
      <c r="C19" s="60"/>
      <c r="D19" s="60"/>
      <c r="E19" s="60"/>
      <c r="F19" s="60"/>
    </row>
    <row r="20" spans="2:18" x14ac:dyDescent="0.3">
      <c r="B20" s="60"/>
      <c r="C20" s="60"/>
      <c r="D20" s="60"/>
      <c r="E20" s="60"/>
      <c r="F20" s="60"/>
    </row>
    <row r="21" spans="2:18" x14ac:dyDescent="0.3">
      <c r="B21" s="60"/>
      <c r="C21" s="60"/>
      <c r="D21" s="60"/>
      <c r="E21" s="60"/>
      <c r="F21" s="60"/>
      <c r="L21" s="34" t="s">
        <v>329</v>
      </c>
      <c r="P21" s="34">
        <f>SUMPRODUCT(M8:O10,M16:O18)</f>
        <v>400</v>
      </c>
    </row>
    <row r="22" spans="2:18" x14ac:dyDescent="0.3">
      <c r="B22" s="60"/>
      <c r="C22" s="60"/>
      <c r="D22" s="60"/>
      <c r="E22" s="60"/>
      <c r="F22" s="60"/>
    </row>
    <row r="23" spans="2:18" x14ac:dyDescent="0.3">
      <c r="B23" s="60"/>
      <c r="C23" s="60"/>
      <c r="D23" s="60"/>
      <c r="E23" s="60"/>
      <c r="F23" s="60"/>
    </row>
    <row r="24" spans="2:18" x14ac:dyDescent="0.3">
      <c r="B24" s="60"/>
      <c r="C24" s="60"/>
      <c r="D24" s="60"/>
      <c r="E24" s="60"/>
      <c r="F24" s="60"/>
      <c r="K24" s="34" t="s">
        <v>11</v>
      </c>
    </row>
    <row r="25" spans="2:18" x14ac:dyDescent="0.3">
      <c r="B25" s="60"/>
      <c r="C25" s="60"/>
      <c r="D25" s="60"/>
      <c r="E25" s="60"/>
      <c r="F25" s="60"/>
      <c r="L25" s="34" t="s">
        <v>331</v>
      </c>
      <c r="P25" s="34">
        <f>SUM(M16+N16+O16)</f>
        <v>30</v>
      </c>
      <c r="Q25" t="s">
        <v>45</v>
      </c>
      <c r="R25">
        <v>30</v>
      </c>
    </row>
    <row r="26" spans="2:18" x14ac:dyDescent="0.3">
      <c r="B26" s="60"/>
      <c r="C26" s="60"/>
      <c r="D26" s="60"/>
      <c r="E26" s="60"/>
      <c r="F26" s="60"/>
      <c r="L26" s="34" t="s">
        <v>330</v>
      </c>
      <c r="P26" s="34">
        <f>M17+N17+O17</f>
        <v>20</v>
      </c>
      <c r="Q26" t="s">
        <v>45</v>
      </c>
      <c r="R26">
        <v>20</v>
      </c>
    </row>
    <row r="27" spans="2:18" x14ac:dyDescent="0.3">
      <c r="B27" s="60"/>
      <c r="C27" s="60"/>
      <c r="D27" s="60"/>
      <c r="E27" s="60"/>
      <c r="F27" s="60"/>
      <c r="L27" s="34" t="s">
        <v>332</v>
      </c>
      <c r="P27" s="34">
        <f>M16+M17+M18</f>
        <v>25</v>
      </c>
      <c r="Q27" t="s">
        <v>12</v>
      </c>
      <c r="R27">
        <v>25</v>
      </c>
    </row>
    <row r="28" spans="2:18" x14ac:dyDescent="0.3">
      <c r="L28" s="34" t="s">
        <v>333</v>
      </c>
      <c r="P28" s="34">
        <f>N16+N17+N18</f>
        <v>25</v>
      </c>
      <c r="Q28" t="s">
        <v>12</v>
      </c>
      <c r="R28">
        <v>25</v>
      </c>
    </row>
    <row r="29" spans="2:18" x14ac:dyDescent="0.3">
      <c r="L29" s="34" t="s">
        <v>334</v>
      </c>
      <c r="P29" s="34">
        <f>O16+O17</f>
        <v>30</v>
      </c>
      <c r="Q29" t="s">
        <v>269</v>
      </c>
      <c r="R29">
        <f>M18+N18</f>
        <v>30</v>
      </c>
    </row>
  </sheetData>
  <mergeCells count="3">
    <mergeCell ref="B2:F27"/>
    <mergeCell ref="L5:O5"/>
    <mergeCell ref="L14:O1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115B-DD47-4BD2-B181-8864B989AB21}">
  <dimension ref="C2:T25"/>
  <sheetViews>
    <sheetView topLeftCell="B1" zoomScale="108" workbookViewId="0">
      <selection activeCell="R15" sqref="R15"/>
    </sheetView>
  </sheetViews>
  <sheetFormatPr defaultRowHeight="14.4" x14ac:dyDescent="0.3"/>
  <cols>
    <col min="17" max="17" width="11.88671875" customWidth="1"/>
  </cols>
  <sheetData>
    <row r="2" spans="3:20" x14ac:dyDescent="0.3">
      <c r="E2" s="78"/>
      <c r="F2" s="78"/>
      <c r="G2" s="78"/>
    </row>
    <row r="3" spans="3:20" x14ac:dyDescent="0.3">
      <c r="C3" s="79" t="s">
        <v>273</v>
      </c>
      <c r="D3" s="79"/>
      <c r="E3" s="79"/>
      <c r="F3" s="79"/>
      <c r="G3" s="79"/>
      <c r="H3" s="79"/>
    </row>
    <row r="4" spans="3:20" x14ac:dyDescent="0.3">
      <c r="C4" s="79"/>
      <c r="D4" s="79"/>
      <c r="E4" s="79"/>
      <c r="F4" s="79"/>
      <c r="G4" s="79"/>
      <c r="H4" s="79"/>
      <c r="L4" s="78" t="s">
        <v>265</v>
      </c>
      <c r="M4" s="78"/>
      <c r="N4" s="78"/>
      <c r="P4" t="s">
        <v>267</v>
      </c>
      <c r="Q4">
        <f>SUMPRODUCT(Q23:S25,L12:N14)</f>
        <v>5060</v>
      </c>
      <c r="S4">
        <v>14778</v>
      </c>
    </row>
    <row r="5" spans="3:20" x14ac:dyDescent="0.3">
      <c r="C5" s="79"/>
      <c r="D5" s="79"/>
      <c r="E5" s="79"/>
      <c r="F5" s="79"/>
      <c r="G5" s="79"/>
      <c r="H5" s="79"/>
      <c r="L5" t="s">
        <v>247</v>
      </c>
      <c r="M5" t="s">
        <v>248</v>
      </c>
      <c r="N5" t="s">
        <v>256</v>
      </c>
      <c r="Q5" t="s">
        <v>270</v>
      </c>
    </row>
    <row r="6" spans="3:20" x14ac:dyDescent="0.3">
      <c r="C6" s="79"/>
      <c r="D6" s="79"/>
      <c r="E6" s="79"/>
      <c r="F6" s="79"/>
      <c r="G6" s="79"/>
      <c r="H6" s="79"/>
      <c r="K6" t="s">
        <v>257</v>
      </c>
      <c r="L6">
        <v>10</v>
      </c>
      <c r="M6">
        <v>20</v>
      </c>
      <c r="N6">
        <v>20</v>
      </c>
    </row>
    <row r="7" spans="3:20" x14ac:dyDescent="0.3">
      <c r="C7" s="79"/>
      <c r="D7" s="79"/>
      <c r="E7" s="79"/>
      <c r="F7" s="79"/>
      <c r="G7" s="79"/>
      <c r="H7" s="79"/>
      <c r="K7" t="s">
        <v>258</v>
      </c>
      <c r="L7">
        <v>20</v>
      </c>
      <c r="M7">
        <v>15</v>
      </c>
      <c r="N7">
        <v>15</v>
      </c>
      <c r="Q7" t="s">
        <v>268</v>
      </c>
    </row>
    <row r="8" spans="3:20" x14ac:dyDescent="0.3">
      <c r="C8" s="79"/>
      <c r="D8" s="79"/>
      <c r="E8" s="79"/>
      <c r="F8" s="79"/>
      <c r="G8" s="79"/>
      <c r="H8" s="79"/>
      <c r="K8" t="s">
        <v>259</v>
      </c>
      <c r="L8">
        <v>5</v>
      </c>
      <c r="M8">
        <v>5</v>
      </c>
      <c r="N8">
        <v>40</v>
      </c>
    </row>
    <row r="9" spans="3:20" x14ac:dyDescent="0.3">
      <c r="C9" s="79"/>
      <c r="D9" s="79"/>
      <c r="E9" s="79"/>
      <c r="F9" s="79"/>
      <c r="G9" s="79"/>
      <c r="H9" s="79"/>
      <c r="Q9" t="s">
        <v>261</v>
      </c>
      <c r="R9">
        <f>SUM(L23:N23)</f>
        <v>50</v>
      </c>
      <c r="S9" t="s">
        <v>269</v>
      </c>
      <c r="T9">
        <v>50</v>
      </c>
    </row>
    <row r="10" spans="3:20" x14ac:dyDescent="0.3">
      <c r="C10" s="79"/>
      <c r="D10" s="79"/>
      <c r="E10" s="79"/>
      <c r="F10" s="79"/>
      <c r="G10" s="79"/>
      <c r="H10" s="79"/>
      <c r="L10" s="78" t="s">
        <v>271</v>
      </c>
      <c r="M10" s="78"/>
      <c r="N10" s="78"/>
      <c r="Q10" t="s">
        <v>262</v>
      </c>
      <c r="R10">
        <f>SUM(L24:N24)</f>
        <v>50</v>
      </c>
      <c r="S10" t="s">
        <v>269</v>
      </c>
      <c r="T10">
        <v>50</v>
      </c>
    </row>
    <row r="11" spans="3:20" x14ac:dyDescent="0.3">
      <c r="C11" s="79"/>
      <c r="D11" s="79"/>
      <c r="E11" s="79"/>
      <c r="F11" s="79"/>
      <c r="G11" s="79"/>
      <c r="H11" s="79"/>
      <c r="L11" t="s">
        <v>247</v>
      </c>
      <c r="M11" t="s">
        <v>248</v>
      </c>
      <c r="N11" t="s">
        <v>260</v>
      </c>
      <c r="Q11" t="s">
        <v>263</v>
      </c>
      <c r="R11">
        <f>SUM(L25:N25)</f>
        <v>50</v>
      </c>
      <c r="S11" t="s">
        <v>269</v>
      </c>
      <c r="T11">
        <v>50</v>
      </c>
    </row>
    <row r="12" spans="3:20" x14ac:dyDescent="0.3">
      <c r="C12" s="79"/>
      <c r="D12" s="79"/>
      <c r="E12" s="79"/>
      <c r="F12" s="79"/>
      <c r="G12" s="79"/>
      <c r="H12" s="79"/>
      <c r="K12" t="s">
        <v>261</v>
      </c>
      <c r="L12">
        <v>1000</v>
      </c>
      <c r="M12">
        <v>1000</v>
      </c>
      <c r="N12">
        <v>1000</v>
      </c>
    </row>
    <row r="13" spans="3:20" x14ac:dyDescent="0.3">
      <c r="C13" s="79"/>
      <c r="D13" s="79"/>
      <c r="E13" s="79"/>
      <c r="F13" s="79"/>
      <c r="G13" s="79"/>
      <c r="H13" s="79"/>
      <c r="K13" t="s">
        <v>262</v>
      </c>
      <c r="L13">
        <v>500</v>
      </c>
      <c r="M13">
        <v>500</v>
      </c>
      <c r="N13">
        <v>500</v>
      </c>
      <c r="Q13" t="s">
        <v>247</v>
      </c>
      <c r="R13">
        <f>SUM(L23:L25)</f>
        <v>70</v>
      </c>
      <c r="S13" t="s">
        <v>269</v>
      </c>
      <c r="T13">
        <v>70</v>
      </c>
    </row>
    <row r="14" spans="3:20" x14ac:dyDescent="0.3">
      <c r="C14" s="79"/>
      <c r="D14" s="79"/>
      <c r="E14" s="79"/>
      <c r="F14" s="79"/>
      <c r="G14" s="79"/>
      <c r="H14" s="79"/>
      <c r="K14" t="s">
        <v>263</v>
      </c>
      <c r="L14">
        <v>1</v>
      </c>
      <c r="M14">
        <v>1</v>
      </c>
      <c r="N14">
        <v>1</v>
      </c>
      <c r="Q14" t="s">
        <v>248</v>
      </c>
      <c r="R14">
        <f>SUM(M23:M25)</f>
        <v>30</v>
      </c>
      <c r="S14" t="s">
        <v>269</v>
      </c>
      <c r="T14">
        <v>30</v>
      </c>
    </row>
    <row r="15" spans="3:20" x14ac:dyDescent="0.3">
      <c r="C15" s="79"/>
      <c r="D15" s="79"/>
      <c r="E15" s="79"/>
      <c r="F15" s="79"/>
      <c r="G15" s="79"/>
      <c r="H15" s="79"/>
      <c r="Q15" t="s">
        <v>260</v>
      </c>
      <c r="R15">
        <f>SUM(N23:N25)</f>
        <v>50</v>
      </c>
      <c r="S15" t="s">
        <v>269</v>
      </c>
      <c r="T15">
        <v>50</v>
      </c>
    </row>
    <row r="16" spans="3:20" x14ac:dyDescent="0.3">
      <c r="C16" s="79"/>
      <c r="D16" s="79"/>
      <c r="E16" s="79"/>
      <c r="F16" s="79"/>
      <c r="G16" s="79"/>
      <c r="H16" s="79"/>
      <c r="L16" s="78" t="s">
        <v>266</v>
      </c>
      <c r="M16" s="78"/>
      <c r="N16" s="78"/>
    </row>
    <row r="17" spans="3:19" x14ac:dyDescent="0.3">
      <c r="C17" s="79"/>
      <c r="D17" s="79"/>
      <c r="E17" s="79"/>
      <c r="F17" s="79"/>
      <c r="G17" s="79"/>
      <c r="H17" s="79"/>
      <c r="L17" t="s">
        <v>247</v>
      </c>
      <c r="M17" t="s">
        <v>248</v>
      </c>
      <c r="N17" t="s">
        <v>260</v>
      </c>
    </row>
    <row r="18" spans="3:19" x14ac:dyDescent="0.3">
      <c r="C18" s="79"/>
      <c r="D18" s="79"/>
      <c r="E18" s="79"/>
      <c r="F18" s="79"/>
      <c r="G18" s="79"/>
      <c r="H18" s="79"/>
      <c r="L18">
        <v>70</v>
      </c>
      <c r="M18">
        <v>30</v>
      </c>
      <c r="N18">
        <v>50</v>
      </c>
    </row>
    <row r="19" spans="3:19" x14ac:dyDescent="0.3">
      <c r="C19" s="79"/>
      <c r="D19" s="79"/>
      <c r="E19" s="79"/>
      <c r="F19" s="79"/>
      <c r="G19" s="79"/>
      <c r="H19" s="79"/>
    </row>
    <row r="20" spans="3:19" x14ac:dyDescent="0.3">
      <c r="C20" s="79"/>
      <c r="D20" s="79"/>
      <c r="E20" s="79"/>
      <c r="F20" s="79"/>
      <c r="G20" s="79"/>
      <c r="H20" s="79"/>
    </row>
    <row r="21" spans="3:19" x14ac:dyDescent="0.3">
      <c r="C21" s="79"/>
      <c r="D21" s="79"/>
      <c r="E21" s="79"/>
      <c r="F21" s="79"/>
      <c r="G21" s="79"/>
      <c r="H21" s="79"/>
      <c r="L21" s="78" t="s">
        <v>264</v>
      </c>
      <c r="M21" s="78"/>
      <c r="N21" s="78"/>
      <c r="Q21" s="78" t="s">
        <v>272</v>
      </c>
      <c r="R21" s="78"/>
      <c r="S21" s="78"/>
    </row>
    <row r="22" spans="3:19" x14ac:dyDescent="0.3">
      <c r="C22" s="79"/>
      <c r="D22" s="79"/>
      <c r="E22" s="79"/>
      <c r="F22" s="79"/>
      <c r="G22" s="79"/>
      <c r="H22" s="79"/>
      <c r="L22" t="s">
        <v>247</v>
      </c>
      <c r="M22" t="s">
        <v>248</v>
      </c>
      <c r="N22" t="s">
        <v>260</v>
      </c>
      <c r="Q22" t="s">
        <v>247</v>
      </c>
      <c r="R22" t="s">
        <v>248</v>
      </c>
      <c r="S22" t="s">
        <v>260</v>
      </c>
    </row>
    <row r="23" spans="3:19" x14ac:dyDescent="0.3">
      <c r="C23" s="79"/>
      <c r="D23" s="79"/>
      <c r="E23" s="79"/>
      <c r="F23" s="79"/>
      <c r="G23" s="79"/>
      <c r="H23" s="79"/>
      <c r="K23" t="s">
        <v>261</v>
      </c>
      <c r="L23">
        <v>10</v>
      </c>
      <c r="M23">
        <v>20</v>
      </c>
      <c r="N23">
        <v>20</v>
      </c>
      <c r="P23" t="s">
        <v>261</v>
      </c>
      <c r="Q23">
        <f>ABS(L23-L6)</f>
        <v>0</v>
      </c>
      <c r="R23">
        <f t="shared" ref="R23:S23" si="0">ABS(M23-M6)</f>
        <v>0</v>
      </c>
      <c r="S23">
        <f t="shared" si="0"/>
        <v>0</v>
      </c>
    </row>
    <row r="24" spans="3:19" x14ac:dyDescent="0.3">
      <c r="K24" t="s">
        <v>262</v>
      </c>
      <c r="L24">
        <v>25</v>
      </c>
      <c r="M24">
        <v>10</v>
      </c>
      <c r="N24">
        <v>15</v>
      </c>
      <c r="P24" t="s">
        <v>262</v>
      </c>
      <c r="Q24">
        <f t="shared" ref="Q24:Q25" si="1">ABS(L24-L7)</f>
        <v>5</v>
      </c>
      <c r="R24">
        <f t="shared" ref="R24:R25" si="2">ABS(M24-M7)</f>
        <v>5</v>
      </c>
      <c r="S24">
        <f t="shared" ref="S24:S25" si="3">ABS(N24-N7)</f>
        <v>0</v>
      </c>
    </row>
    <row r="25" spans="3:19" x14ac:dyDescent="0.3">
      <c r="K25" t="s">
        <v>263</v>
      </c>
      <c r="L25">
        <v>35</v>
      </c>
      <c r="M25">
        <v>0</v>
      </c>
      <c r="N25">
        <v>15</v>
      </c>
      <c r="P25" t="s">
        <v>263</v>
      </c>
      <c r="Q25">
        <f t="shared" si="1"/>
        <v>30</v>
      </c>
      <c r="R25">
        <f t="shared" si="2"/>
        <v>5</v>
      </c>
      <c r="S25">
        <f t="shared" si="3"/>
        <v>25</v>
      </c>
    </row>
  </sheetData>
  <mergeCells count="7">
    <mergeCell ref="L21:N21"/>
    <mergeCell ref="Q21:S21"/>
    <mergeCell ref="C3:H23"/>
    <mergeCell ref="E2:G2"/>
    <mergeCell ref="L4:N4"/>
    <mergeCell ref="L10:N10"/>
    <mergeCell ref="L16:N1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855CE-CACF-440E-BAB7-5C8BC4C4E6D3}">
  <dimension ref="C4:N20"/>
  <sheetViews>
    <sheetView workbookViewId="0">
      <selection activeCell="M5" sqref="M5:N11"/>
    </sheetView>
  </sheetViews>
  <sheetFormatPr defaultColWidth="13.6640625" defaultRowHeight="14.4" x14ac:dyDescent="0.3"/>
  <sheetData>
    <row r="4" spans="3:14" x14ac:dyDescent="0.3">
      <c r="C4" s="47"/>
      <c r="D4" s="47">
        <v>0</v>
      </c>
      <c r="E4" s="47">
        <v>1</v>
      </c>
      <c r="F4" s="47">
        <v>2</v>
      </c>
      <c r="G4" s="47">
        <v>3</v>
      </c>
      <c r="H4" s="47">
        <v>4</v>
      </c>
      <c r="I4" s="47">
        <v>5</v>
      </c>
      <c r="J4" s="47">
        <v>6</v>
      </c>
    </row>
    <row r="5" spans="3:14" x14ac:dyDescent="0.3">
      <c r="C5">
        <v>0</v>
      </c>
      <c r="D5" s="49">
        <v>0</v>
      </c>
      <c r="E5" s="49">
        <v>360</v>
      </c>
      <c r="F5" s="49">
        <v>1700</v>
      </c>
      <c r="G5" s="49">
        <v>1500</v>
      </c>
      <c r="H5" s="49">
        <v>1750</v>
      </c>
      <c r="I5" s="49">
        <v>40</v>
      </c>
      <c r="J5" s="49">
        <v>700</v>
      </c>
      <c r="M5" s="12">
        <v>0</v>
      </c>
      <c r="N5" s="21" t="s">
        <v>562</v>
      </c>
    </row>
    <row r="6" spans="3:14" x14ac:dyDescent="0.3">
      <c r="C6">
        <v>1</v>
      </c>
      <c r="D6" s="49">
        <v>360</v>
      </c>
      <c r="E6" s="49">
        <v>0</v>
      </c>
      <c r="F6" s="49">
        <v>1500</v>
      </c>
      <c r="G6" s="49">
        <v>1300</v>
      </c>
      <c r="H6" s="49">
        <v>1550</v>
      </c>
      <c r="I6" s="49">
        <v>400</v>
      </c>
      <c r="J6" s="49">
        <v>800</v>
      </c>
      <c r="M6" s="12">
        <v>1</v>
      </c>
      <c r="N6" s="21" t="s">
        <v>260</v>
      </c>
    </row>
    <row r="7" spans="3:14" x14ac:dyDescent="0.3">
      <c r="C7">
        <v>2</v>
      </c>
      <c r="D7" s="49">
        <v>1700</v>
      </c>
      <c r="E7" s="49">
        <v>1500</v>
      </c>
      <c r="F7" s="49">
        <v>0</v>
      </c>
      <c r="G7" s="49">
        <v>260</v>
      </c>
      <c r="H7" s="49">
        <v>70</v>
      </c>
      <c r="I7" s="49">
        <v>1740</v>
      </c>
      <c r="J7" s="49">
        <v>2200</v>
      </c>
      <c r="M7" s="12">
        <v>2</v>
      </c>
      <c r="N7" s="21" t="s">
        <v>563</v>
      </c>
    </row>
    <row r="8" spans="3:14" x14ac:dyDescent="0.3">
      <c r="C8">
        <v>3</v>
      </c>
      <c r="D8" s="49">
        <v>1500</v>
      </c>
      <c r="E8" s="49">
        <v>1300</v>
      </c>
      <c r="F8" s="49">
        <v>260</v>
      </c>
      <c r="G8" s="49">
        <v>0</v>
      </c>
      <c r="H8" s="49">
        <v>300</v>
      </c>
      <c r="I8" s="49">
        <v>1540</v>
      </c>
      <c r="J8" s="49">
        <v>2000</v>
      </c>
      <c r="M8" s="12">
        <v>3</v>
      </c>
      <c r="N8" s="21" t="s">
        <v>564</v>
      </c>
    </row>
    <row r="9" spans="3:14" x14ac:dyDescent="0.3">
      <c r="C9">
        <v>4</v>
      </c>
      <c r="D9" s="49">
        <v>1750</v>
      </c>
      <c r="E9" s="49">
        <v>1550</v>
      </c>
      <c r="F9" s="49">
        <v>70</v>
      </c>
      <c r="G9" s="49">
        <v>300</v>
      </c>
      <c r="H9" s="49">
        <v>0</v>
      </c>
      <c r="I9" s="49">
        <v>1790</v>
      </c>
      <c r="J9" s="49">
        <v>2250</v>
      </c>
      <c r="M9" s="12">
        <v>4</v>
      </c>
      <c r="N9" s="21" t="s">
        <v>565</v>
      </c>
    </row>
    <row r="10" spans="3:14" x14ac:dyDescent="0.3">
      <c r="C10">
        <v>5</v>
      </c>
      <c r="D10" s="49">
        <v>40</v>
      </c>
      <c r="E10" s="49">
        <v>400</v>
      </c>
      <c r="F10" s="49">
        <v>1740</v>
      </c>
      <c r="G10" s="49">
        <v>1540</v>
      </c>
      <c r="H10" s="49">
        <v>1790</v>
      </c>
      <c r="I10" s="49">
        <v>0</v>
      </c>
      <c r="J10" s="49">
        <v>720</v>
      </c>
      <c r="M10" s="12">
        <v>5</v>
      </c>
      <c r="N10" s="21" t="s">
        <v>566</v>
      </c>
    </row>
    <row r="11" spans="3:14" x14ac:dyDescent="0.3">
      <c r="C11">
        <v>6</v>
      </c>
      <c r="D11" s="49">
        <v>700</v>
      </c>
      <c r="E11" s="49">
        <v>800</v>
      </c>
      <c r="F11" s="49">
        <v>2200</v>
      </c>
      <c r="G11" s="49">
        <v>2000</v>
      </c>
      <c r="H11" s="49">
        <v>2250</v>
      </c>
      <c r="I11" s="49">
        <v>720</v>
      </c>
      <c r="J11" s="49">
        <v>0</v>
      </c>
      <c r="M11" s="12">
        <v>6</v>
      </c>
      <c r="N11" s="21" t="s">
        <v>567</v>
      </c>
    </row>
    <row r="15" spans="3:14" x14ac:dyDescent="0.3">
      <c r="E15" t="str">
        <f t="shared" ref="E15:L15" si="0">VLOOKUP(E16,CITYTABLE,2,FALSE)</f>
        <v>Anantapuram</v>
      </c>
      <c r="F15" t="str">
        <f t="shared" si="0"/>
        <v>Patna</v>
      </c>
      <c r="G15" t="str">
        <f t="shared" si="0"/>
        <v>Chapra</v>
      </c>
      <c r="H15" t="str">
        <f t="shared" si="0"/>
        <v>Mirzapur</v>
      </c>
      <c r="I15" t="str">
        <f t="shared" si="0"/>
        <v>Hyderabad</v>
      </c>
      <c r="J15" t="str">
        <f t="shared" si="0"/>
        <v>Calicut</v>
      </c>
      <c r="K15" t="str">
        <f t="shared" si="0"/>
        <v>Dharmavaram</v>
      </c>
      <c r="L15" t="str">
        <f t="shared" si="0"/>
        <v>Anantapuram</v>
      </c>
    </row>
    <row r="16" spans="3:14" x14ac:dyDescent="0.3">
      <c r="E16">
        <v>0</v>
      </c>
      <c r="F16">
        <v>2</v>
      </c>
      <c r="G16">
        <v>4</v>
      </c>
      <c r="H16">
        <v>3</v>
      </c>
      <c r="I16">
        <v>1</v>
      </c>
      <c r="J16">
        <v>6</v>
      </c>
      <c r="K16">
        <v>5</v>
      </c>
      <c r="L16">
        <v>0</v>
      </c>
    </row>
    <row r="17" spans="4:11" x14ac:dyDescent="0.3">
      <c r="E17" t="e">
        <f t="shared" ref="E17:K17" si="1">INDEX(DISTANCEMATRIX,E16+1,F16+1)</f>
        <v>#NAME?</v>
      </c>
      <c r="F17" t="e">
        <f t="shared" si="1"/>
        <v>#NAME?</v>
      </c>
      <c r="G17" t="e">
        <f t="shared" si="1"/>
        <v>#NAME?</v>
      </c>
      <c r="H17" t="e">
        <f t="shared" si="1"/>
        <v>#NAME?</v>
      </c>
      <c r="I17" t="e">
        <f t="shared" si="1"/>
        <v>#NAME?</v>
      </c>
      <c r="J17" t="e">
        <f t="shared" si="1"/>
        <v>#NAME?</v>
      </c>
      <c r="K17" t="e">
        <f t="shared" si="1"/>
        <v>#NAME?</v>
      </c>
    </row>
    <row r="20" spans="4:11" x14ac:dyDescent="0.3">
      <c r="D20" t="s">
        <v>568</v>
      </c>
      <c r="E20" t="e">
        <f>SUM(E17:K17)</f>
        <v>#NAME?</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3A79-17FC-4ADF-8C6A-6CF272FE4848}">
  <dimension ref="A1:CA29"/>
  <sheetViews>
    <sheetView topLeftCell="A2" zoomScale="85" workbookViewId="0">
      <selection activeCell="A9" sqref="A9"/>
    </sheetView>
  </sheetViews>
  <sheetFormatPr defaultRowHeight="14.4" x14ac:dyDescent="0.3"/>
  <cols>
    <col min="1" max="12" width="12.5546875" customWidth="1"/>
    <col min="14" max="78" width="5.109375" customWidth="1"/>
  </cols>
  <sheetData>
    <row r="1" spans="1:79" ht="23.4" x14ac:dyDescent="0.45">
      <c r="A1" s="81" t="s">
        <v>314</v>
      </c>
      <c r="B1" s="81"/>
      <c r="C1" s="81"/>
      <c r="D1" s="81"/>
      <c r="E1" s="81"/>
      <c r="F1" s="81"/>
      <c r="G1" s="81"/>
    </row>
    <row r="2" spans="1:79" ht="43.2" x14ac:dyDescent="0.3">
      <c r="A2" s="11" t="s">
        <v>289</v>
      </c>
      <c r="B2" s="11" t="s">
        <v>290</v>
      </c>
      <c r="C2" s="11" t="s">
        <v>291</v>
      </c>
      <c r="D2" s="22" t="s">
        <v>286</v>
      </c>
      <c r="E2" s="22" t="s">
        <v>287</v>
      </c>
      <c r="F2" s="22" t="s">
        <v>288</v>
      </c>
      <c r="G2" s="22" t="s">
        <v>298</v>
      </c>
      <c r="BR2" s="27"/>
      <c r="BS2" s="27"/>
      <c r="BT2" s="27"/>
      <c r="BU2" s="27"/>
      <c r="BV2" s="27"/>
      <c r="BW2" s="27"/>
      <c r="BX2" s="27"/>
      <c r="BY2" s="27"/>
      <c r="BZ2" s="27"/>
      <c r="CA2" s="27"/>
    </row>
    <row r="3" spans="1:79" ht="14.4" customHeight="1" x14ac:dyDescent="0.3">
      <c r="A3" s="12" t="s">
        <v>281</v>
      </c>
      <c r="B3" s="12">
        <v>9</v>
      </c>
      <c r="C3" s="21">
        <v>1</v>
      </c>
      <c r="D3">
        <f>MIN(B3:C3)</f>
        <v>1</v>
      </c>
      <c r="E3" t="str">
        <f>IF(B3&lt;C3,"A","B")</f>
        <v>B</v>
      </c>
      <c r="F3">
        <f>RANK(D3, $D$3:$D$12,1)</f>
        <v>1</v>
      </c>
      <c r="G3">
        <f>RANK(F3,$F$3:$F$12,1)+COUNTIFS($F$3:F3,F3)-1</f>
        <v>1</v>
      </c>
      <c r="L3" s="31" t="s">
        <v>315</v>
      </c>
      <c r="M3" s="32" t="s">
        <v>313</v>
      </c>
      <c r="N3" s="6">
        <v>1</v>
      </c>
      <c r="O3" s="6">
        <v>2</v>
      </c>
      <c r="P3" s="6">
        <v>3</v>
      </c>
      <c r="Q3" s="6">
        <v>4</v>
      </c>
      <c r="R3" s="6">
        <v>5</v>
      </c>
      <c r="S3" s="6">
        <v>6</v>
      </c>
      <c r="T3" s="6">
        <v>7</v>
      </c>
      <c r="U3" s="6">
        <v>8</v>
      </c>
      <c r="V3" s="6">
        <v>9</v>
      </c>
      <c r="W3" s="6">
        <v>10</v>
      </c>
      <c r="X3" s="6">
        <v>11</v>
      </c>
      <c r="Y3" s="6">
        <v>12</v>
      </c>
      <c r="Z3" s="6">
        <v>13</v>
      </c>
      <c r="AA3" s="6">
        <v>14</v>
      </c>
      <c r="AB3" s="6">
        <v>15</v>
      </c>
      <c r="AC3" s="6">
        <v>16</v>
      </c>
      <c r="AD3" s="6">
        <v>17</v>
      </c>
      <c r="AE3" s="6">
        <v>18</v>
      </c>
      <c r="AF3" s="6">
        <v>19</v>
      </c>
      <c r="AG3" s="6">
        <v>20</v>
      </c>
      <c r="AH3" s="6">
        <v>21</v>
      </c>
      <c r="AI3" s="6">
        <v>22</v>
      </c>
      <c r="AJ3" s="6">
        <v>23</v>
      </c>
      <c r="AK3" s="6">
        <v>24</v>
      </c>
      <c r="AL3" s="6">
        <v>25</v>
      </c>
      <c r="AM3" s="6">
        <v>26</v>
      </c>
      <c r="AN3" s="6">
        <v>27</v>
      </c>
      <c r="AO3" s="6">
        <v>28</v>
      </c>
      <c r="AP3" s="6">
        <v>29</v>
      </c>
      <c r="AQ3" s="6">
        <v>30</v>
      </c>
      <c r="AR3" s="6">
        <v>31</v>
      </c>
      <c r="AS3" s="6">
        <v>32</v>
      </c>
      <c r="AT3" s="6">
        <v>33</v>
      </c>
      <c r="AU3" s="6">
        <v>34</v>
      </c>
      <c r="AV3" s="6">
        <v>35</v>
      </c>
      <c r="AW3" s="6">
        <v>36</v>
      </c>
      <c r="AX3" s="6">
        <v>37</v>
      </c>
      <c r="AY3" s="6">
        <v>38</v>
      </c>
      <c r="AZ3" s="6">
        <v>39</v>
      </c>
      <c r="BA3" s="6">
        <v>40</v>
      </c>
      <c r="BB3" s="6">
        <v>41</v>
      </c>
      <c r="BC3" s="6">
        <v>42</v>
      </c>
      <c r="BD3" s="6">
        <v>43</v>
      </c>
      <c r="BE3" s="6">
        <v>44</v>
      </c>
      <c r="BF3" s="6">
        <v>45</v>
      </c>
      <c r="BG3" s="6">
        <v>46</v>
      </c>
      <c r="BH3" s="6">
        <v>47</v>
      </c>
      <c r="BI3" s="6">
        <v>48</v>
      </c>
      <c r="BJ3" s="6">
        <v>49</v>
      </c>
      <c r="BK3" s="6">
        <v>50</v>
      </c>
      <c r="BL3" s="6">
        <v>51</v>
      </c>
      <c r="BM3" s="6">
        <v>52</v>
      </c>
      <c r="BN3" s="6">
        <v>53</v>
      </c>
      <c r="BO3" s="6">
        <v>54</v>
      </c>
      <c r="BP3" s="6">
        <v>55</v>
      </c>
      <c r="BQ3" s="6">
        <v>56</v>
      </c>
      <c r="BR3" s="27"/>
      <c r="BS3" s="27"/>
      <c r="BT3" s="27"/>
      <c r="BU3" s="27"/>
      <c r="BV3" s="27"/>
      <c r="BW3" s="27"/>
      <c r="BX3" s="27"/>
      <c r="BY3" s="27"/>
      <c r="BZ3" s="27"/>
      <c r="CA3" s="27"/>
    </row>
    <row r="4" spans="1:79" ht="14.4" customHeight="1" x14ac:dyDescent="0.3">
      <c r="A4" s="12" t="s">
        <v>282</v>
      </c>
      <c r="B4" s="25">
        <v>2</v>
      </c>
      <c r="C4" s="26">
        <v>8</v>
      </c>
      <c r="D4">
        <f t="shared" ref="D4:D12" si="0">MIN(B4:C4)</f>
        <v>2</v>
      </c>
      <c r="E4" t="str">
        <f t="shared" ref="E4:E12" si="1">IF(B4&lt;C4,"A","B")</f>
        <v>A</v>
      </c>
      <c r="F4">
        <f t="shared" ref="F4:F12" si="2">RANK(D4, $D$3:$D$12,1)</f>
        <v>3</v>
      </c>
      <c r="G4">
        <f>RANK(F4,$F$3:$F$12,1)+COUNTIFS($F$3:F4,F4)-1</f>
        <v>3</v>
      </c>
      <c r="L4" s="31" t="s">
        <v>296</v>
      </c>
      <c r="M4" s="33">
        <v>1</v>
      </c>
      <c r="N4" s="5">
        <v>1</v>
      </c>
      <c r="O4" s="27">
        <v>1</v>
      </c>
      <c r="P4" s="27">
        <v>1</v>
      </c>
      <c r="Q4" s="27">
        <v>1</v>
      </c>
      <c r="R4" s="27">
        <v>1</v>
      </c>
      <c r="S4" s="27">
        <v>1</v>
      </c>
      <c r="T4" s="27">
        <v>1</v>
      </c>
      <c r="U4" s="27">
        <v>1</v>
      </c>
      <c r="V4" s="27">
        <v>1</v>
      </c>
      <c r="W4" s="27">
        <v>1</v>
      </c>
      <c r="X4" s="27">
        <v>1</v>
      </c>
      <c r="Y4" s="27">
        <v>1</v>
      </c>
      <c r="Z4" s="27">
        <v>1</v>
      </c>
      <c r="AA4" s="27">
        <v>1</v>
      </c>
      <c r="AB4" s="27">
        <v>1</v>
      </c>
      <c r="AC4" s="27">
        <v>1</v>
      </c>
      <c r="AD4" s="27">
        <v>1</v>
      </c>
      <c r="AE4" s="27">
        <v>1</v>
      </c>
      <c r="AF4" s="27">
        <v>1</v>
      </c>
      <c r="AG4" s="27">
        <v>1</v>
      </c>
      <c r="AH4" s="27">
        <v>1</v>
      </c>
      <c r="AI4" s="27">
        <v>1</v>
      </c>
      <c r="AJ4" s="27">
        <v>1</v>
      </c>
      <c r="AK4" s="27">
        <v>1</v>
      </c>
      <c r="AL4" s="27">
        <v>1</v>
      </c>
      <c r="AM4" s="27">
        <v>1</v>
      </c>
      <c r="AN4" s="27">
        <v>1</v>
      </c>
      <c r="AO4" s="27">
        <v>1</v>
      </c>
      <c r="AP4" s="27">
        <v>1</v>
      </c>
      <c r="AQ4" s="27">
        <v>1</v>
      </c>
      <c r="AR4" s="27">
        <v>1</v>
      </c>
      <c r="AS4" s="27">
        <v>1</v>
      </c>
      <c r="AT4" s="27">
        <v>1</v>
      </c>
      <c r="AU4" s="27">
        <v>1</v>
      </c>
      <c r="AV4" s="27">
        <v>1</v>
      </c>
      <c r="AW4" s="27">
        <v>1</v>
      </c>
      <c r="AX4" s="27">
        <v>1</v>
      </c>
      <c r="AY4" s="27">
        <v>1</v>
      </c>
      <c r="AZ4" s="27">
        <v>1</v>
      </c>
      <c r="BA4" s="27">
        <v>1</v>
      </c>
      <c r="BB4" s="27">
        <v>1</v>
      </c>
      <c r="BC4" s="27">
        <v>1</v>
      </c>
      <c r="BD4" s="27">
        <v>1</v>
      </c>
      <c r="BE4" s="27">
        <v>1</v>
      </c>
      <c r="BF4" s="27">
        <v>1</v>
      </c>
      <c r="BG4" s="27">
        <v>1</v>
      </c>
      <c r="BH4" s="27">
        <v>1</v>
      </c>
      <c r="BI4" s="27">
        <v>1</v>
      </c>
      <c r="BJ4" s="27">
        <v>1</v>
      </c>
      <c r="BK4" s="27">
        <v>1</v>
      </c>
      <c r="BL4" s="27">
        <v>1</v>
      </c>
      <c r="BM4" s="27">
        <v>1</v>
      </c>
      <c r="BN4" s="27">
        <v>1</v>
      </c>
      <c r="BO4" s="27">
        <v>1</v>
      </c>
      <c r="BP4" s="27">
        <v>1</v>
      </c>
      <c r="BQ4" s="27">
        <v>1</v>
      </c>
      <c r="BR4" s="27"/>
      <c r="BS4" s="27"/>
      <c r="BT4" s="27"/>
      <c r="BU4" s="27"/>
      <c r="BV4" s="27"/>
      <c r="BW4" s="27"/>
      <c r="BX4" s="27"/>
      <c r="BY4" s="27"/>
      <c r="BZ4" s="27"/>
      <c r="CA4" s="27"/>
    </row>
    <row r="5" spans="1:79" ht="14.4" customHeight="1" x14ac:dyDescent="0.3">
      <c r="A5" s="12" t="s">
        <v>283</v>
      </c>
      <c r="B5" s="26">
        <v>6</v>
      </c>
      <c r="C5" s="26">
        <v>4</v>
      </c>
      <c r="D5">
        <f t="shared" si="0"/>
        <v>4</v>
      </c>
      <c r="E5" t="str">
        <f t="shared" si="1"/>
        <v>B</v>
      </c>
      <c r="F5">
        <f t="shared" si="2"/>
        <v>7</v>
      </c>
      <c r="G5">
        <f>RANK(F5,$F$3:$F$12,1)+COUNTIFS($F$3:F5,F5)-1</f>
        <v>7</v>
      </c>
      <c r="L5" s="31"/>
      <c r="M5" s="33">
        <v>6</v>
      </c>
      <c r="N5" s="27">
        <v>1</v>
      </c>
      <c r="O5" s="28">
        <v>1</v>
      </c>
      <c r="P5" s="28">
        <v>1</v>
      </c>
      <c r="Q5" s="28">
        <v>1</v>
      </c>
      <c r="R5" s="28">
        <v>1</v>
      </c>
      <c r="S5" s="28">
        <v>1</v>
      </c>
      <c r="T5" s="28">
        <v>1</v>
      </c>
      <c r="U5" s="27">
        <v>1</v>
      </c>
      <c r="V5" s="27">
        <v>1</v>
      </c>
      <c r="W5" s="27">
        <v>1</v>
      </c>
      <c r="X5" s="27">
        <v>1</v>
      </c>
      <c r="Y5" s="27">
        <v>1</v>
      </c>
      <c r="Z5" s="27">
        <v>1</v>
      </c>
      <c r="AA5" s="27">
        <v>1</v>
      </c>
      <c r="AB5" s="27">
        <v>1</v>
      </c>
      <c r="AC5" s="27">
        <v>1</v>
      </c>
      <c r="AD5" s="27">
        <v>1</v>
      </c>
      <c r="AE5" s="27">
        <v>1</v>
      </c>
      <c r="AF5" s="27">
        <v>1</v>
      </c>
      <c r="AG5" s="27">
        <v>1</v>
      </c>
      <c r="AH5" s="27">
        <v>1</v>
      </c>
      <c r="AI5" s="27">
        <v>1</v>
      </c>
      <c r="AJ5" s="27">
        <v>1</v>
      </c>
      <c r="AK5" s="27">
        <v>1</v>
      </c>
      <c r="AL5" s="27">
        <v>1</v>
      </c>
      <c r="AM5" s="27">
        <v>1</v>
      </c>
      <c r="AN5" s="27">
        <v>1</v>
      </c>
      <c r="AO5" s="27">
        <v>1</v>
      </c>
      <c r="AP5" s="27">
        <v>1</v>
      </c>
      <c r="AQ5" s="27">
        <v>1</v>
      </c>
      <c r="AR5" s="27">
        <v>1</v>
      </c>
      <c r="AS5" s="27">
        <v>1</v>
      </c>
      <c r="AT5" s="27">
        <v>1</v>
      </c>
      <c r="AU5" s="27">
        <v>1</v>
      </c>
      <c r="AV5" s="27">
        <v>1</v>
      </c>
      <c r="AW5" s="27">
        <v>1</v>
      </c>
      <c r="AX5" s="27">
        <v>1</v>
      </c>
      <c r="AY5" s="27">
        <v>1</v>
      </c>
      <c r="AZ5" s="27">
        <v>1</v>
      </c>
      <c r="BA5" s="27">
        <v>1</v>
      </c>
      <c r="BB5" s="27">
        <v>1</v>
      </c>
      <c r="BC5" s="27">
        <v>1</v>
      </c>
      <c r="BD5" s="27">
        <v>1</v>
      </c>
      <c r="BE5" s="27">
        <v>1</v>
      </c>
      <c r="BF5" s="27">
        <v>1</v>
      </c>
      <c r="BG5" s="27">
        <v>1</v>
      </c>
      <c r="BH5" s="27">
        <v>1</v>
      </c>
      <c r="BI5" s="27">
        <v>1</v>
      </c>
      <c r="BJ5" s="27">
        <v>1</v>
      </c>
      <c r="BK5" s="27">
        <v>1</v>
      </c>
      <c r="BL5" s="27">
        <v>1</v>
      </c>
      <c r="BM5" s="27">
        <v>1</v>
      </c>
      <c r="BN5" s="27">
        <v>1</v>
      </c>
      <c r="BO5" s="27">
        <v>1</v>
      </c>
      <c r="BP5" s="27">
        <v>1</v>
      </c>
      <c r="BQ5" s="27">
        <v>1</v>
      </c>
      <c r="BR5" s="27"/>
      <c r="BS5" s="27"/>
      <c r="BT5" s="27"/>
      <c r="BU5" s="27"/>
      <c r="BV5" s="27"/>
      <c r="BW5" s="27"/>
      <c r="BX5" s="27"/>
      <c r="BY5" s="27"/>
      <c r="BZ5" s="27"/>
      <c r="CA5" s="27"/>
    </row>
    <row r="6" spans="1:79" ht="14.4" customHeight="1" x14ac:dyDescent="0.3">
      <c r="A6" s="12" t="s">
        <v>284</v>
      </c>
      <c r="B6" s="26">
        <v>7</v>
      </c>
      <c r="C6" s="25">
        <v>3</v>
      </c>
      <c r="D6">
        <f t="shared" si="0"/>
        <v>3</v>
      </c>
      <c r="E6" t="str">
        <f t="shared" si="1"/>
        <v>B</v>
      </c>
      <c r="F6">
        <f t="shared" si="2"/>
        <v>5</v>
      </c>
      <c r="G6">
        <f>RANK(F6,$F$3:$F$12,1)+COUNTIFS($F$3:F6,F6)-1</f>
        <v>5</v>
      </c>
      <c r="L6" s="31" t="s">
        <v>282</v>
      </c>
      <c r="M6" s="33">
        <v>2</v>
      </c>
      <c r="N6" s="27">
        <v>1</v>
      </c>
      <c r="O6" s="5">
        <v>1</v>
      </c>
      <c r="P6" s="5">
        <v>1</v>
      </c>
      <c r="Q6" s="27">
        <v>1</v>
      </c>
      <c r="R6" s="27">
        <v>1</v>
      </c>
      <c r="S6" s="27">
        <v>1</v>
      </c>
      <c r="T6" s="27">
        <v>1</v>
      </c>
      <c r="U6" s="27">
        <v>1</v>
      </c>
      <c r="V6" s="27">
        <v>1</v>
      </c>
      <c r="W6" s="27">
        <v>1</v>
      </c>
      <c r="X6" s="27">
        <v>1</v>
      </c>
      <c r="Y6" s="27">
        <v>1</v>
      </c>
      <c r="Z6" s="27">
        <v>1</v>
      </c>
      <c r="AA6" s="27">
        <v>1</v>
      </c>
      <c r="AB6" s="27">
        <v>1</v>
      </c>
      <c r="AC6" s="27">
        <v>1</v>
      </c>
      <c r="AD6" s="27">
        <v>1</v>
      </c>
      <c r="AE6" s="27">
        <v>1</v>
      </c>
      <c r="AF6" s="27">
        <v>1</v>
      </c>
      <c r="AG6" s="27">
        <v>1</v>
      </c>
      <c r="AH6" s="27">
        <v>1</v>
      </c>
      <c r="AI6" s="27">
        <v>1</v>
      </c>
      <c r="AJ6" s="27">
        <v>1</v>
      </c>
      <c r="AK6" s="27">
        <v>1</v>
      </c>
      <c r="AL6" s="27">
        <v>1</v>
      </c>
      <c r="AM6" s="27">
        <v>1</v>
      </c>
      <c r="AN6" s="27">
        <v>1</v>
      </c>
      <c r="AO6" s="27">
        <v>1</v>
      </c>
      <c r="AP6" s="27">
        <v>1</v>
      </c>
      <c r="AQ6" s="27">
        <v>1</v>
      </c>
      <c r="AR6" s="27">
        <v>1</v>
      </c>
      <c r="AS6" s="27">
        <v>1</v>
      </c>
      <c r="AT6" s="27">
        <v>1</v>
      </c>
      <c r="AU6" s="27">
        <v>1</v>
      </c>
      <c r="AV6" s="27">
        <v>1</v>
      </c>
      <c r="AW6" s="27">
        <v>1</v>
      </c>
      <c r="AX6" s="27">
        <v>1</v>
      </c>
      <c r="AY6" s="27">
        <v>1</v>
      </c>
      <c r="AZ6" s="27">
        <v>1</v>
      </c>
      <c r="BA6" s="27">
        <v>1</v>
      </c>
      <c r="BB6" s="27">
        <v>1</v>
      </c>
      <c r="BC6" s="27">
        <v>1</v>
      </c>
      <c r="BD6" s="27">
        <v>1</v>
      </c>
      <c r="BE6" s="27">
        <v>1</v>
      </c>
      <c r="BF6" s="27">
        <v>1</v>
      </c>
      <c r="BG6" s="27">
        <v>1</v>
      </c>
      <c r="BH6" s="27">
        <v>1</v>
      </c>
      <c r="BI6" s="27">
        <v>1</v>
      </c>
      <c r="BJ6" s="27">
        <v>1</v>
      </c>
      <c r="BK6" s="27">
        <v>1</v>
      </c>
      <c r="BL6" s="27">
        <v>1</v>
      </c>
      <c r="BM6" s="27">
        <v>1</v>
      </c>
      <c r="BN6" s="27">
        <v>1</v>
      </c>
      <c r="BO6" s="27">
        <v>1</v>
      </c>
      <c r="BP6" s="27">
        <v>1</v>
      </c>
      <c r="BQ6" s="27">
        <v>1</v>
      </c>
      <c r="BR6" s="27"/>
      <c r="BS6" s="27"/>
      <c r="BT6" s="27"/>
      <c r="BU6" s="27"/>
      <c r="BV6" s="27"/>
      <c r="BW6" s="27"/>
      <c r="BX6" s="27"/>
      <c r="BY6" s="27"/>
      <c r="BZ6" s="27"/>
      <c r="CA6" s="27"/>
    </row>
    <row r="7" spans="1:79" ht="14.4" customHeight="1" x14ac:dyDescent="0.3">
      <c r="A7" s="12" t="s">
        <v>292</v>
      </c>
      <c r="B7" s="21">
        <v>4</v>
      </c>
      <c r="C7" s="12">
        <v>9</v>
      </c>
      <c r="D7">
        <f t="shared" si="0"/>
        <v>4</v>
      </c>
      <c r="E7" t="str">
        <f t="shared" si="1"/>
        <v>A</v>
      </c>
      <c r="F7">
        <f t="shared" si="2"/>
        <v>7</v>
      </c>
      <c r="G7">
        <f>RANK(F7,$F$3:$F$12,1)+COUNTIFS($F$3:F7,F7)-1</f>
        <v>8</v>
      </c>
      <c r="L7" s="31"/>
      <c r="M7" s="33">
        <v>8</v>
      </c>
      <c r="N7" s="27">
        <v>1</v>
      </c>
      <c r="O7" s="27">
        <v>1</v>
      </c>
      <c r="P7" s="27">
        <v>1</v>
      </c>
      <c r="Q7" s="27">
        <v>1</v>
      </c>
      <c r="R7" s="27">
        <v>1</v>
      </c>
      <c r="S7" s="27">
        <v>1</v>
      </c>
      <c r="T7" s="27">
        <v>1</v>
      </c>
      <c r="U7" s="28">
        <v>1</v>
      </c>
      <c r="V7" s="28">
        <v>1</v>
      </c>
      <c r="W7" s="28">
        <v>1</v>
      </c>
      <c r="X7" s="28">
        <v>1</v>
      </c>
      <c r="Y7" s="28">
        <v>1</v>
      </c>
      <c r="Z7" s="28">
        <v>1</v>
      </c>
      <c r="AA7" s="28">
        <v>1</v>
      </c>
      <c r="AB7" s="28">
        <v>1</v>
      </c>
      <c r="AC7" s="27">
        <v>1</v>
      </c>
      <c r="AD7" s="27">
        <v>1</v>
      </c>
      <c r="AE7" s="27">
        <v>1</v>
      </c>
      <c r="AF7" s="27">
        <v>1</v>
      </c>
      <c r="AG7" s="27">
        <v>1</v>
      </c>
      <c r="AH7" s="27">
        <v>1</v>
      </c>
      <c r="AI7" s="27">
        <v>1</v>
      </c>
      <c r="AJ7" s="27">
        <v>1</v>
      </c>
      <c r="AK7" s="27">
        <v>1</v>
      </c>
      <c r="AL7" s="27">
        <v>1</v>
      </c>
      <c r="AM7" s="27">
        <v>1</v>
      </c>
      <c r="AN7" s="27">
        <v>1</v>
      </c>
      <c r="AO7" s="27">
        <v>1</v>
      </c>
      <c r="AP7" s="27">
        <v>1</v>
      </c>
      <c r="AQ7" s="27">
        <v>1</v>
      </c>
      <c r="AR7" s="27">
        <v>1</v>
      </c>
      <c r="AS7" s="27">
        <v>1</v>
      </c>
      <c r="AT7" s="27">
        <v>1</v>
      </c>
      <c r="AU7" s="27">
        <v>1</v>
      </c>
      <c r="AV7" s="27">
        <v>1</v>
      </c>
      <c r="AW7" s="27">
        <v>1</v>
      </c>
      <c r="AX7" s="27">
        <v>1</v>
      </c>
      <c r="AY7" s="27">
        <v>1</v>
      </c>
      <c r="AZ7" s="27">
        <v>1</v>
      </c>
      <c r="BA7" s="27">
        <v>1</v>
      </c>
      <c r="BB7" s="27">
        <v>1</v>
      </c>
      <c r="BC7" s="27">
        <v>1</v>
      </c>
      <c r="BD7" s="27">
        <v>1</v>
      </c>
      <c r="BE7" s="27">
        <v>1</v>
      </c>
      <c r="BF7" s="27">
        <v>1</v>
      </c>
      <c r="BG7" s="27">
        <v>1</v>
      </c>
      <c r="BH7" s="27">
        <v>1</v>
      </c>
      <c r="BI7" s="27">
        <v>1</v>
      </c>
      <c r="BJ7" s="27">
        <v>1</v>
      </c>
      <c r="BK7" s="27">
        <v>1</v>
      </c>
      <c r="BL7" s="27">
        <v>1</v>
      </c>
      <c r="BM7" s="27">
        <v>1</v>
      </c>
      <c r="BN7" s="27">
        <v>1</v>
      </c>
      <c r="BO7" s="27">
        <v>1</v>
      </c>
      <c r="BP7" s="27">
        <v>1</v>
      </c>
      <c r="BQ7" s="27">
        <v>1</v>
      </c>
      <c r="BR7" s="27"/>
      <c r="BS7" s="27"/>
      <c r="BT7" s="27"/>
      <c r="BU7" s="27"/>
      <c r="BV7" s="27"/>
      <c r="BW7" s="27"/>
      <c r="BX7" s="27"/>
      <c r="BY7" s="27"/>
      <c r="BZ7" s="27"/>
      <c r="CA7" s="27"/>
    </row>
    <row r="8" spans="1:79" ht="14.4" customHeight="1" x14ac:dyDescent="0.3">
      <c r="A8" s="12" t="s">
        <v>293</v>
      </c>
      <c r="B8" s="26">
        <v>10</v>
      </c>
      <c r="C8" s="25">
        <v>2</v>
      </c>
      <c r="D8">
        <f t="shared" si="0"/>
        <v>2</v>
      </c>
      <c r="E8" t="str">
        <f t="shared" si="1"/>
        <v>B</v>
      </c>
      <c r="F8">
        <f t="shared" si="2"/>
        <v>3</v>
      </c>
      <c r="G8">
        <f>RANK(F8,$F$3:$F$12,1)+COUNTIFS($F$3:F8,F8)-1</f>
        <v>4</v>
      </c>
      <c r="L8" s="31" t="s">
        <v>294</v>
      </c>
      <c r="M8" s="33">
        <v>3</v>
      </c>
      <c r="N8" s="27">
        <v>1</v>
      </c>
      <c r="O8" s="27">
        <v>1</v>
      </c>
      <c r="P8" s="27">
        <v>1</v>
      </c>
      <c r="Q8" s="5">
        <v>1</v>
      </c>
      <c r="R8" s="5">
        <v>1</v>
      </c>
      <c r="S8" s="5">
        <v>1</v>
      </c>
      <c r="T8" s="27">
        <v>1</v>
      </c>
      <c r="U8" s="27">
        <v>1</v>
      </c>
      <c r="V8" s="27">
        <v>1</v>
      </c>
      <c r="W8" s="27">
        <v>1</v>
      </c>
      <c r="X8" s="27">
        <v>1</v>
      </c>
      <c r="Y8" s="27">
        <v>1</v>
      </c>
      <c r="Z8" s="27">
        <v>1</v>
      </c>
      <c r="AA8" s="27">
        <v>1</v>
      </c>
      <c r="AB8" s="27">
        <v>1</v>
      </c>
      <c r="AC8" s="27">
        <v>1</v>
      </c>
      <c r="AD8" s="27">
        <v>1</v>
      </c>
      <c r="AE8" s="27">
        <v>1</v>
      </c>
      <c r="AF8" s="27">
        <v>1</v>
      </c>
      <c r="AG8" s="27">
        <v>1</v>
      </c>
      <c r="AH8" s="27">
        <v>1</v>
      </c>
      <c r="AI8" s="27">
        <v>1</v>
      </c>
      <c r="AJ8" s="27">
        <v>1</v>
      </c>
      <c r="AK8" s="27">
        <v>1</v>
      </c>
      <c r="AL8" s="27">
        <v>1</v>
      </c>
      <c r="AM8" s="27">
        <v>1</v>
      </c>
      <c r="AN8" s="27">
        <v>1</v>
      </c>
      <c r="AO8" s="27">
        <v>1</v>
      </c>
      <c r="AP8" s="27">
        <v>1</v>
      </c>
      <c r="AQ8" s="27">
        <v>1</v>
      </c>
      <c r="AR8" s="27">
        <v>1</v>
      </c>
      <c r="AS8" s="27">
        <v>1</v>
      </c>
      <c r="AT8" s="27">
        <v>1</v>
      </c>
      <c r="AU8" s="27">
        <v>1</v>
      </c>
      <c r="AV8" s="27">
        <v>1</v>
      </c>
      <c r="AW8" s="27">
        <v>1</v>
      </c>
      <c r="AX8" s="27">
        <v>1</v>
      </c>
      <c r="AY8" s="27">
        <v>1</v>
      </c>
      <c r="AZ8" s="27">
        <v>1</v>
      </c>
      <c r="BA8" s="27">
        <v>1</v>
      </c>
      <c r="BB8" s="27">
        <v>1</v>
      </c>
      <c r="BC8" s="27">
        <v>1</v>
      </c>
      <c r="BD8" s="27">
        <v>1</v>
      </c>
      <c r="BE8" s="27">
        <v>1</v>
      </c>
      <c r="BF8" s="27">
        <v>1</v>
      </c>
      <c r="BG8" s="27">
        <v>1</v>
      </c>
      <c r="BH8" s="27">
        <v>1</v>
      </c>
      <c r="BI8" s="27">
        <v>1</v>
      </c>
      <c r="BJ8" s="27">
        <v>1</v>
      </c>
      <c r="BK8" s="27">
        <v>1</v>
      </c>
      <c r="BL8" s="27">
        <v>1</v>
      </c>
      <c r="BM8" s="27">
        <v>1</v>
      </c>
      <c r="BN8" s="27">
        <v>1</v>
      </c>
      <c r="BO8" s="27">
        <v>1</v>
      </c>
      <c r="BP8" s="27">
        <v>1</v>
      </c>
      <c r="BQ8" s="27">
        <v>1</v>
      </c>
      <c r="BR8" s="27"/>
      <c r="BS8" s="27"/>
      <c r="BT8" s="27"/>
      <c r="BU8" s="27"/>
      <c r="BV8" s="27"/>
      <c r="BW8" s="27"/>
      <c r="BX8" s="27"/>
      <c r="BY8" s="27"/>
      <c r="BZ8" s="27"/>
      <c r="CA8" s="27"/>
    </row>
    <row r="9" spans="1:79" ht="14.4" customHeight="1" x14ac:dyDescent="0.3">
      <c r="A9" s="12" t="s">
        <v>294</v>
      </c>
      <c r="B9" s="25">
        <v>3</v>
      </c>
      <c r="C9" s="26">
        <v>7</v>
      </c>
      <c r="D9">
        <f t="shared" si="0"/>
        <v>3</v>
      </c>
      <c r="E9" t="str">
        <f t="shared" si="1"/>
        <v>A</v>
      </c>
      <c r="F9">
        <f t="shared" si="2"/>
        <v>5</v>
      </c>
      <c r="G9">
        <f>RANK(F9,$F$3:$F$12,1)+COUNTIFS($F$3:F9,F9)-1</f>
        <v>6</v>
      </c>
      <c r="L9" s="31"/>
      <c r="M9" s="33">
        <v>7</v>
      </c>
      <c r="N9" s="27">
        <v>1</v>
      </c>
      <c r="O9" s="27">
        <v>1</v>
      </c>
      <c r="P9" s="27">
        <v>1</v>
      </c>
      <c r="Q9" s="27">
        <v>1</v>
      </c>
      <c r="R9" s="27">
        <v>1</v>
      </c>
      <c r="S9" s="27">
        <v>1</v>
      </c>
      <c r="T9" s="27">
        <v>1</v>
      </c>
      <c r="U9" s="27">
        <v>1</v>
      </c>
      <c r="V9" s="27">
        <v>1</v>
      </c>
      <c r="W9" s="27">
        <v>1</v>
      </c>
      <c r="X9" s="27">
        <v>1</v>
      </c>
      <c r="Y9" s="27">
        <v>1</v>
      </c>
      <c r="Z9" s="27">
        <v>1</v>
      </c>
      <c r="AA9" s="27">
        <v>1</v>
      </c>
      <c r="AB9" s="27">
        <v>1</v>
      </c>
      <c r="AC9" s="28">
        <v>1</v>
      </c>
      <c r="AD9" s="28">
        <v>1</v>
      </c>
      <c r="AE9" s="28">
        <v>1</v>
      </c>
      <c r="AF9" s="28">
        <v>1</v>
      </c>
      <c r="AG9" s="28">
        <v>1</v>
      </c>
      <c r="AH9" s="28">
        <v>1</v>
      </c>
      <c r="AI9" s="28">
        <v>1</v>
      </c>
      <c r="AJ9" s="27">
        <v>1</v>
      </c>
      <c r="AK9" s="27">
        <v>1</v>
      </c>
      <c r="AL9" s="27">
        <v>1</v>
      </c>
      <c r="AM9" s="27">
        <v>1</v>
      </c>
      <c r="AN9" s="27">
        <v>1</v>
      </c>
      <c r="AO9" s="27">
        <v>1</v>
      </c>
      <c r="AP9" s="27">
        <v>1</v>
      </c>
      <c r="AQ9" s="27">
        <v>1</v>
      </c>
      <c r="AR9" s="27">
        <v>1</v>
      </c>
      <c r="AS9" s="27">
        <v>1</v>
      </c>
      <c r="AT9" s="27">
        <v>1</v>
      </c>
      <c r="AU9" s="27">
        <v>1</v>
      </c>
      <c r="AV9" s="27">
        <v>1</v>
      </c>
      <c r="AW9" s="27">
        <v>1</v>
      </c>
      <c r="AX9" s="27">
        <v>1</v>
      </c>
      <c r="AY9" s="27">
        <v>1</v>
      </c>
      <c r="AZ9" s="27">
        <v>1</v>
      </c>
      <c r="BA9" s="27">
        <v>1</v>
      </c>
      <c r="BB9" s="27">
        <v>1</v>
      </c>
      <c r="BC9" s="27">
        <v>1</v>
      </c>
      <c r="BD9" s="27">
        <v>1</v>
      </c>
      <c r="BE9" s="27">
        <v>1</v>
      </c>
      <c r="BF9" s="27">
        <v>1</v>
      </c>
      <c r="BG9" s="27">
        <v>1</v>
      </c>
      <c r="BH9" s="27">
        <v>1</v>
      </c>
      <c r="BI9" s="27">
        <v>1</v>
      </c>
      <c r="BJ9" s="27">
        <v>1</v>
      </c>
      <c r="BK9" s="27">
        <v>1</v>
      </c>
      <c r="BL9" s="27">
        <v>1</v>
      </c>
      <c r="BM9" s="27">
        <v>1</v>
      </c>
      <c r="BN9" s="27">
        <v>1</v>
      </c>
      <c r="BO9" s="27">
        <v>1</v>
      </c>
      <c r="BP9" s="27">
        <v>1</v>
      </c>
      <c r="BQ9" s="27">
        <v>1</v>
      </c>
      <c r="BR9" s="27"/>
      <c r="BS9" s="27"/>
      <c r="BT9" s="27"/>
      <c r="BU9" s="27"/>
      <c r="BV9" s="27"/>
      <c r="BW9" s="27"/>
      <c r="BX9" s="27"/>
      <c r="BY9" s="27"/>
      <c r="BZ9" s="27"/>
    </row>
    <row r="10" spans="1:79" ht="14.4" customHeight="1" x14ac:dyDescent="0.3">
      <c r="A10" s="12" t="s">
        <v>295</v>
      </c>
      <c r="B10" s="26">
        <v>8</v>
      </c>
      <c r="C10" s="26">
        <v>5</v>
      </c>
      <c r="D10">
        <f t="shared" si="0"/>
        <v>5</v>
      </c>
      <c r="E10" t="str">
        <f t="shared" si="1"/>
        <v>B</v>
      </c>
      <c r="F10">
        <f t="shared" si="2"/>
        <v>10</v>
      </c>
      <c r="G10">
        <f>RANK(F10,$F$3:$F$12,1)+COUNTIFS($F$3:F10,F10)-1</f>
        <v>10</v>
      </c>
      <c r="L10" s="31" t="s">
        <v>292</v>
      </c>
      <c r="M10" s="33">
        <v>4</v>
      </c>
      <c r="N10" s="27">
        <v>1</v>
      </c>
      <c r="O10" s="27">
        <v>1</v>
      </c>
      <c r="P10" s="27">
        <v>1</v>
      </c>
      <c r="Q10" s="27">
        <v>1</v>
      </c>
      <c r="R10" s="27">
        <v>1</v>
      </c>
      <c r="S10" s="27">
        <v>1</v>
      </c>
      <c r="T10" s="5">
        <v>1</v>
      </c>
      <c r="U10" s="5">
        <v>1</v>
      </c>
      <c r="V10" s="5">
        <v>1</v>
      </c>
      <c r="W10" s="5">
        <v>1</v>
      </c>
      <c r="X10" s="27">
        <v>1</v>
      </c>
      <c r="Y10" s="27">
        <v>1</v>
      </c>
      <c r="Z10" s="27">
        <v>1</v>
      </c>
      <c r="AA10" s="27">
        <v>1</v>
      </c>
      <c r="AB10" s="27">
        <v>1</v>
      </c>
      <c r="AC10" s="27">
        <v>1</v>
      </c>
      <c r="AD10" s="27">
        <v>1</v>
      </c>
      <c r="AE10" s="27">
        <v>1</v>
      </c>
      <c r="AF10" s="27">
        <v>1</v>
      </c>
      <c r="AG10" s="27">
        <v>1</v>
      </c>
      <c r="AH10" s="27">
        <v>1</v>
      </c>
      <c r="AI10" s="27">
        <v>1</v>
      </c>
      <c r="AJ10" s="27">
        <v>1</v>
      </c>
      <c r="AK10" s="27">
        <v>1</v>
      </c>
      <c r="AL10" s="27">
        <v>1</v>
      </c>
      <c r="AM10" s="27">
        <v>1</v>
      </c>
      <c r="AN10" s="27">
        <v>1</v>
      </c>
      <c r="AO10" s="27">
        <v>1</v>
      </c>
      <c r="AP10" s="27">
        <v>1</v>
      </c>
      <c r="AQ10" s="27">
        <v>1</v>
      </c>
      <c r="AR10" s="27">
        <v>1</v>
      </c>
      <c r="AS10" s="27">
        <v>1</v>
      </c>
      <c r="AT10" s="27">
        <v>1</v>
      </c>
      <c r="AU10" s="27">
        <v>1</v>
      </c>
      <c r="AV10" s="27">
        <v>1</v>
      </c>
      <c r="AW10" s="27">
        <v>1</v>
      </c>
      <c r="AX10" s="27">
        <v>1</v>
      </c>
      <c r="AY10" s="27">
        <v>1</v>
      </c>
      <c r="AZ10" s="27">
        <v>1</v>
      </c>
      <c r="BA10" s="27">
        <v>1</v>
      </c>
      <c r="BB10" s="27">
        <v>1</v>
      </c>
      <c r="BC10" s="27">
        <v>1</v>
      </c>
      <c r="BD10" s="27">
        <v>1</v>
      </c>
      <c r="BE10" s="27">
        <v>1</v>
      </c>
      <c r="BF10" s="27">
        <v>1</v>
      </c>
      <c r="BG10" s="27">
        <v>1</v>
      </c>
      <c r="BH10" s="27">
        <v>1</v>
      </c>
      <c r="BI10" s="27">
        <v>1</v>
      </c>
      <c r="BJ10" s="27">
        <v>1</v>
      </c>
      <c r="BK10" s="27">
        <v>1</v>
      </c>
      <c r="BL10" s="27">
        <v>1</v>
      </c>
      <c r="BM10" s="27">
        <v>1</v>
      </c>
      <c r="BN10" s="27">
        <v>1</v>
      </c>
      <c r="BO10" s="27">
        <v>1</v>
      </c>
      <c r="BP10" s="27">
        <v>1</v>
      </c>
      <c r="BQ10" s="27">
        <v>1</v>
      </c>
      <c r="BR10" s="27"/>
      <c r="BS10" s="27"/>
      <c r="BT10" s="27"/>
      <c r="BU10" s="27"/>
      <c r="BV10" s="27"/>
      <c r="BW10" s="27"/>
      <c r="BX10" s="27"/>
      <c r="BY10" s="27"/>
      <c r="BZ10" s="27"/>
    </row>
    <row r="11" spans="1:79" ht="14.4" customHeight="1" x14ac:dyDescent="0.3">
      <c r="A11" s="12" t="s">
        <v>296</v>
      </c>
      <c r="B11" s="25">
        <v>1</v>
      </c>
      <c r="C11" s="26">
        <v>6</v>
      </c>
      <c r="D11">
        <f t="shared" si="0"/>
        <v>1</v>
      </c>
      <c r="E11" t="str">
        <f t="shared" si="1"/>
        <v>A</v>
      </c>
      <c r="F11">
        <f t="shared" si="2"/>
        <v>1</v>
      </c>
      <c r="G11">
        <f>RANK(F11,$F$3:$F$12,1)+COUNTIFS($F$3:F11,F11)-1</f>
        <v>2</v>
      </c>
      <c r="L11" s="31"/>
      <c r="M11" s="33">
        <v>9</v>
      </c>
      <c r="N11" s="27">
        <v>1</v>
      </c>
      <c r="O11" s="27">
        <v>1</v>
      </c>
      <c r="P11" s="27">
        <v>1</v>
      </c>
      <c r="Q11" s="27">
        <v>1</v>
      </c>
      <c r="R11" s="27">
        <v>1</v>
      </c>
      <c r="S11" s="27">
        <v>1</v>
      </c>
      <c r="T11" s="27">
        <v>1</v>
      </c>
      <c r="U11" s="27">
        <v>1</v>
      </c>
      <c r="V11" s="27">
        <v>1</v>
      </c>
      <c r="W11" s="27">
        <v>1</v>
      </c>
      <c r="X11" s="27">
        <v>1</v>
      </c>
      <c r="Y11" s="27">
        <v>1</v>
      </c>
      <c r="Z11" s="27">
        <v>1</v>
      </c>
      <c r="AA11" s="27">
        <v>1</v>
      </c>
      <c r="AB11" s="27">
        <v>1</v>
      </c>
      <c r="AC11" s="27">
        <v>1</v>
      </c>
      <c r="AD11" s="27">
        <v>1</v>
      </c>
      <c r="AE11" s="27">
        <v>1</v>
      </c>
      <c r="AF11" s="27">
        <v>1</v>
      </c>
      <c r="AG11" s="27">
        <v>1</v>
      </c>
      <c r="AH11" s="27">
        <v>1</v>
      </c>
      <c r="AI11" s="27">
        <v>1</v>
      </c>
      <c r="AJ11" s="29">
        <v>1</v>
      </c>
      <c r="AK11" s="29">
        <v>1</v>
      </c>
      <c r="AL11" s="29">
        <v>1</v>
      </c>
      <c r="AM11" s="29">
        <v>1</v>
      </c>
      <c r="AN11" s="29">
        <v>1</v>
      </c>
      <c r="AO11" s="29">
        <v>1</v>
      </c>
      <c r="AP11" s="29">
        <v>1</v>
      </c>
      <c r="AQ11" s="29">
        <v>1</v>
      </c>
      <c r="AR11" s="29">
        <v>1</v>
      </c>
      <c r="AS11" s="27">
        <v>1</v>
      </c>
      <c r="AT11" s="27">
        <v>1</v>
      </c>
      <c r="AU11" s="27">
        <v>1</v>
      </c>
      <c r="AV11" s="27">
        <v>1</v>
      </c>
      <c r="AW11" s="27">
        <v>1</v>
      </c>
      <c r="AX11" s="27">
        <v>1</v>
      </c>
      <c r="AY11" s="27">
        <v>1</v>
      </c>
      <c r="AZ11" s="27">
        <v>1</v>
      </c>
      <c r="BA11" s="27">
        <v>1</v>
      </c>
      <c r="BB11" s="27">
        <v>1</v>
      </c>
      <c r="BC11" s="27">
        <v>1</v>
      </c>
      <c r="BD11" s="27">
        <v>1</v>
      </c>
      <c r="BE11" s="27">
        <v>1</v>
      </c>
      <c r="BF11" s="27">
        <v>1</v>
      </c>
      <c r="BG11" s="27">
        <v>1</v>
      </c>
      <c r="BH11" s="27">
        <v>1</v>
      </c>
      <c r="BI11" s="27">
        <v>1</v>
      </c>
      <c r="BJ11" s="27">
        <v>1</v>
      </c>
      <c r="BK11" s="27">
        <v>1</v>
      </c>
      <c r="BL11" s="27">
        <v>1</v>
      </c>
      <c r="BM11" s="27">
        <v>1</v>
      </c>
      <c r="BN11" s="27">
        <v>1</v>
      </c>
      <c r="BO11" s="27">
        <v>1</v>
      </c>
      <c r="BP11" s="27">
        <v>1</v>
      </c>
      <c r="BQ11" s="27">
        <v>1</v>
      </c>
      <c r="BR11" s="27"/>
      <c r="BS11" s="27"/>
      <c r="BT11" s="27"/>
      <c r="BU11" s="27"/>
      <c r="BV11" s="27"/>
      <c r="BW11" s="27"/>
      <c r="BX11" s="27"/>
      <c r="BY11" s="27"/>
      <c r="BZ11" s="27"/>
    </row>
    <row r="12" spans="1:79" ht="14.4" customHeight="1" x14ac:dyDescent="0.3">
      <c r="A12" s="12" t="s">
        <v>297</v>
      </c>
      <c r="B12" s="26">
        <v>5</v>
      </c>
      <c r="C12" s="25">
        <v>4</v>
      </c>
      <c r="D12">
        <f t="shared" si="0"/>
        <v>4</v>
      </c>
      <c r="E12" t="str">
        <f t="shared" si="1"/>
        <v>B</v>
      </c>
      <c r="F12">
        <f t="shared" si="2"/>
        <v>7</v>
      </c>
      <c r="G12">
        <f>RANK(F12,$F$3:$F$12,1)+COUNTIFS($F$3:F12,F12)-1</f>
        <v>9</v>
      </c>
      <c r="L12" s="31" t="s">
        <v>295</v>
      </c>
      <c r="M12" s="33">
        <v>8</v>
      </c>
      <c r="N12" s="27">
        <v>1</v>
      </c>
      <c r="O12" s="27">
        <v>1</v>
      </c>
      <c r="P12" s="27">
        <v>1</v>
      </c>
      <c r="Q12" s="27">
        <v>1</v>
      </c>
      <c r="R12" s="27">
        <v>1</v>
      </c>
      <c r="S12" s="27">
        <v>1</v>
      </c>
      <c r="T12" s="27">
        <v>1</v>
      </c>
      <c r="U12" s="27">
        <v>1</v>
      </c>
      <c r="V12" s="27">
        <v>1</v>
      </c>
      <c r="W12" s="27">
        <v>1</v>
      </c>
      <c r="X12" s="5">
        <v>1</v>
      </c>
      <c r="Y12" s="5">
        <v>1</v>
      </c>
      <c r="Z12" s="5">
        <v>1</v>
      </c>
      <c r="AA12" s="5">
        <v>1</v>
      </c>
      <c r="AB12" s="5">
        <v>1</v>
      </c>
      <c r="AC12" s="5">
        <v>1</v>
      </c>
      <c r="AD12" s="5">
        <v>1</v>
      </c>
      <c r="AE12" s="5">
        <v>1</v>
      </c>
      <c r="AF12" s="5">
        <v>1</v>
      </c>
      <c r="AG12" s="27">
        <v>1</v>
      </c>
      <c r="AH12" s="27">
        <v>1</v>
      </c>
      <c r="AI12" s="27">
        <v>1</v>
      </c>
      <c r="AJ12" s="27">
        <v>1</v>
      </c>
      <c r="AK12" s="27">
        <v>1</v>
      </c>
      <c r="AL12" s="27">
        <v>1</v>
      </c>
      <c r="AM12" s="27">
        <v>1</v>
      </c>
      <c r="AN12" s="27">
        <v>1</v>
      </c>
      <c r="AO12" s="27">
        <v>1</v>
      </c>
      <c r="AP12" s="27">
        <v>1</v>
      </c>
      <c r="AQ12" s="27">
        <v>1</v>
      </c>
      <c r="AR12" s="27">
        <v>1</v>
      </c>
      <c r="AS12" s="27">
        <v>1</v>
      </c>
      <c r="AT12" s="27">
        <v>1</v>
      </c>
      <c r="AU12" s="27">
        <v>1</v>
      </c>
      <c r="AV12" s="27">
        <v>1</v>
      </c>
      <c r="AW12" s="27">
        <v>1</v>
      </c>
      <c r="AX12" s="27">
        <v>1</v>
      </c>
      <c r="AY12" s="27">
        <v>1</v>
      </c>
      <c r="AZ12" s="27">
        <v>1</v>
      </c>
      <c r="BA12" s="27">
        <v>1</v>
      </c>
      <c r="BB12" s="27">
        <v>1</v>
      </c>
      <c r="BC12" s="27">
        <v>1</v>
      </c>
      <c r="BD12" s="27">
        <v>1</v>
      </c>
      <c r="BE12" s="27">
        <v>1</v>
      </c>
      <c r="BF12" s="27">
        <v>1</v>
      </c>
      <c r="BG12" s="27">
        <v>1</v>
      </c>
      <c r="BH12" s="27">
        <v>1</v>
      </c>
      <c r="BI12" s="27">
        <v>1</v>
      </c>
      <c r="BJ12" s="27">
        <v>1</v>
      </c>
      <c r="BK12" s="27">
        <v>1</v>
      </c>
      <c r="BL12" s="27">
        <v>1</v>
      </c>
      <c r="BM12" s="27">
        <v>1</v>
      </c>
      <c r="BN12" s="27">
        <v>1</v>
      </c>
      <c r="BO12" s="27">
        <v>1</v>
      </c>
      <c r="BP12" s="27">
        <v>1</v>
      </c>
      <c r="BQ12" s="27">
        <v>1</v>
      </c>
      <c r="BR12" s="27"/>
      <c r="BS12" s="27"/>
      <c r="BT12" s="27"/>
      <c r="BU12" s="27"/>
      <c r="BV12" s="27"/>
      <c r="BW12" s="27"/>
      <c r="BX12" s="27"/>
      <c r="BY12" s="27"/>
      <c r="BZ12" s="27"/>
    </row>
    <row r="13" spans="1:79" ht="14.4" customHeight="1" x14ac:dyDescent="0.3">
      <c r="L13" s="31"/>
      <c r="M13" s="33">
        <v>5</v>
      </c>
      <c r="N13" s="27">
        <v>1</v>
      </c>
      <c r="O13" s="27">
        <v>1</v>
      </c>
      <c r="P13" s="27">
        <v>1</v>
      </c>
      <c r="Q13" s="27">
        <v>1</v>
      </c>
      <c r="R13" s="27">
        <v>1</v>
      </c>
      <c r="S13" s="27">
        <v>1</v>
      </c>
      <c r="T13" s="27">
        <v>1</v>
      </c>
      <c r="U13" s="27">
        <v>1</v>
      </c>
      <c r="V13" s="27">
        <v>1</v>
      </c>
      <c r="W13" s="27">
        <v>1</v>
      </c>
      <c r="X13" s="27">
        <v>1</v>
      </c>
      <c r="Y13" s="27">
        <v>1</v>
      </c>
      <c r="Z13" s="27">
        <v>1</v>
      </c>
      <c r="AA13" s="27">
        <v>1</v>
      </c>
      <c r="AB13" s="27">
        <v>1</v>
      </c>
      <c r="AC13" s="27">
        <v>1</v>
      </c>
      <c r="AD13" s="27">
        <v>1</v>
      </c>
      <c r="AE13" s="27">
        <v>1</v>
      </c>
      <c r="AF13" s="27">
        <v>1</v>
      </c>
      <c r="AG13" s="27">
        <v>1</v>
      </c>
      <c r="AH13" s="27">
        <v>1</v>
      </c>
      <c r="AI13" s="27">
        <v>1</v>
      </c>
      <c r="AJ13" s="27">
        <v>1</v>
      </c>
      <c r="AK13" s="27">
        <v>1</v>
      </c>
      <c r="AL13" s="27">
        <v>1</v>
      </c>
      <c r="AM13" s="27">
        <v>1</v>
      </c>
      <c r="AN13" s="27">
        <v>1</v>
      </c>
      <c r="AO13" s="27">
        <v>1</v>
      </c>
      <c r="AP13" s="27">
        <v>1</v>
      </c>
      <c r="AQ13" s="27">
        <v>1</v>
      </c>
      <c r="AR13" s="27">
        <v>1</v>
      </c>
      <c r="AS13" s="28">
        <v>1</v>
      </c>
      <c r="AT13" s="28">
        <v>1</v>
      </c>
      <c r="AU13" s="28">
        <v>1</v>
      </c>
      <c r="AV13" s="28">
        <v>1</v>
      </c>
      <c r="AW13" s="28">
        <v>1</v>
      </c>
      <c r="AX13" s="27">
        <v>1</v>
      </c>
      <c r="AY13" s="27">
        <v>1</v>
      </c>
      <c r="AZ13" s="27">
        <v>1</v>
      </c>
      <c r="BA13" s="27">
        <v>1</v>
      </c>
      <c r="BB13" s="27">
        <v>1</v>
      </c>
      <c r="BC13" s="27">
        <v>1</v>
      </c>
      <c r="BD13" s="27">
        <v>1</v>
      </c>
      <c r="BE13" s="27">
        <v>1</v>
      </c>
      <c r="BF13" s="27">
        <v>1</v>
      </c>
      <c r="BG13" s="27">
        <v>1</v>
      </c>
      <c r="BH13" s="27">
        <v>1</v>
      </c>
      <c r="BI13" s="27">
        <v>1</v>
      </c>
      <c r="BJ13" s="27">
        <v>1</v>
      </c>
      <c r="BK13" s="27">
        <v>1</v>
      </c>
      <c r="BL13" s="27">
        <v>1</v>
      </c>
      <c r="BM13" s="27">
        <v>1</v>
      </c>
      <c r="BN13" s="27">
        <v>1</v>
      </c>
      <c r="BO13" s="27">
        <v>1</v>
      </c>
      <c r="BP13" s="27">
        <v>1</v>
      </c>
      <c r="BQ13" s="27">
        <v>1</v>
      </c>
      <c r="BR13" s="27"/>
      <c r="BS13" s="27"/>
      <c r="BT13" s="27"/>
      <c r="BU13" s="27"/>
      <c r="BV13" s="27"/>
      <c r="BW13" s="27"/>
      <c r="BX13" s="27"/>
      <c r="BY13" s="27"/>
      <c r="BZ13" s="27"/>
    </row>
    <row r="14" spans="1:79" ht="28.8" customHeight="1" x14ac:dyDescent="0.3">
      <c r="A14" s="80" t="s">
        <v>312</v>
      </c>
      <c r="B14" s="80"/>
      <c r="C14" s="80"/>
      <c r="L14" s="31" t="s">
        <v>297</v>
      </c>
      <c r="M14" s="33">
        <v>5</v>
      </c>
      <c r="N14" s="27">
        <v>1</v>
      </c>
      <c r="O14" s="27">
        <v>1</v>
      </c>
      <c r="P14" s="27">
        <v>1</v>
      </c>
      <c r="Q14" s="27">
        <v>1</v>
      </c>
      <c r="R14" s="27">
        <v>1</v>
      </c>
      <c r="S14" s="27">
        <v>1</v>
      </c>
      <c r="T14" s="27">
        <v>1</v>
      </c>
      <c r="U14" s="27">
        <v>1</v>
      </c>
      <c r="V14" s="27">
        <v>1</v>
      </c>
      <c r="W14" s="27">
        <v>1</v>
      </c>
      <c r="X14" s="27">
        <v>1</v>
      </c>
      <c r="Y14" s="27">
        <v>1</v>
      </c>
      <c r="Z14" s="27">
        <v>1</v>
      </c>
      <c r="AA14" s="27">
        <v>1</v>
      </c>
      <c r="AB14" s="27">
        <v>1</v>
      </c>
      <c r="AC14" s="27">
        <v>1</v>
      </c>
      <c r="AD14" s="27">
        <v>1</v>
      </c>
      <c r="AE14" s="27">
        <v>1</v>
      </c>
      <c r="AF14" s="27">
        <v>1</v>
      </c>
      <c r="AG14" s="5">
        <v>1</v>
      </c>
      <c r="AH14" s="5">
        <v>1</v>
      </c>
      <c r="AI14" s="5">
        <v>1</v>
      </c>
      <c r="AJ14" s="5">
        <v>1</v>
      </c>
      <c r="AK14" s="5">
        <v>1</v>
      </c>
      <c r="AL14" s="27">
        <v>1</v>
      </c>
      <c r="AM14" s="27">
        <v>1</v>
      </c>
      <c r="AN14" s="27">
        <v>1</v>
      </c>
      <c r="AO14" s="27">
        <v>1</v>
      </c>
      <c r="AP14" s="27">
        <v>1</v>
      </c>
      <c r="AQ14" s="27">
        <v>1</v>
      </c>
      <c r="AR14" s="27">
        <v>1</v>
      </c>
      <c r="AS14" s="27">
        <v>1</v>
      </c>
      <c r="AT14" s="27">
        <v>1</v>
      </c>
      <c r="AU14" s="27">
        <v>1</v>
      </c>
      <c r="AV14" s="27">
        <v>1</v>
      </c>
      <c r="AW14" s="27">
        <v>1</v>
      </c>
      <c r="AX14" s="27">
        <v>1</v>
      </c>
      <c r="AY14" s="27">
        <v>1</v>
      </c>
      <c r="AZ14" s="27">
        <v>1</v>
      </c>
      <c r="BA14" s="27">
        <v>1</v>
      </c>
      <c r="BB14" s="27">
        <v>1</v>
      </c>
      <c r="BC14" s="27">
        <v>1</v>
      </c>
      <c r="BD14" s="27">
        <v>1</v>
      </c>
      <c r="BE14" s="27">
        <v>1</v>
      </c>
      <c r="BF14" s="27">
        <v>1</v>
      </c>
      <c r="BG14" s="27">
        <v>1</v>
      </c>
      <c r="BH14" s="27">
        <v>1</v>
      </c>
      <c r="BI14" s="27">
        <v>1</v>
      </c>
      <c r="BJ14" s="27">
        <v>1</v>
      </c>
      <c r="BK14" s="27">
        <v>1</v>
      </c>
      <c r="BL14" s="27">
        <v>1</v>
      </c>
      <c r="BM14" s="27">
        <v>1</v>
      </c>
      <c r="BN14" s="27">
        <v>1</v>
      </c>
      <c r="BO14" s="27">
        <v>1</v>
      </c>
      <c r="BP14" s="27">
        <v>1</v>
      </c>
      <c r="BQ14" s="27">
        <v>1</v>
      </c>
      <c r="BR14" s="27"/>
      <c r="BS14" s="27"/>
      <c r="BT14" s="27"/>
      <c r="BU14" s="27"/>
      <c r="BV14" s="27"/>
      <c r="BW14" s="27"/>
      <c r="BX14" s="27"/>
      <c r="BY14" s="27"/>
      <c r="BZ14" s="27"/>
    </row>
    <row r="15" spans="1:79" ht="14.4" customHeight="1" x14ac:dyDescent="0.3">
      <c r="A15" t="s">
        <v>299</v>
      </c>
      <c r="L15" s="31"/>
      <c r="M15" s="33">
        <v>4</v>
      </c>
      <c r="N15" s="27">
        <v>1</v>
      </c>
      <c r="O15" s="27">
        <v>1</v>
      </c>
      <c r="P15" s="27">
        <v>1</v>
      </c>
      <c r="Q15" s="27">
        <v>1</v>
      </c>
      <c r="R15" s="27">
        <v>1</v>
      </c>
      <c r="S15" s="27">
        <v>1</v>
      </c>
      <c r="T15" s="27">
        <v>1</v>
      </c>
      <c r="U15" s="27">
        <v>1</v>
      </c>
      <c r="V15" s="27">
        <v>1</v>
      </c>
      <c r="W15" s="27">
        <v>1</v>
      </c>
      <c r="X15" s="27">
        <v>1</v>
      </c>
      <c r="Y15" s="27">
        <v>1</v>
      </c>
      <c r="Z15" s="27">
        <v>1</v>
      </c>
      <c r="AA15" s="27">
        <v>1</v>
      </c>
      <c r="AB15" s="27">
        <v>1</v>
      </c>
      <c r="AC15" s="27">
        <v>1</v>
      </c>
      <c r="AD15" s="27">
        <v>1</v>
      </c>
      <c r="AE15" s="27">
        <v>1</v>
      </c>
      <c r="AF15" s="27">
        <v>1</v>
      </c>
      <c r="AG15" s="27">
        <v>1</v>
      </c>
      <c r="AH15" s="27">
        <v>1</v>
      </c>
      <c r="AI15" s="27">
        <v>1</v>
      </c>
      <c r="AJ15" s="27">
        <v>1</v>
      </c>
      <c r="AK15" s="27">
        <v>1</v>
      </c>
      <c r="AL15" s="27">
        <v>1</v>
      </c>
      <c r="AM15" s="27">
        <v>1</v>
      </c>
      <c r="AN15" s="27">
        <v>1</v>
      </c>
      <c r="AO15" s="27">
        <v>1</v>
      </c>
      <c r="AP15" s="27">
        <v>1</v>
      </c>
      <c r="AQ15" s="27">
        <v>1</v>
      </c>
      <c r="AR15" s="27">
        <v>1</v>
      </c>
      <c r="AS15" s="27">
        <v>1</v>
      </c>
      <c r="AT15" s="27">
        <v>1</v>
      </c>
      <c r="AU15" s="27">
        <v>1</v>
      </c>
      <c r="AV15" s="27">
        <v>1</v>
      </c>
      <c r="AW15" s="27">
        <v>1</v>
      </c>
      <c r="AX15" s="28">
        <v>1</v>
      </c>
      <c r="AY15" s="28">
        <v>1</v>
      </c>
      <c r="AZ15" s="28">
        <v>1</v>
      </c>
      <c r="BA15" s="28">
        <v>1</v>
      </c>
      <c r="BB15" s="27">
        <v>1</v>
      </c>
      <c r="BC15" s="27">
        <v>1</v>
      </c>
      <c r="BD15" s="27">
        <v>1</v>
      </c>
      <c r="BE15" s="27">
        <v>1</v>
      </c>
      <c r="BF15" s="27">
        <v>1</v>
      </c>
      <c r="BG15" s="27">
        <v>1</v>
      </c>
      <c r="BH15" s="27">
        <v>1</v>
      </c>
      <c r="BI15" s="27">
        <v>1</v>
      </c>
      <c r="BJ15" s="27">
        <v>1</v>
      </c>
      <c r="BK15" s="27">
        <v>1</v>
      </c>
      <c r="BL15" s="27">
        <v>1</v>
      </c>
      <c r="BM15" s="27">
        <v>1</v>
      </c>
      <c r="BN15" s="27">
        <v>1</v>
      </c>
      <c r="BO15" s="27">
        <v>1</v>
      </c>
      <c r="BP15" s="27">
        <v>1</v>
      </c>
      <c r="BQ15" s="27">
        <v>1</v>
      </c>
      <c r="BR15" s="27"/>
      <c r="BS15" s="27"/>
      <c r="BT15" s="27"/>
      <c r="BU15" s="27"/>
      <c r="BV15" s="27"/>
      <c r="BW15" s="27"/>
      <c r="BX15" s="27"/>
      <c r="BY15" s="27"/>
      <c r="BZ15" s="27"/>
    </row>
    <row r="16" spans="1:79" ht="14.4" customHeight="1" x14ac:dyDescent="0.3">
      <c r="L16" s="31" t="s">
        <v>283</v>
      </c>
      <c r="M16" s="33">
        <v>6</v>
      </c>
      <c r="N16" s="27">
        <v>1</v>
      </c>
      <c r="O16" s="27">
        <v>1</v>
      </c>
      <c r="P16" s="27">
        <v>1</v>
      </c>
      <c r="Q16" s="27">
        <v>1</v>
      </c>
      <c r="R16" s="27">
        <v>1</v>
      </c>
      <c r="S16" s="27">
        <v>1</v>
      </c>
      <c r="T16" s="27">
        <v>1</v>
      </c>
      <c r="U16" s="27">
        <v>1</v>
      </c>
      <c r="V16" s="27">
        <v>1</v>
      </c>
      <c r="W16" s="27">
        <v>1</v>
      </c>
      <c r="X16" s="27">
        <v>1</v>
      </c>
      <c r="Y16" s="27">
        <v>1</v>
      </c>
      <c r="Z16" s="27">
        <v>1</v>
      </c>
      <c r="AA16" s="27">
        <v>1</v>
      </c>
      <c r="AB16" s="27">
        <v>1</v>
      </c>
      <c r="AC16" s="27">
        <v>1</v>
      </c>
      <c r="AD16" s="27">
        <v>1</v>
      </c>
      <c r="AE16" s="27">
        <v>1</v>
      </c>
      <c r="AF16" s="27">
        <v>1</v>
      </c>
      <c r="AG16" s="27">
        <v>1</v>
      </c>
      <c r="AH16" s="27">
        <v>1</v>
      </c>
      <c r="AI16" s="27">
        <v>1</v>
      </c>
      <c r="AJ16" s="27">
        <v>1</v>
      </c>
      <c r="AK16" s="27">
        <v>1</v>
      </c>
      <c r="AL16" s="5">
        <v>1</v>
      </c>
      <c r="AM16" s="5">
        <v>1</v>
      </c>
      <c r="AN16" s="5">
        <v>1</v>
      </c>
      <c r="AO16" s="5">
        <v>1</v>
      </c>
      <c r="AP16" s="5">
        <v>1</v>
      </c>
      <c r="AQ16" s="5">
        <v>1</v>
      </c>
      <c r="AR16" s="27">
        <v>1</v>
      </c>
      <c r="AS16" s="27">
        <v>1</v>
      </c>
      <c r="AT16" s="27">
        <v>1</v>
      </c>
      <c r="AU16" s="27">
        <v>1</v>
      </c>
      <c r="AV16" s="27">
        <v>1</v>
      </c>
      <c r="AW16" s="27">
        <v>1</v>
      </c>
      <c r="AX16" s="27">
        <v>1</v>
      </c>
      <c r="AY16" s="27">
        <v>1</v>
      </c>
      <c r="AZ16" s="27">
        <v>1</v>
      </c>
      <c r="BA16" s="27">
        <v>1</v>
      </c>
      <c r="BB16" s="27">
        <v>1</v>
      </c>
      <c r="BC16" s="27">
        <v>1</v>
      </c>
      <c r="BD16" s="27">
        <v>1</v>
      </c>
      <c r="BE16" s="27">
        <v>1</v>
      </c>
      <c r="BF16" s="27">
        <v>1</v>
      </c>
      <c r="BG16" s="27">
        <v>1</v>
      </c>
      <c r="BH16" s="27">
        <v>1</v>
      </c>
      <c r="BI16" s="27">
        <v>1</v>
      </c>
      <c r="BJ16" s="27">
        <v>1</v>
      </c>
      <c r="BK16" s="27">
        <v>1</v>
      </c>
      <c r="BL16" s="27">
        <v>1</v>
      </c>
      <c r="BM16" s="27">
        <v>1</v>
      </c>
      <c r="BN16" s="27">
        <v>1</v>
      </c>
      <c r="BO16" s="27">
        <v>1</v>
      </c>
      <c r="BP16" s="27">
        <v>1</v>
      </c>
      <c r="BQ16" s="27">
        <v>1</v>
      </c>
      <c r="BR16" s="27"/>
      <c r="BS16" s="27"/>
      <c r="BT16" s="27"/>
      <c r="BU16" s="27"/>
      <c r="BV16" s="27"/>
      <c r="BW16" s="27"/>
      <c r="BX16" s="27"/>
      <c r="BY16" s="27"/>
      <c r="BZ16" s="27"/>
    </row>
    <row r="17" spans="1:78" ht="14.4" customHeight="1" x14ac:dyDescent="0.3">
      <c r="A17" t="s">
        <v>300</v>
      </c>
      <c r="L17" s="31"/>
      <c r="M17" s="33">
        <v>4</v>
      </c>
      <c r="N17" s="27">
        <v>1</v>
      </c>
      <c r="O17" s="27">
        <v>1</v>
      </c>
      <c r="P17" s="27">
        <v>1</v>
      </c>
      <c r="Q17" s="27">
        <v>1</v>
      </c>
      <c r="R17" s="27">
        <v>1</v>
      </c>
      <c r="S17" s="27">
        <v>1</v>
      </c>
      <c r="T17" s="27">
        <v>1</v>
      </c>
      <c r="U17" s="27">
        <v>1</v>
      </c>
      <c r="V17" s="27">
        <v>1</v>
      </c>
      <c r="W17" s="27">
        <v>1</v>
      </c>
      <c r="X17" s="27">
        <v>1</v>
      </c>
      <c r="Y17" s="27">
        <v>1</v>
      </c>
      <c r="Z17" s="27">
        <v>1</v>
      </c>
      <c r="AA17" s="27">
        <v>1</v>
      </c>
      <c r="AB17" s="27">
        <v>1</v>
      </c>
      <c r="AC17" s="27">
        <v>1</v>
      </c>
      <c r="AD17" s="27">
        <v>1</v>
      </c>
      <c r="AE17" s="27">
        <v>1</v>
      </c>
      <c r="AF17" s="27">
        <v>1</v>
      </c>
      <c r="AG17" s="27">
        <v>1</v>
      </c>
      <c r="AH17" s="27">
        <v>1</v>
      </c>
      <c r="AI17" s="27">
        <v>1</v>
      </c>
      <c r="AJ17" s="27">
        <v>1</v>
      </c>
      <c r="AK17" s="27">
        <v>1</v>
      </c>
      <c r="AL17" s="27">
        <v>1</v>
      </c>
      <c r="AM17" s="27">
        <v>1</v>
      </c>
      <c r="AN17" s="27">
        <v>1</v>
      </c>
      <c r="AO17" s="27">
        <v>1</v>
      </c>
      <c r="AP17" s="27">
        <v>1</v>
      </c>
      <c r="AQ17" s="27">
        <v>1</v>
      </c>
      <c r="AR17" s="27">
        <v>1</v>
      </c>
      <c r="AS17" s="27">
        <v>1</v>
      </c>
      <c r="AT17" s="27">
        <v>1</v>
      </c>
      <c r="AU17" s="27">
        <v>1</v>
      </c>
      <c r="AV17" s="27">
        <v>1</v>
      </c>
      <c r="AW17" s="27">
        <v>1</v>
      </c>
      <c r="AX17" s="27">
        <v>1</v>
      </c>
      <c r="AY17" s="27">
        <v>1</v>
      </c>
      <c r="AZ17" s="27">
        <v>1</v>
      </c>
      <c r="BA17" s="27">
        <v>1</v>
      </c>
      <c r="BB17" s="28">
        <v>1</v>
      </c>
      <c r="BC17" s="28">
        <v>1</v>
      </c>
      <c r="BD17" s="28">
        <v>1</v>
      </c>
      <c r="BE17" s="28">
        <v>1</v>
      </c>
      <c r="BF17" s="27">
        <v>1</v>
      </c>
      <c r="BG17" s="27">
        <v>1</v>
      </c>
      <c r="BH17" s="27">
        <v>1</v>
      </c>
      <c r="BI17" s="27">
        <v>1</v>
      </c>
      <c r="BJ17" s="27">
        <v>1</v>
      </c>
      <c r="BK17" s="27">
        <v>1</v>
      </c>
      <c r="BL17" s="27">
        <v>1</v>
      </c>
      <c r="BM17" s="27">
        <v>1</v>
      </c>
      <c r="BN17" s="27">
        <v>1</v>
      </c>
      <c r="BO17" s="27">
        <v>1</v>
      </c>
      <c r="BP17" s="27">
        <v>1</v>
      </c>
      <c r="BQ17" s="27">
        <v>1</v>
      </c>
      <c r="BR17" s="27"/>
      <c r="BS17" s="27"/>
      <c r="BT17" s="27"/>
      <c r="BU17" s="27"/>
      <c r="BV17" s="27"/>
      <c r="BW17" s="27"/>
      <c r="BX17" s="27"/>
      <c r="BY17" s="27"/>
      <c r="BZ17" s="27"/>
    </row>
    <row r="18" spans="1:78" ht="14.4" customHeight="1" x14ac:dyDescent="0.3">
      <c r="L18" s="31" t="s">
        <v>284</v>
      </c>
      <c r="M18" s="33">
        <v>7</v>
      </c>
      <c r="N18" s="27">
        <v>1</v>
      </c>
      <c r="O18" s="27">
        <v>1</v>
      </c>
      <c r="P18" s="27">
        <v>1</v>
      </c>
      <c r="Q18" s="27">
        <v>1</v>
      </c>
      <c r="R18" s="27">
        <v>1</v>
      </c>
      <c r="S18" s="27">
        <v>1</v>
      </c>
      <c r="T18" s="27">
        <v>1</v>
      </c>
      <c r="U18" s="27">
        <v>1</v>
      </c>
      <c r="V18" s="27">
        <v>1</v>
      </c>
      <c r="W18" s="27">
        <v>1</v>
      </c>
      <c r="X18" s="27">
        <v>1</v>
      </c>
      <c r="Y18" s="27">
        <v>1</v>
      </c>
      <c r="Z18" s="27">
        <v>1</v>
      </c>
      <c r="AA18" s="27">
        <v>1</v>
      </c>
      <c r="AB18" s="27">
        <v>1</v>
      </c>
      <c r="AC18" s="27">
        <v>1</v>
      </c>
      <c r="AD18" s="27">
        <v>1</v>
      </c>
      <c r="AE18" s="27">
        <v>1</v>
      </c>
      <c r="AF18" s="27">
        <v>1</v>
      </c>
      <c r="AG18" s="27">
        <v>1</v>
      </c>
      <c r="AH18" s="27">
        <v>1</v>
      </c>
      <c r="AI18" s="27">
        <v>1</v>
      </c>
      <c r="AJ18" s="27">
        <v>1</v>
      </c>
      <c r="AK18" s="27">
        <v>1</v>
      </c>
      <c r="AL18" s="27">
        <v>1</v>
      </c>
      <c r="AM18" s="27">
        <v>1</v>
      </c>
      <c r="AN18" s="27">
        <v>1</v>
      </c>
      <c r="AO18" s="27">
        <v>1</v>
      </c>
      <c r="AP18" s="27">
        <v>1</v>
      </c>
      <c r="AQ18" s="27">
        <v>1</v>
      </c>
      <c r="AR18" s="5">
        <v>1</v>
      </c>
      <c r="AS18" s="5">
        <v>1</v>
      </c>
      <c r="AT18" s="5">
        <v>1</v>
      </c>
      <c r="AU18" s="5">
        <v>1</v>
      </c>
      <c r="AV18" s="5">
        <v>1</v>
      </c>
      <c r="AW18" s="5">
        <v>1</v>
      </c>
      <c r="AX18" s="5">
        <v>1</v>
      </c>
      <c r="AY18" s="27">
        <v>1</v>
      </c>
      <c r="AZ18" s="27">
        <v>1</v>
      </c>
      <c r="BA18" s="27">
        <v>1</v>
      </c>
      <c r="BB18" s="27">
        <v>1</v>
      </c>
      <c r="BC18" s="27">
        <v>1</v>
      </c>
      <c r="BD18" s="27">
        <v>1</v>
      </c>
      <c r="BE18" s="27">
        <v>1</v>
      </c>
      <c r="BF18" s="27">
        <v>1</v>
      </c>
      <c r="BG18" s="27">
        <v>1</v>
      </c>
      <c r="BH18" s="27">
        <v>1</v>
      </c>
      <c r="BI18" s="27">
        <v>1</v>
      </c>
      <c r="BJ18" s="27">
        <v>1</v>
      </c>
      <c r="BK18" s="27">
        <v>1</v>
      </c>
      <c r="BL18" s="27">
        <v>1</v>
      </c>
      <c r="BM18" s="27">
        <v>1</v>
      </c>
      <c r="BN18" s="27">
        <v>1</v>
      </c>
      <c r="BO18" s="27">
        <v>1</v>
      </c>
      <c r="BP18" s="27">
        <v>1</v>
      </c>
      <c r="BQ18" s="27">
        <v>1</v>
      </c>
      <c r="BR18" s="27"/>
      <c r="BS18" s="27"/>
      <c r="BT18" s="27"/>
      <c r="BU18" s="27"/>
      <c r="BV18" s="27"/>
      <c r="BW18" s="27"/>
      <c r="BX18" s="27"/>
      <c r="BY18" s="27"/>
      <c r="BZ18" s="27"/>
    </row>
    <row r="19" spans="1:78" ht="14.4" customHeight="1" x14ac:dyDescent="0.3">
      <c r="L19" s="31"/>
      <c r="M19" s="33">
        <v>3</v>
      </c>
      <c r="N19" s="27">
        <v>1</v>
      </c>
      <c r="O19" s="27">
        <v>1</v>
      </c>
      <c r="P19" s="27">
        <v>1</v>
      </c>
      <c r="Q19" s="27">
        <v>1</v>
      </c>
      <c r="R19" s="27">
        <v>1</v>
      </c>
      <c r="S19" s="27">
        <v>1</v>
      </c>
      <c r="T19" s="27">
        <v>1</v>
      </c>
      <c r="U19" s="27">
        <v>1</v>
      </c>
      <c r="V19" s="27">
        <v>1</v>
      </c>
      <c r="W19" s="27">
        <v>1</v>
      </c>
      <c r="X19" s="27">
        <v>1</v>
      </c>
      <c r="Y19" s="27">
        <v>1</v>
      </c>
      <c r="Z19" s="27">
        <v>1</v>
      </c>
      <c r="AA19" s="27">
        <v>1</v>
      </c>
      <c r="AB19" s="27">
        <v>1</v>
      </c>
      <c r="AC19" s="27">
        <v>1</v>
      </c>
      <c r="AD19" s="27">
        <v>1</v>
      </c>
      <c r="AE19" s="27">
        <v>1</v>
      </c>
      <c r="AF19" s="27">
        <v>1</v>
      </c>
      <c r="AG19" s="27">
        <v>1</v>
      </c>
      <c r="AH19" s="27">
        <v>1</v>
      </c>
      <c r="AI19" s="27">
        <v>1</v>
      </c>
      <c r="AJ19" s="27">
        <v>1</v>
      </c>
      <c r="AK19" s="27">
        <v>1</v>
      </c>
      <c r="AL19" s="27">
        <v>1</v>
      </c>
      <c r="AM19" s="27">
        <v>1</v>
      </c>
      <c r="AN19" s="27">
        <v>1</v>
      </c>
      <c r="AO19" s="27">
        <v>1</v>
      </c>
      <c r="AP19" s="27">
        <v>1</v>
      </c>
      <c r="AQ19" s="27">
        <v>1</v>
      </c>
      <c r="AR19" s="27">
        <v>1</v>
      </c>
      <c r="AS19" s="27">
        <v>1</v>
      </c>
      <c r="AT19" s="27">
        <v>1</v>
      </c>
      <c r="AU19" s="27">
        <v>1</v>
      </c>
      <c r="AV19" s="27">
        <v>1</v>
      </c>
      <c r="AW19" s="27">
        <v>1</v>
      </c>
      <c r="AX19" s="27">
        <v>1</v>
      </c>
      <c r="AY19" s="27">
        <v>1</v>
      </c>
      <c r="AZ19" s="27">
        <v>1</v>
      </c>
      <c r="BA19" s="27">
        <v>1</v>
      </c>
      <c r="BB19" s="27">
        <v>1</v>
      </c>
      <c r="BC19" s="27">
        <v>1</v>
      </c>
      <c r="BD19" s="27">
        <v>1</v>
      </c>
      <c r="BE19" s="27">
        <v>1</v>
      </c>
      <c r="BF19" s="28">
        <v>1</v>
      </c>
      <c r="BG19" s="28">
        <v>1</v>
      </c>
      <c r="BH19" s="28">
        <v>1</v>
      </c>
      <c r="BI19" s="27">
        <v>1</v>
      </c>
      <c r="BJ19" s="27">
        <v>1</v>
      </c>
      <c r="BK19" s="27">
        <v>1</v>
      </c>
      <c r="BL19" s="27">
        <v>1</v>
      </c>
      <c r="BM19" s="27">
        <v>1</v>
      </c>
      <c r="BN19" s="27">
        <v>1</v>
      </c>
      <c r="BO19" s="27">
        <v>1</v>
      </c>
      <c r="BP19" s="27">
        <v>1</v>
      </c>
      <c r="BQ19" s="27">
        <v>1</v>
      </c>
      <c r="BR19" s="27"/>
      <c r="BS19" s="27"/>
      <c r="BT19" s="27"/>
      <c r="BU19" s="27"/>
      <c r="BV19" s="27"/>
      <c r="BW19" s="27"/>
      <c r="BX19" s="27"/>
      <c r="BY19" s="27"/>
      <c r="BZ19" s="27"/>
    </row>
    <row r="20" spans="1:78" ht="14.4" customHeight="1" x14ac:dyDescent="0.3">
      <c r="L20" s="31" t="s">
        <v>293</v>
      </c>
      <c r="M20" s="33">
        <v>10</v>
      </c>
      <c r="N20" s="27">
        <v>1</v>
      </c>
      <c r="O20" s="27">
        <v>1</v>
      </c>
      <c r="P20" s="27">
        <v>1</v>
      </c>
      <c r="Q20" s="27">
        <v>1</v>
      </c>
      <c r="R20" s="27">
        <v>1</v>
      </c>
      <c r="S20" s="27">
        <v>1</v>
      </c>
      <c r="T20" s="27">
        <v>1</v>
      </c>
      <c r="U20" s="27">
        <v>1</v>
      </c>
      <c r="V20" s="27">
        <v>1</v>
      </c>
      <c r="W20" s="27">
        <v>1</v>
      </c>
      <c r="X20" s="27">
        <v>1</v>
      </c>
      <c r="Y20" s="27">
        <v>1</v>
      </c>
      <c r="Z20" s="27">
        <v>1</v>
      </c>
      <c r="AA20" s="27">
        <v>1</v>
      </c>
      <c r="AB20" s="27">
        <v>1</v>
      </c>
      <c r="AC20" s="27">
        <v>1</v>
      </c>
      <c r="AD20" s="27">
        <v>1</v>
      </c>
      <c r="AE20" s="27">
        <v>1</v>
      </c>
      <c r="AF20" s="27">
        <v>1</v>
      </c>
      <c r="AG20" s="27">
        <v>1</v>
      </c>
      <c r="AH20" s="27">
        <v>1</v>
      </c>
      <c r="AI20" s="27">
        <v>1</v>
      </c>
      <c r="AJ20" s="27">
        <v>1</v>
      </c>
      <c r="AK20" s="27">
        <v>1</v>
      </c>
      <c r="AL20" s="27">
        <v>1</v>
      </c>
      <c r="AM20" s="27">
        <v>1</v>
      </c>
      <c r="AN20" s="27">
        <v>1</v>
      </c>
      <c r="AO20" s="27">
        <v>1</v>
      </c>
      <c r="AP20" s="27">
        <v>1</v>
      </c>
      <c r="AQ20" s="27">
        <v>1</v>
      </c>
      <c r="AR20" s="27">
        <v>1</v>
      </c>
      <c r="AS20" s="27">
        <v>1</v>
      </c>
      <c r="AT20" s="27">
        <v>1</v>
      </c>
      <c r="AU20" s="27">
        <v>1</v>
      </c>
      <c r="AV20" s="27">
        <v>1</v>
      </c>
      <c r="AW20" s="27">
        <v>1</v>
      </c>
      <c r="AX20" s="27">
        <v>1</v>
      </c>
      <c r="AY20" s="5">
        <v>1</v>
      </c>
      <c r="AZ20" s="5">
        <v>1</v>
      </c>
      <c r="BA20" s="5">
        <v>1</v>
      </c>
      <c r="BB20" s="5">
        <v>1</v>
      </c>
      <c r="BC20" s="5">
        <v>1</v>
      </c>
      <c r="BD20" s="5">
        <v>1</v>
      </c>
      <c r="BE20" s="5">
        <v>1</v>
      </c>
      <c r="BF20" s="5">
        <v>1</v>
      </c>
      <c r="BG20" s="5">
        <v>1</v>
      </c>
      <c r="BH20" s="5">
        <v>1</v>
      </c>
      <c r="BI20" s="27">
        <v>1</v>
      </c>
      <c r="BJ20" s="27">
        <v>1</v>
      </c>
      <c r="BK20" s="27">
        <v>1</v>
      </c>
      <c r="BL20" s="27">
        <v>1</v>
      </c>
      <c r="BM20" s="27">
        <v>1</v>
      </c>
      <c r="BN20" s="27">
        <v>1</v>
      </c>
      <c r="BO20" s="27">
        <v>1</v>
      </c>
      <c r="BP20" s="27">
        <v>1</v>
      </c>
      <c r="BQ20" s="27">
        <v>1</v>
      </c>
      <c r="BR20" s="27"/>
      <c r="BS20" s="27"/>
      <c r="BT20" s="27"/>
      <c r="BU20" s="27"/>
      <c r="BV20" s="27"/>
      <c r="BW20" s="27"/>
      <c r="BX20" s="27"/>
      <c r="BY20" s="27"/>
      <c r="BZ20" s="27"/>
    </row>
    <row r="21" spans="1:78" ht="14.4" customHeight="1" x14ac:dyDescent="0.3">
      <c r="A21" s="20">
        <v>1</v>
      </c>
      <c r="B21" s="20">
        <v>2</v>
      </c>
      <c r="C21" s="20">
        <v>3</v>
      </c>
      <c r="D21" s="20">
        <v>4</v>
      </c>
      <c r="E21" s="20">
        <v>5</v>
      </c>
      <c r="F21" s="20">
        <v>6</v>
      </c>
      <c r="G21" s="20">
        <v>7</v>
      </c>
      <c r="H21" s="20">
        <v>8</v>
      </c>
      <c r="I21" s="20">
        <v>9</v>
      </c>
      <c r="J21" s="30">
        <v>10</v>
      </c>
      <c r="K21" s="24"/>
      <c r="L21" s="31"/>
      <c r="M21" s="33">
        <v>2</v>
      </c>
      <c r="N21" s="27">
        <v>1</v>
      </c>
      <c r="O21" s="27">
        <v>1</v>
      </c>
      <c r="P21" s="27">
        <v>1</v>
      </c>
      <c r="Q21" s="27">
        <v>1</v>
      </c>
      <c r="R21" s="27">
        <v>1</v>
      </c>
      <c r="S21" s="27">
        <v>1</v>
      </c>
      <c r="T21" s="27">
        <v>1</v>
      </c>
      <c r="U21" s="27">
        <v>1</v>
      </c>
      <c r="V21" s="27">
        <v>1</v>
      </c>
      <c r="W21" s="27">
        <v>1</v>
      </c>
      <c r="X21" s="27">
        <v>1</v>
      </c>
      <c r="Y21" s="27">
        <v>1</v>
      </c>
      <c r="Z21" s="27">
        <v>1</v>
      </c>
      <c r="AA21" s="27">
        <v>1</v>
      </c>
      <c r="AB21" s="27">
        <v>1</v>
      </c>
      <c r="AC21" s="27">
        <v>1</v>
      </c>
      <c r="AD21" s="27">
        <v>1</v>
      </c>
      <c r="AE21" s="27">
        <v>1</v>
      </c>
      <c r="AF21" s="27">
        <v>1</v>
      </c>
      <c r="AG21" s="27">
        <v>1</v>
      </c>
      <c r="AH21" s="27">
        <v>1</v>
      </c>
      <c r="AI21" s="27">
        <v>1</v>
      </c>
      <c r="AJ21" s="27">
        <v>1</v>
      </c>
      <c r="AK21" s="27">
        <v>1</v>
      </c>
      <c r="AL21" s="27">
        <v>1</v>
      </c>
      <c r="AM21" s="27">
        <v>1</v>
      </c>
      <c r="AN21" s="27">
        <v>1</v>
      </c>
      <c r="AO21" s="27">
        <v>1</v>
      </c>
      <c r="AP21" s="27">
        <v>1</v>
      </c>
      <c r="AQ21" s="27">
        <v>1</v>
      </c>
      <c r="AR21" s="27">
        <v>1</v>
      </c>
      <c r="AS21" s="27">
        <v>1</v>
      </c>
      <c r="AT21" s="27">
        <v>1</v>
      </c>
      <c r="AU21" s="27">
        <v>1</v>
      </c>
      <c r="AV21" s="27">
        <v>1</v>
      </c>
      <c r="AW21" s="27">
        <v>1</v>
      </c>
      <c r="AX21" s="27">
        <v>1</v>
      </c>
      <c r="AY21" s="27">
        <v>1</v>
      </c>
      <c r="AZ21" s="27">
        <v>1</v>
      </c>
      <c r="BA21" s="27">
        <v>1</v>
      </c>
      <c r="BB21" s="27">
        <v>1</v>
      </c>
      <c r="BC21" s="27">
        <v>1</v>
      </c>
      <c r="BD21" s="27">
        <v>1</v>
      </c>
      <c r="BE21" s="27">
        <v>1</v>
      </c>
      <c r="BF21" s="27">
        <v>1</v>
      </c>
      <c r="BG21" s="27">
        <v>1</v>
      </c>
      <c r="BH21" s="27">
        <v>1</v>
      </c>
      <c r="BI21" s="28">
        <v>1</v>
      </c>
      <c r="BJ21" s="28">
        <v>1</v>
      </c>
      <c r="BK21" s="27">
        <v>1</v>
      </c>
      <c r="BL21" s="27">
        <v>1</v>
      </c>
      <c r="BM21" s="27">
        <v>1</v>
      </c>
      <c r="BN21" s="27">
        <v>1</v>
      </c>
      <c r="BO21" s="27">
        <v>1</v>
      </c>
      <c r="BP21" s="27">
        <v>1</v>
      </c>
      <c r="BQ21" s="27">
        <v>1</v>
      </c>
      <c r="BR21" s="27"/>
      <c r="BS21" s="27"/>
      <c r="BT21" s="27"/>
      <c r="BU21" s="27"/>
      <c r="BV21" s="27"/>
      <c r="BW21" s="27"/>
      <c r="BX21" s="27"/>
      <c r="BY21" s="27"/>
      <c r="BZ21" s="27"/>
    </row>
    <row r="22" spans="1:78" ht="14.4" customHeight="1" x14ac:dyDescent="0.3">
      <c r="A22" s="20" t="s">
        <v>302</v>
      </c>
      <c r="B22" s="20" t="s">
        <v>303</v>
      </c>
      <c r="C22" s="20" t="s">
        <v>306</v>
      </c>
      <c r="D22" s="20" t="s">
        <v>308</v>
      </c>
      <c r="E22" s="20" t="s">
        <v>310</v>
      </c>
      <c r="F22" s="20" t="s">
        <v>309</v>
      </c>
      <c r="G22" s="20" t="s">
        <v>307</v>
      </c>
      <c r="H22" s="20" t="s">
        <v>305</v>
      </c>
      <c r="I22" s="20" t="s">
        <v>304</v>
      </c>
      <c r="J22" s="30" t="s">
        <v>301</v>
      </c>
      <c r="K22" s="24"/>
      <c r="L22" s="31" t="s">
        <v>281</v>
      </c>
      <c r="M22" s="33">
        <v>5</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1</v>
      </c>
      <c r="BG22">
        <v>1</v>
      </c>
      <c r="BH22">
        <v>1</v>
      </c>
      <c r="BI22" s="5">
        <v>1</v>
      </c>
      <c r="BJ22" s="5">
        <v>1</v>
      </c>
      <c r="BK22" s="5">
        <v>1</v>
      </c>
      <c r="BL22" s="5">
        <v>1</v>
      </c>
      <c r="BM22" s="5">
        <v>1</v>
      </c>
      <c r="BN22">
        <v>1</v>
      </c>
      <c r="BO22">
        <v>1</v>
      </c>
      <c r="BP22">
        <v>1</v>
      </c>
      <c r="BQ22">
        <v>1</v>
      </c>
    </row>
    <row r="23" spans="1:78" ht="14.4" customHeight="1" x14ac:dyDescent="0.3">
      <c r="L23" s="31"/>
      <c r="M23" s="33">
        <v>4</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1</v>
      </c>
      <c r="BC23">
        <v>1</v>
      </c>
      <c r="BD23">
        <v>1</v>
      </c>
      <c r="BE23">
        <v>1</v>
      </c>
      <c r="BF23">
        <v>1</v>
      </c>
      <c r="BG23">
        <v>1</v>
      </c>
      <c r="BH23">
        <v>1</v>
      </c>
      <c r="BI23">
        <v>1</v>
      </c>
      <c r="BJ23">
        <v>1</v>
      </c>
      <c r="BK23">
        <v>1</v>
      </c>
      <c r="BL23">
        <v>1</v>
      </c>
      <c r="BM23">
        <v>1</v>
      </c>
      <c r="BN23" s="28">
        <v>1</v>
      </c>
      <c r="BO23" s="28">
        <v>1</v>
      </c>
      <c r="BP23" s="28">
        <v>1</v>
      </c>
      <c r="BQ23" s="28">
        <v>1</v>
      </c>
    </row>
    <row r="24" spans="1:78" ht="14.4" customHeight="1" x14ac:dyDescent="0.3">
      <c r="A24" t="s">
        <v>311</v>
      </c>
    </row>
    <row r="25" spans="1:78" ht="14.4" customHeight="1" x14ac:dyDescent="0.3"/>
    <row r="26" spans="1:78" ht="14.4" customHeight="1" x14ac:dyDescent="0.3"/>
    <row r="27" spans="1:78" x14ac:dyDescent="0.3">
      <c r="A27" t="s">
        <v>316</v>
      </c>
    </row>
    <row r="28" spans="1:78" x14ac:dyDescent="0.3">
      <c r="C28" t="s">
        <v>317</v>
      </c>
    </row>
    <row r="29" spans="1:78" x14ac:dyDescent="0.3">
      <c r="C29" t="s">
        <v>318</v>
      </c>
    </row>
  </sheetData>
  <mergeCells count="2">
    <mergeCell ref="A14:C14"/>
    <mergeCell ref="A1:G1"/>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5673A-8DDE-49F9-9808-3BC849C266E3}">
  <dimension ref="C1:W53"/>
  <sheetViews>
    <sheetView topLeftCell="C1" workbookViewId="0">
      <selection activeCell="T16" sqref="T16"/>
    </sheetView>
  </sheetViews>
  <sheetFormatPr defaultRowHeight="14.4" x14ac:dyDescent="0.3"/>
  <cols>
    <col min="16" max="18" width="8.88671875" style="18"/>
  </cols>
  <sheetData>
    <row r="1" spans="3:23" x14ac:dyDescent="0.3">
      <c r="C1" s="78" t="s">
        <v>274</v>
      </c>
      <c r="D1" s="78"/>
      <c r="E1" s="78"/>
      <c r="F1" s="78"/>
      <c r="O1" t="s">
        <v>254</v>
      </c>
      <c r="P1" s="18">
        <v>10</v>
      </c>
      <c r="Q1" s="18">
        <v>30</v>
      </c>
      <c r="R1" s="18">
        <v>10</v>
      </c>
    </row>
    <row r="2" spans="3:23" x14ac:dyDescent="0.3">
      <c r="C2" t="s">
        <v>254</v>
      </c>
      <c r="D2" s="18">
        <v>10</v>
      </c>
      <c r="E2" s="18">
        <v>30</v>
      </c>
      <c r="F2" s="18">
        <v>10</v>
      </c>
      <c r="O2" t="s">
        <v>255</v>
      </c>
      <c r="P2" s="18">
        <f>SUM(P4:P53)</f>
        <v>10</v>
      </c>
      <c r="Q2" s="18">
        <f t="shared" ref="Q2:R2" si="0">SUM(Q4:Q53)</f>
        <v>30</v>
      </c>
      <c r="R2" s="18">
        <f t="shared" si="0"/>
        <v>10</v>
      </c>
    </row>
    <row r="3" spans="3:23" x14ac:dyDescent="0.3">
      <c r="D3" t="s">
        <v>247</v>
      </c>
      <c r="E3" t="s">
        <v>248</v>
      </c>
      <c r="F3" t="s">
        <v>249</v>
      </c>
      <c r="L3" t="s">
        <v>250</v>
      </c>
      <c r="M3" t="s">
        <v>251</v>
      </c>
      <c r="N3" t="s">
        <v>252</v>
      </c>
      <c r="P3" s="18" t="s">
        <v>250</v>
      </c>
      <c r="Q3" s="18" t="s">
        <v>251</v>
      </c>
      <c r="R3" s="18" t="s">
        <v>252</v>
      </c>
    </row>
    <row r="4" spans="3:23" x14ac:dyDescent="0.3">
      <c r="C4">
        <v>1</v>
      </c>
      <c r="D4">
        <v>1</v>
      </c>
      <c r="E4">
        <v>2</v>
      </c>
      <c r="F4">
        <v>3</v>
      </c>
      <c r="H4">
        <v>50</v>
      </c>
      <c r="I4">
        <v>50</v>
      </c>
      <c r="J4">
        <v>50</v>
      </c>
      <c r="L4">
        <v>3</v>
      </c>
      <c r="M4">
        <v>2</v>
      </c>
      <c r="N4">
        <v>1</v>
      </c>
      <c r="P4" s="19">
        <v>1</v>
      </c>
      <c r="Q4" s="19">
        <v>0</v>
      </c>
      <c r="R4" s="19">
        <v>0</v>
      </c>
      <c r="S4">
        <f>SUM(P4:R4)</f>
        <v>1</v>
      </c>
    </row>
    <row r="5" spans="3:23" x14ac:dyDescent="0.3">
      <c r="C5">
        <v>2</v>
      </c>
      <c r="D5">
        <v>3</v>
      </c>
      <c r="E5">
        <v>2</v>
      </c>
      <c r="F5">
        <v>1</v>
      </c>
      <c r="H5">
        <v>49</v>
      </c>
      <c r="I5">
        <v>49</v>
      </c>
      <c r="J5">
        <v>49</v>
      </c>
      <c r="L5">
        <v>1</v>
      </c>
      <c r="M5">
        <v>2</v>
      </c>
      <c r="N5">
        <v>3</v>
      </c>
      <c r="P5" s="19">
        <v>0</v>
      </c>
      <c r="Q5" s="19">
        <v>0</v>
      </c>
      <c r="R5" s="19">
        <v>1</v>
      </c>
      <c r="S5">
        <f t="shared" ref="S5:S53" si="1">SUM(P5:R5)</f>
        <v>1</v>
      </c>
      <c r="U5" t="s">
        <v>91</v>
      </c>
      <c r="V5" t="s">
        <v>253</v>
      </c>
      <c r="W5">
        <f>SUMPRODUCT(L4:N53,P4:R53,H4:J53)</f>
        <v>3529</v>
      </c>
    </row>
    <row r="6" spans="3:23" x14ac:dyDescent="0.3">
      <c r="C6">
        <v>3</v>
      </c>
      <c r="D6">
        <v>2</v>
      </c>
      <c r="E6">
        <v>1</v>
      </c>
      <c r="F6">
        <v>3</v>
      </c>
      <c r="H6">
        <v>48</v>
      </c>
      <c r="I6">
        <v>48</v>
      </c>
      <c r="J6">
        <v>48</v>
      </c>
      <c r="L6">
        <v>2</v>
      </c>
      <c r="M6">
        <v>3</v>
      </c>
      <c r="N6">
        <v>1</v>
      </c>
      <c r="P6" s="19">
        <v>0</v>
      </c>
      <c r="Q6" s="19">
        <v>1</v>
      </c>
      <c r="R6" s="19">
        <v>0</v>
      </c>
      <c r="S6">
        <f t="shared" si="1"/>
        <v>1</v>
      </c>
    </row>
    <row r="7" spans="3:23" x14ac:dyDescent="0.3">
      <c r="C7">
        <v>4</v>
      </c>
      <c r="D7">
        <v>3</v>
      </c>
      <c r="E7">
        <v>2</v>
      </c>
      <c r="F7">
        <v>1</v>
      </c>
      <c r="H7">
        <v>47</v>
      </c>
      <c r="I7">
        <v>47</v>
      </c>
      <c r="J7">
        <v>47</v>
      </c>
      <c r="L7">
        <v>1</v>
      </c>
      <c r="M7">
        <v>2</v>
      </c>
      <c r="N7">
        <v>3</v>
      </c>
      <c r="P7" s="19">
        <v>0</v>
      </c>
      <c r="Q7" s="19">
        <v>0</v>
      </c>
      <c r="R7" s="19">
        <v>1</v>
      </c>
      <c r="S7">
        <f t="shared" si="1"/>
        <v>1</v>
      </c>
    </row>
    <row r="8" spans="3:23" x14ac:dyDescent="0.3">
      <c r="C8">
        <v>5</v>
      </c>
      <c r="D8">
        <v>1</v>
      </c>
      <c r="E8">
        <v>2</v>
      </c>
      <c r="F8">
        <v>3</v>
      </c>
      <c r="H8">
        <v>46</v>
      </c>
      <c r="I8">
        <v>46</v>
      </c>
      <c r="J8">
        <v>46</v>
      </c>
      <c r="L8">
        <v>3</v>
      </c>
      <c r="M8">
        <v>2</v>
      </c>
      <c r="N8">
        <v>1</v>
      </c>
      <c r="P8" s="19">
        <v>1</v>
      </c>
      <c r="Q8" s="19">
        <v>0</v>
      </c>
      <c r="R8" s="19">
        <v>0</v>
      </c>
      <c r="S8">
        <f t="shared" si="1"/>
        <v>1</v>
      </c>
    </row>
    <row r="9" spans="3:23" x14ac:dyDescent="0.3">
      <c r="C9">
        <v>6</v>
      </c>
      <c r="D9">
        <v>2</v>
      </c>
      <c r="E9">
        <v>1</v>
      </c>
      <c r="F9">
        <v>3</v>
      </c>
      <c r="H9">
        <v>45</v>
      </c>
      <c r="I9">
        <v>45</v>
      </c>
      <c r="J9">
        <v>45</v>
      </c>
      <c r="L9">
        <v>2</v>
      </c>
      <c r="M9">
        <v>3</v>
      </c>
      <c r="N9">
        <v>1</v>
      </c>
      <c r="P9" s="19">
        <v>0</v>
      </c>
      <c r="Q9" s="19">
        <v>1</v>
      </c>
      <c r="R9" s="19">
        <v>0</v>
      </c>
      <c r="S9">
        <f t="shared" si="1"/>
        <v>1</v>
      </c>
    </row>
    <row r="10" spans="3:23" x14ac:dyDescent="0.3">
      <c r="C10">
        <v>7</v>
      </c>
      <c r="D10">
        <v>3</v>
      </c>
      <c r="E10">
        <v>2</v>
      </c>
      <c r="F10">
        <v>1</v>
      </c>
      <c r="H10">
        <v>44</v>
      </c>
      <c r="I10">
        <v>44</v>
      </c>
      <c r="J10">
        <v>44</v>
      </c>
      <c r="L10">
        <v>1</v>
      </c>
      <c r="M10">
        <v>2</v>
      </c>
      <c r="N10">
        <v>3</v>
      </c>
      <c r="P10" s="19">
        <v>0</v>
      </c>
      <c r="Q10" s="19">
        <v>0</v>
      </c>
      <c r="R10" s="19">
        <v>1</v>
      </c>
      <c r="S10">
        <f t="shared" si="1"/>
        <v>1</v>
      </c>
    </row>
    <row r="11" spans="3:23" x14ac:dyDescent="0.3">
      <c r="C11">
        <v>8</v>
      </c>
      <c r="D11">
        <v>3</v>
      </c>
      <c r="E11">
        <v>1</v>
      </c>
      <c r="F11">
        <v>2</v>
      </c>
      <c r="H11">
        <v>43</v>
      </c>
      <c r="I11">
        <v>43</v>
      </c>
      <c r="J11">
        <v>43</v>
      </c>
      <c r="L11">
        <v>1</v>
      </c>
      <c r="M11">
        <v>3</v>
      </c>
      <c r="N11">
        <v>2</v>
      </c>
      <c r="P11" s="19">
        <v>0</v>
      </c>
      <c r="Q11" s="19">
        <v>1</v>
      </c>
      <c r="R11" s="19">
        <v>0</v>
      </c>
      <c r="S11">
        <f t="shared" si="1"/>
        <v>1</v>
      </c>
    </row>
    <row r="12" spans="3:23" x14ac:dyDescent="0.3">
      <c r="C12">
        <v>9</v>
      </c>
      <c r="D12">
        <v>3</v>
      </c>
      <c r="E12">
        <v>2</v>
      </c>
      <c r="F12">
        <v>3</v>
      </c>
      <c r="H12">
        <v>42</v>
      </c>
      <c r="I12">
        <v>42</v>
      </c>
      <c r="J12">
        <v>42</v>
      </c>
      <c r="L12">
        <v>1</v>
      </c>
      <c r="M12">
        <v>2</v>
      </c>
      <c r="N12">
        <v>1</v>
      </c>
      <c r="P12" s="19">
        <v>0</v>
      </c>
      <c r="Q12" s="19">
        <v>1</v>
      </c>
      <c r="R12" s="19">
        <v>0</v>
      </c>
      <c r="S12">
        <f t="shared" si="1"/>
        <v>1</v>
      </c>
    </row>
    <row r="13" spans="3:23" x14ac:dyDescent="0.3">
      <c r="C13">
        <v>10</v>
      </c>
      <c r="D13">
        <v>1</v>
      </c>
      <c r="E13">
        <v>2</v>
      </c>
      <c r="F13">
        <v>3</v>
      </c>
      <c r="H13">
        <v>41</v>
      </c>
      <c r="I13">
        <v>41</v>
      </c>
      <c r="J13">
        <v>41</v>
      </c>
      <c r="L13">
        <v>3</v>
      </c>
      <c r="M13">
        <v>2</v>
      </c>
      <c r="N13">
        <v>1</v>
      </c>
      <c r="P13" s="19">
        <v>1</v>
      </c>
      <c r="Q13" s="19">
        <v>0</v>
      </c>
      <c r="R13" s="19">
        <v>0</v>
      </c>
      <c r="S13">
        <f t="shared" si="1"/>
        <v>1</v>
      </c>
    </row>
    <row r="14" spans="3:23" x14ac:dyDescent="0.3">
      <c r="C14">
        <v>11</v>
      </c>
      <c r="D14">
        <v>3</v>
      </c>
      <c r="E14">
        <v>2</v>
      </c>
      <c r="F14">
        <v>1</v>
      </c>
      <c r="H14">
        <v>40</v>
      </c>
      <c r="I14">
        <v>40</v>
      </c>
      <c r="J14">
        <v>40</v>
      </c>
      <c r="L14">
        <v>1</v>
      </c>
      <c r="M14">
        <v>2</v>
      </c>
      <c r="N14">
        <v>3</v>
      </c>
      <c r="P14" s="19">
        <v>0</v>
      </c>
      <c r="Q14" s="19">
        <v>0</v>
      </c>
      <c r="R14" s="19">
        <v>1</v>
      </c>
      <c r="S14">
        <f t="shared" si="1"/>
        <v>1</v>
      </c>
    </row>
    <row r="15" spans="3:23" x14ac:dyDescent="0.3">
      <c r="C15">
        <v>12</v>
      </c>
      <c r="D15">
        <v>3</v>
      </c>
      <c r="E15">
        <v>2</v>
      </c>
      <c r="F15">
        <v>1</v>
      </c>
      <c r="H15">
        <v>39</v>
      </c>
      <c r="I15">
        <v>39</v>
      </c>
      <c r="J15">
        <v>39</v>
      </c>
      <c r="L15">
        <v>1</v>
      </c>
      <c r="M15">
        <v>2</v>
      </c>
      <c r="N15">
        <v>3</v>
      </c>
      <c r="P15" s="19">
        <v>0</v>
      </c>
      <c r="Q15" s="19">
        <v>0</v>
      </c>
      <c r="R15" s="19">
        <v>1</v>
      </c>
      <c r="S15">
        <f t="shared" si="1"/>
        <v>1</v>
      </c>
    </row>
    <row r="16" spans="3:23" x14ac:dyDescent="0.3">
      <c r="C16">
        <v>13</v>
      </c>
      <c r="D16">
        <v>1</v>
      </c>
      <c r="E16">
        <v>3</v>
      </c>
      <c r="F16">
        <v>2</v>
      </c>
      <c r="H16">
        <v>38</v>
      </c>
      <c r="I16">
        <v>38</v>
      </c>
      <c r="J16">
        <v>38</v>
      </c>
      <c r="L16">
        <v>3</v>
      </c>
      <c r="M16">
        <v>1</v>
      </c>
      <c r="N16">
        <v>2</v>
      </c>
      <c r="P16" s="19">
        <v>1</v>
      </c>
      <c r="Q16" s="19">
        <v>0</v>
      </c>
      <c r="R16" s="19">
        <v>0</v>
      </c>
      <c r="S16">
        <f t="shared" si="1"/>
        <v>1</v>
      </c>
    </row>
    <row r="17" spans="3:19" x14ac:dyDescent="0.3">
      <c r="C17">
        <v>14</v>
      </c>
      <c r="D17">
        <v>1</v>
      </c>
      <c r="E17">
        <v>2</v>
      </c>
      <c r="F17">
        <v>3</v>
      </c>
      <c r="H17">
        <v>37</v>
      </c>
      <c r="I17">
        <v>37</v>
      </c>
      <c r="J17">
        <v>37</v>
      </c>
      <c r="L17">
        <v>3</v>
      </c>
      <c r="M17">
        <v>2</v>
      </c>
      <c r="N17">
        <v>1</v>
      </c>
      <c r="P17" s="19">
        <v>1</v>
      </c>
      <c r="Q17" s="19">
        <v>0</v>
      </c>
      <c r="R17" s="19">
        <v>0</v>
      </c>
      <c r="S17">
        <f t="shared" si="1"/>
        <v>1</v>
      </c>
    </row>
    <row r="18" spans="3:19" x14ac:dyDescent="0.3">
      <c r="C18">
        <v>15</v>
      </c>
      <c r="D18">
        <v>3</v>
      </c>
      <c r="E18">
        <v>1</v>
      </c>
      <c r="F18">
        <v>2</v>
      </c>
      <c r="H18">
        <v>36</v>
      </c>
      <c r="I18">
        <v>36</v>
      </c>
      <c r="J18">
        <v>36</v>
      </c>
      <c r="L18">
        <v>1</v>
      </c>
      <c r="M18">
        <v>3</v>
      </c>
      <c r="N18">
        <v>2</v>
      </c>
      <c r="P18" s="19">
        <v>0</v>
      </c>
      <c r="Q18" s="19">
        <v>1</v>
      </c>
      <c r="R18" s="19">
        <v>0</v>
      </c>
      <c r="S18">
        <f t="shared" si="1"/>
        <v>1</v>
      </c>
    </row>
    <row r="19" spans="3:19" x14ac:dyDescent="0.3">
      <c r="C19">
        <v>16</v>
      </c>
      <c r="D19">
        <v>1</v>
      </c>
      <c r="E19">
        <v>2</v>
      </c>
      <c r="F19">
        <v>3</v>
      </c>
      <c r="H19">
        <v>35</v>
      </c>
      <c r="I19">
        <v>35</v>
      </c>
      <c r="J19">
        <v>35</v>
      </c>
      <c r="L19">
        <v>3</v>
      </c>
      <c r="M19">
        <v>2</v>
      </c>
      <c r="N19">
        <v>1</v>
      </c>
      <c r="P19" s="19">
        <v>1</v>
      </c>
      <c r="Q19" s="19">
        <v>0</v>
      </c>
      <c r="R19" s="19">
        <v>0</v>
      </c>
      <c r="S19">
        <f t="shared" si="1"/>
        <v>1</v>
      </c>
    </row>
    <row r="20" spans="3:19" x14ac:dyDescent="0.3">
      <c r="C20">
        <v>17</v>
      </c>
      <c r="D20">
        <v>3</v>
      </c>
      <c r="E20">
        <v>2</v>
      </c>
      <c r="F20">
        <v>1</v>
      </c>
      <c r="H20">
        <v>34</v>
      </c>
      <c r="I20">
        <v>34</v>
      </c>
      <c r="J20">
        <v>34</v>
      </c>
      <c r="L20">
        <v>1</v>
      </c>
      <c r="M20">
        <v>2</v>
      </c>
      <c r="N20">
        <v>3</v>
      </c>
      <c r="P20" s="19">
        <v>0</v>
      </c>
      <c r="Q20" s="19">
        <v>0</v>
      </c>
      <c r="R20" s="19">
        <v>1</v>
      </c>
      <c r="S20">
        <f t="shared" si="1"/>
        <v>1</v>
      </c>
    </row>
    <row r="21" spans="3:19" x14ac:dyDescent="0.3">
      <c r="C21">
        <v>18</v>
      </c>
      <c r="D21">
        <v>3</v>
      </c>
      <c r="E21">
        <v>1</v>
      </c>
      <c r="F21">
        <v>2</v>
      </c>
      <c r="H21">
        <v>33</v>
      </c>
      <c r="I21">
        <v>33</v>
      </c>
      <c r="J21">
        <v>33</v>
      </c>
      <c r="L21">
        <v>1</v>
      </c>
      <c r="M21">
        <v>3</v>
      </c>
      <c r="N21">
        <v>2</v>
      </c>
      <c r="P21" s="19">
        <v>0</v>
      </c>
      <c r="Q21" s="19">
        <v>1</v>
      </c>
      <c r="R21" s="19">
        <v>0</v>
      </c>
      <c r="S21">
        <f t="shared" si="1"/>
        <v>1</v>
      </c>
    </row>
    <row r="22" spans="3:19" x14ac:dyDescent="0.3">
      <c r="C22">
        <v>19</v>
      </c>
      <c r="D22">
        <v>1</v>
      </c>
      <c r="E22">
        <v>2</v>
      </c>
      <c r="F22">
        <v>3</v>
      </c>
      <c r="H22">
        <v>32</v>
      </c>
      <c r="I22">
        <v>32</v>
      </c>
      <c r="J22">
        <v>32</v>
      </c>
      <c r="L22">
        <v>3</v>
      </c>
      <c r="M22">
        <v>2</v>
      </c>
      <c r="N22">
        <v>1</v>
      </c>
      <c r="P22" s="19">
        <v>1</v>
      </c>
      <c r="Q22" s="19">
        <v>0</v>
      </c>
      <c r="R22" s="19">
        <v>0</v>
      </c>
      <c r="S22">
        <f t="shared" si="1"/>
        <v>1</v>
      </c>
    </row>
    <row r="23" spans="3:19" x14ac:dyDescent="0.3">
      <c r="C23">
        <v>20</v>
      </c>
      <c r="D23">
        <v>1</v>
      </c>
      <c r="E23">
        <v>2</v>
      </c>
      <c r="F23">
        <v>3</v>
      </c>
      <c r="H23">
        <v>31</v>
      </c>
      <c r="I23">
        <v>31</v>
      </c>
      <c r="J23">
        <v>31</v>
      </c>
      <c r="L23">
        <v>3</v>
      </c>
      <c r="M23">
        <v>2</v>
      </c>
      <c r="N23">
        <v>1</v>
      </c>
      <c r="P23" s="19">
        <v>0</v>
      </c>
      <c r="Q23" s="19">
        <v>1</v>
      </c>
      <c r="R23" s="19">
        <v>0</v>
      </c>
      <c r="S23">
        <f t="shared" si="1"/>
        <v>1</v>
      </c>
    </row>
    <row r="24" spans="3:19" x14ac:dyDescent="0.3">
      <c r="C24">
        <v>21</v>
      </c>
      <c r="D24">
        <v>3</v>
      </c>
      <c r="E24">
        <v>1</v>
      </c>
      <c r="F24">
        <v>2</v>
      </c>
      <c r="H24">
        <v>30</v>
      </c>
      <c r="I24">
        <v>30</v>
      </c>
      <c r="J24">
        <v>30</v>
      </c>
      <c r="L24">
        <v>1</v>
      </c>
      <c r="M24">
        <v>3</v>
      </c>
      <c r="N24">
        <v>2</v>
      </c>
      <c r="P24" s="19">
        <v>0</v>
      </c>
      <c r="Q24" s="19">
        <v>1</v>
      </c>
      <c r="R24" s="19">
        <v>0</v>
      </c>
      <c r="S24">
        <f t="shared" si="1"/>
        <v>1</v>
      </c>
    </row>
    <row r="25" spans="3:19" x14ac:dyDescent="0.3">
      <c r="C25">
        <v>22</v>
      </c>
      <c r="D25">
        <v>1</v>
      </c>
      <c r="E25">
        <v>2</v>
      </c>
      <c r="F25">
        <v>3</v>
      </c>
      <c r="H25">
        <v>29</v>
      </c>
      <c r="I25">
        <v>29</v>
      </c>
      <c r="J25">
        <v>29</v>
      </c>
      <c r="L25">
        <v>3</v>
      </c>
      <c r="M25">
        <v>2</v>
      </c>
      <c r="N25">
        <v>1</v>
      </c>
      <c r="P25" s="19">
        <v>0</v>
      </c>
      <c r="Q25" s="19">
        <v>1</v>
      </c>
      <c r="R25" s="19">
        <v>0</v>
      </c>
      <c r="S25">
        <f t="shared" si="1"/>
        <v>1</v>
      </c>
    </row>
    <row r="26" spans="3:19" x14ac:dyDescent="0.3">
      <c r="C26">
        <v>23</v>
      </c>
      <c r="D26">
        <v>1</v>
      </c>
      <c r="E26">
        <v>2</v>
      </c>
      <c r="F26">
        <v>3</v>
      </c>
      <c r="H26">
        <v>28</v>
      </c>
      <c r="I26">
        <v>28</v>
      </c>
      <c r="J26">
        <v>28</v>
      </c>
      <c r="L26">
        <v>3</v>
      </c>
      <c r="M26">
        <v>2</v>
      </c>
      <c r="N26">
        <v>1</v>
      </c>
      <c r="P26" s="19">
        <v>0</v>
      </c>
      <c r="Q26" s="19">
        <v>1</v>
      </c>
      <c r="R26" s="19">
        <v>0</v>
      </c>
      <c r="S26">
        <f t="shared" si="1"/>
        <v>1</v>
      </c>
    </row>
    <row r="27" spans="3:19" x14ac:dyDescent="0.3">
      <c r="C27">
        <v>24</v>
      </c>
      <c r="D27">
        <v>1</v>
      </c>
      <c r="E27">
        <v>2</v>
      </c>
      <c r="F27">
        <v>3</v>
      </c>
      <c r="H27">
        <v>27</v>
      </c>
      <c r="I27">
        <v>27</v>
      </c>
      <c r="J27">
        <v>27</v>
      </c>
      <c r="L27">
        <v>3</v>
      </c>
      <c r="M27">
        <v>2</v>
      </c>
      <c r="N27">
        <v>1</v>
      </c>
      <c r="P27" s="19">
        <v>0</v>
      </c>
      <c r="Q27" s="19">
        <v>1</v>
      </c>
      <c r="R27" s="19">
        <v>0</v>
      </c>
      <c r="S27">
        <f t="shared" si="1"/>
        <v>1</v>
      </c>
    </row>
    <row r="28" spans="3:19" x14ac:dyDescent="0.3">
      <c r="C28">
        <v>25</v>
      </c>
      <c r="D28">
        <v>1</v>
      </c>
      <c r="E28">
        <v>3</v>
      </c>
      <c r="F28">
        <v>2</v>
      </c>
      <c r="H28">
        <v>26</v>
      </c>
      <c r="I28">
        <v>26</v>
      </c>
      <c r="J28">
        <v>26</v>
      </c>
      <c r="L28">
        <v>3</v>
      </c>
      <c r="M28">
        <v>1</v>
      </c>
      <c r="N28">
        <v>2</v>
      </c>
      <c r="P28" s="19">
        <v>1</v>
      </c>
      <c r="Q28" s="19">
        <v>0</v>
      </c>
      <c r="R28" s="19">
        <v>0</v>
      </c>
      <c r="S28">
        <f t="shared" si="1"/>
        <v>1</v>
      </c>
    </row>
    <row r="29" spans="3:19" x14ac:dyDescent="0.3">
      <c r="C29">
        <v>26</v>
      </c>
      <c r="D29">
        <v>1</v>
      </c>
      <c r="E29">
        <v>3</v>
      </c>
      <c r="F29">
        <v>2</v>
      </c>
      <c r="H29">
        <v>25</v>
      </c>
      <c r="I29">
        <v>25</v>
      </c>
      <c r="J29">
        <v>25</v>
      </c>
      <c r="L29">
        <v>3</v>
      </c>
      <c r="M29">
        <v>1</v>
      </c>
      <c r="N29">
        <v>2</v>
      </c>
      <c r="P29" s="19">
        <v>1</v>
      </c>
      <c r="Q29" s="19">
        <v>0</v>
      </c>
      <c r="R29" s="19">
        <v>0</v>
      </c>
      <c r="S29">
        <f t="shared" si="1"/>
        <v>1</v>
      </c>
    </row>
    <row r="30" spans="3:19" x14ac:dyDescent="0.3">
      <c r="C30">
        <v>27</v>
      </c>
      <c r="D30">
        <v>2</v>
      </c>
      <c r="E30">
        <v>1</v>
      </c>
      <c r="F30">
        <v>3</v>
      </c>
      <c r="H30">
        <v>24</v>
      </c>
      <c r="I30">
        <v>24</v>
      </c>
      <c r="J30">
        <v>24</v>
      </c>
      <c r="L30">
        <v>2</v>
      </c>
      <c r="M30">
        <v>3</v>
      </c>
      <c r="N30">
        <v>1</v>
      </c>
      <c r="P30" s="19">
        <v>0</v>
      </c>
      <c r="Q30" s="19">
        <v>1</v>
      </c>
      <c r="R30" s="19">
        <v>0</v>
      </c>
      <c r="S30">
        <f t="shared" si="1"/>
        <v>1</v>
      </c>
    </row>
    <row r="31" spans="3:19" x14ac:dyDescent="0.3">
      <c r="C31">
        <v>28</v>
      </c>
      <c r="D31">
        <v>3</v>
      </c>
      <c r="E31">
        <v>1</v>
      </c>
      <c r="F31">
        <v>2</v>
      </c>
      <c r="H31">
        <v>23</v>
      </c>
      <c r="I31">
        <v>23</v>
      </c>
      <c r="J31">
        <v>23</v>
      </c>
      <c r="L31">
        <v>1</v>
      </c>
      <c r="M31">
        <v>3</v>
      </c>
      <c r="N31">
        <v>2</v>
      </c>
      <c r="P31" s="19">
        <v>0</v>
      </c>
      <c r="Q31" s="19">
        <v>1</v>
      </c>
      <c r="R31" s="19">
        <v>0</v>
      </c>
      <c r="S31">
        <f t="shared" si="1"/>
        <v>1</v>
      </c>
    </row>
    <row r="32" spans="3:19" x14ac:dyDescent="0.3">
      <c r="C32">
        <v>29</v>
      </c>
      <c r="D32">
        <v>2</v>
      </c>
      <c r="E32">
        <v>1</v>
      </c>
      <c r="F32">
        <v>3</v>
      </c>
      <c r="H32">
        <v>22</v>
      </c>
      <c r="I32">
        <v>22</v>
      </c>
      <c r="J32">
        <v>22</v>
      </c>
      <c r="L32">
        <v>2</v>
      </c>
      <c r="M32">
        <v>3</v>
      </c>
      <c r="N32">
        <v>1</v>
      </c>
      <c r="P32" s="19">
        <v>0</v>
      </c>
      <c r="Q32" s="19">
        <v>1</v>
      </c>
      <c r="R32" s="19">
        <v>0</v>
      </c>
      <c r="S32">
        <f t="shared" si="1"/>
        <v>1</v>
      </c>
    </row>
    <row r="33" spans="3:19" x14ac:dyDescent="0.3">
      <c r="C33">
        <v>30</v>
      </c>
      <c r="D33">
        <v>2</v>
      </c>
      <c r="E33">
        <v>3</v>
      </c>
      <c r="F33">
        <v>1</v>
      </c>
      <c r="H33">
        <v>21</v>
      </c>
      <c r="I33">
        <v>21</v>
      </c>
      <c r="J33">
        <v>21</v>
      </c>
      <c r="L33">
        <v>2</v>
      </c>
      <c r="M33">
        <v>1</v>
      </c>
      <c r="N33">
        <v>3</v>
      </c>
      <c r="P33" s="19">
        <v>0</v>
      </c>
      <c r="Q33" s="19">
        <v>0</v>
      </c>
      <c r="R33" s="19">
        <v>1</v>
      </c>
      <c r="S33">
        <f t="shared" si="1"/>
        <v>1</v>
      </c>
    </row>
    <row r="34" spans="3:19" x14ac:dyDescent="0.3">
      <c r="C34">
        <v>31</v>
      </c>
      <c r="D34">
        <v>3</v>
      </c>
      <c r="E34">
        <v>2</v>
      </c>
      <c r="F34">
        <v>1</v>
      </c>
      <c r="H34">
        <v>20</v>
      </c>
      <c r="I34">
        <v>20</v>
      </c>
      <c r="J34">
        <v>20</v>
      </c>
      <c r="L34">
        <v>1</v>
      </c>
      <c r="M34">
        <v>2</v>
      </c>
      <c r="N34">
        <v>3</v>
      </c>
      <c r="P34" s="19">
        <v>0</v>
      </c>
      <c r="Q34" s="19">
        <v>0</v>
      </c>
      <c r="R34" s="19">
        <v>1</v>
      </c>
      <c r="S34">
        <f t="shared" si="1"/>
        <v>1</v>
      </c>
    </row>
    <row r="35" spans="3:19" x14ac:dyDescent="0.3">
      <c r="C35">
        <v>32</v>
      </c>
      <c r="D35">
        <v>2</v>
      </c>
      <c r="E35">
        <v>3</v>
      </c>
      <c r="F35">
        <v>1</v>
      </c>
      <c r="H35">
        <v>19</v>
      </c>
      <c r="I35">
        <v>19</v>
      </c>
      <c r="J35">
        <v>19</v>
      </c>
      <c r="L35">
        <v>2</v>
      </c>
      <c r="M35">
        <v>1</v>
      </c>
      <c r="N35">
        <v>3</v>
      </c>
      <c r="P35" s="19">
        <v>0</v>
      </c>
      <c r="Q35" s="19">
        <v>0</v>
      </c>
      <c r="R35" s="19">
        <v>1</v>
      </c>
      <c r="S35">
        <f t="shared" si="1"/>
        <v>1</v>
      </c>
    </row>
    <row r="36" spans="3:19" x14ac:dyDescent="0.3">
      <c r="C36">
        <v>33</v>
      </c>
      <c r="D36">
        <v>3</v>
      </c>
      <c r="E36">
        <v>2</v>
      </c>
      <c r="F36">
        <v>1</v>
      </c>
      <c r="H36">
        <v>18</v>
      </c>
      <c r="I36">
        <v>18</v>
      </c>
      <c r="J36">
        <v>18</v>
      </c>
      <c r="L36">
        <v>1</v>
      </c>
      <c r="M36">
        <v>2</v>
      </c>
      <c r="N36">
        <v>3</v>
      </c>
      <c r="P36" s="19">
        <v>0</v>
      </c>
      <c r="Q36" s="19">
        <v>1</v>
      </c>
      <c r="R36" s="19">
        <v>0</v>
      </c>
      <c r="S36">
        <f t="shared" si="1"/>
        <v>1</v>
      </c>
    </row>
    <row r="37" spans="3:19" x14ac:dyDescent="0.3">
      <c r="C37">
        <v>34</v>
      </c>
      <c r="D37">
        <v>1</v>
      </c>
      <c r="E37">
        <v>3</v>
      </c>
      <c r="F37">
        <v>2</v>
      </c>
      <c r="H37">
        <v>17</v>
      </c>
      <c r="I37">
        <v>17</v>
      </c>
      <c r="J37">
        <v>17</v>
      </c>
      <c r="L37">
        <v>3</v>
      </c>
      <c r="M37">
        <v>1</v>
      </c>
      <c r="N37">
        <v>2</v>
      </c>
      <c r="P37" s="19">
        <v>1</v>
      </c>
      <c r="Q37" s="19">
        <v>0</v>
      </c>
      <c r="R37" s="19">
        <v>0</v>
      </c>
      <c r="S37">
        <f t="shared" si="1"/>
        <v>1</v>
      </c>
    </row>
    <row r="38" spans="3:19" x14ac:dyDescent="0.3">
      <c r="C38">
        <v>35</v>
      </c>
      <c r="D38">
        <v>2</v>
      </c>
      <c r="E38">
        <v>3</v>
      </c>
      <c r="F38">
        <v>1</v>
      </c>
      <c r="H38">
        <v>16</v>
      </c>
      <c r="I38">
        <v>16</v>
      </c>
      <c r="J38">
        <v>16</v>
      </c>
      <c r="L38">
        <v>2</v>
      </c>
      <c r="M38">
        <v>1</v>
      </c>
      <c r="N38">
        <v>3</v>
      </c>
      <c r="P38" s="19">
        <v>0</v>
      </c>
      <c r="Q38" s="19">
        <v>0</v>
      </c>
      <c r="R38" s="19">
        <v>1</v>
      </c>
      <c r="S38">
        <f t="shared" si="1"/>
        <v>1</v>
      </c>
    </row>
    <row r="39" spans="3:19" x14ac:dyDescent="0.3">
      <c r="C39">
        <v>36</v>
      </c>
      <c r="D39">
        <v>3</v>
      </c>
      <c r="E39">
        <v>2</v>
      </c>
      <c r="F39">
        <v>1</v>
      </c>
      <c r="H39">
        <v>15</v>
      </c>
      <c r="I39">
        <v>15</v>
      </c>
      <c r="J39">
        <v>15</v>
      </c>
      <c r="L39">
        <v>1</v>
      </c>
      <c r="M39">
        <v>2</v>
      </c>
      <c r="N39">
        <v>3</v>
      </c>
      <c r="P39" s="19">
        <v>0</v>
      </c>
      <c r="Q39" s="19">
        <v>1</v>
      </c>
      <c r="R39" s="19">
        <v>0</v>
      </c>
      <c r="S39">
        <f t="shared" si="1"/>
        <v>1</v>
      </c>
    </row>
    <row r="40" spans="3:19" x14ac:dyDescent="0.3">
      <c r="C40">
        <v>37</v>
      </c>
      <c r="D40">
        <v>1</v>
      </c>
      <c r="E40">
        <v>2</v>
      </c>
      <c r="F40">
        <v>3</v>
      </c>
      <c r="H40">
        <v>14</v>
      </c>
      <c r="I40">
        <v>14</v>
      </c>
      <c r="J40">
        <v>14</v>
      </c>
      <c r="L40">
        <v>3</v>
      </c>
      <c r="M40">
        <v>2</v>
      </c>
      <c r="N40">
        <v>1</v>
      </c>
      <c r="P40" s="19">
        <v>0</v>
      </c>
      <c r="Q40" s="19">
        <v>1</v>
      </c>
      <c r="R40" s="19">
        <v>0</v>
      </c>
      <c r="S40">
        <f t="shared" si="1"/>
        <v>1</v>
      </c>
    </row>
    <row r="41" spans="3:19" x14ac:dyDescent="0.3">
      <c r="C41">
        <v>38</v>
      </c>
      <c r="D41">
        <v>3</v>
      </c>
      <c r="E41">
        <v>1</v>
      </c>
      <c r="F41">
        <v>2</v>
      </c>
      <c r="H41">
        <v>13</v>
      </c>
      <c r="I41">
        <v>13</v>
      </c>
      <c r="J41">
        <v>13</v>
      </c>
      <c r="L41">
        <v>1</v>
      </c>
      <c r="M41">
        <v>3</v>
      </c>
      <c r="N41">
        <v>2</v>
      </c>
      <c r="P41" s="19">
        <v>0</v>
      </c>
      <c r="Q41" s="19">
        <v>1</v>
      </c>
      <c r="R41" s="19">
        <v>0</v>
      </c>
      <c r="S41">
        <f t="shared" si="1"/>
        <v>1</v>
      </c>
    </row>
    <row r="42" spans="3:19" x14ac:dyDescent="0.3">
      <c r="C42">
        <v>39</v>
      </c>
      <c r="D42">
        <v>1</v>
      </c>
      <c r="E42">
        <v>2</v>
      </c>
      <c r="F42">
        <v>3</v>
      </c>
      <c r="H42">
        <v>12</v>
      </c>
      <c r="I42">
        <v>12</v>
      </c>
      <c r="J42">
        <v>12</v>
      </c>
      <c r="L42">
        <v>3</v>
      </c>
      <c r="M42">
        <v>2</v>
      </c>
      <c r="N42">
        <v>1</v>
      </c>
      <c r="P42" s="19">
        <v>0</v>
      </c>
      <c r="Q42" s="19">
        <v>1</v>
      </c>
      <c r="R42" s="19">
        <v>0</v>
      </c>
      <c r="S42">
        <f t="shared" si="1"/>
        <v>1</v>
      </c>
    </row>
    <row r="43" spans="3:19" x14ac:dyDescent="0.3">
      <c r="C43">
        <v>40</v>
      </c>
      <c r="D43">
        <v>1</v>
      </c>
      <c r="E43">
        <v>3</v>
      </c>
      <c r="F43">
        <v>3</v>
      </c>
      <c r="H43">
        <v>11</v>
      </c>
      <c r="I43">
        <v>11</v>
      </c>
      <c r="J43">
        <v>11</v>
      </c>
      <c r="L43">
        <v>3</v>
      </c>
      <c r="M43">
        <v>1</v>
      </c>
      <c r="N43">
        <v>1</v>
      </c>
      <c r="P43" s="19">
        <v>0</v>
      </c>
      <c r="Q43" s="19">
        <v>1</v>
      </c>
      <c r="R43" s="19">
        <v>0</v>
      </c>
      <c r="S43">
        <f t="shared" si="1"/>
        <v>1</v>
      </c>
    </row>
    <row r="44" spans="3:19" x14ac:dyDescent="0.3">
      <c r="C44">
        <v>41</v>
      </c>
      <c r="D44">
        <v>1</v>
      </c>
      <c r="E44">
        <v>2</v>
      </c>
      <c r="F44">
        <v>3</v>
      </c>
      <c r="H44">
        <v>10</v>
      </c>
      <c r="I44">
        <v>10</v>
      </c>
      <c r="J44">
        <v>10</v>
      </c>
      <c r="L44">
        <v>3</v>
      </c>
      <c r="M44">
        <v>2</v>
      </c>
      <c r="N44">
        <v>1</v>
      </c>
      <c r="P44" s="19">
        <v>0</v>
      </c>
      <c r="Q44" s="19">
        <v>1</v>
      </c>
      <c r="R44" s="19">
        <v>0</v>
      </c>
      <c r="S44">
        <f t="shared" si="1"/>
        <v>1</v>
      </c>
    </row>
    <row r="45" spans="3:19" x14ac:dyDescent="0.3">
      <c r="C45">
        <v>42</v>
      </c>
      <c r="D45">
        <v>2</v>
      </c>
      <c r="E45">
        <v>3</v>
      </c>
      <c r="F45">
        <v>1</v>
      </c>
      <c r="H45">
        <v>9</v>
      </c>
      <c r="I45">
        <v>9</v>
      </c>
      <c r="J45">
        <v>9</v>
      </c>
      <c r="L45">
        <v>2</v>
      </c>
      <c r="M45">
        <v>1</v>
      </c>
      <c r="N45">
        <v>3</v>
      </c>
      <c r="P45" s="19">
        <v>0</v>
      </c>
      <c r="Q45" s="19">
        <v>1</v>
      </c>
      <c r="R45" s="19">
        <v>0</v>
      </c>
      <c r="S45">
        <f t="shared" si="1"/>
        <v>1</v>
      </c>
    </row>
    <row r="46" spans="3:19" x14ac:dyDescent="0.3">
      <c r="C46">
        <v>43</v>
      </c>
      <c r="D46">
        <v>2</v>
      </c>
      <c r="E46">
        <v>1</v>
      </c>
      <c r="F46">
        <v>3</v>
      </c>
      <c r="H46">
        <v>8</v>
      </c>
      <c r="I46">
        <v>8</v>
      </c>
      <c r="J46">
        <v>8</v>
      </c>
      <c r="L46">
        <v>2</v>
      </c>
      <c r="M46">
        <v>3</v>
      </c>
      <c r="N46">
        <v>1</v>
      </c>
      <c r="P46" s="19">
        <v>0</v>
      </c>
      <c r="Q46" s="19">
        <v>1</v>
      </c>
      <c r="R46" s="19">
        <v>0</v>
      </c>
      <c r="S46">
        <f t="shared" si="1"/>
        <v>1</v>
      </c>
    </row>
    <row r="47" spans="3:19" x14ac:dyDescent="0.3">
      <c r="C47">
        <v>44</v>
      </c>
      <c r="D47">
        <v>1</v>
      </c>
      <c r="E47">
        <v>2</v>
      </c>
      <c r="F47">
        <v>3</v>
      </c>
      <c r="H47">
        <v>7</v>
      </c>
      <c r="I47">
        <v>7</v>
      </c>
      <c r="J47">
        <v>7</v>
      </c>
      <c r="L47">
        <v>3</v>
      </c>
      <c r="M47">
        <v>2</v>
      </c>
      <c r="N47">
        <v>1</v>
      </c>
      <c r="P47" s="19">
        <v>0</v>
      </c>
      <c r="Q47" s="19">
        <v>1</v>
      </c>
      <c r="R47" s="19">
        <v>0</v>
      </c>
      <c r="S47">
        <f t="shared" si="1"/>
        <v>1</v>
      </c>
    </row>
    <row r="48" spans="3:19" x14ac:dyDescent="0.3">
      <c r="C48">
        <v>45</v>
      </c>
      <c r="D48">
        <v>3</v>
      </c>
      <c r="E48">
        <v>2</v>
      </c>
      <c r="F48">
        <v>1</v>
      </c>
      <c r="H48">
        <v>6</v>
      </c>
      <c r="I48">
        <v>6</v>
      </c>
      <c r="J48">
        <v>6</v>
      </c>
      <c r="L48">
        <v>1</v>
      </c>
      <c r="M48">
        <v>2</v>
      </c>
      <c r="N48">
        <v>3</v>
      </c>
      <c r="P48" s="19">
        <v>0</v>
      </c>
      <c r="Q48" s="19">
        <v>1</v>
      </c>
      <c r="R48" s="19">
        <v>0</v>
      </c>
      <c r="S48">
        <f t="shared" si="1"/>
        <v>1</v>
      </c>
    </row>
    <row r="49" spans="3:19" x14ac:dyDescent="0.3">
      <c r="C49">
        <v>46</v>
      </c>
      <c r="D49">
        <v>1</v>
      </c>
      <c r="E49">
        <v>3</v>
      </c>
      <c r="F49">
        <v>2</v>
      </c>
      <c r="H49">
        <v>5</v>
      </c>
      <c r="I49">
        <v>5</v>
      </c>
      <c r="J49">
        <v>5</v>
      </c>
      <c r="L49">
        <v>3</v>
      </c>
      <c r="M49">
        <v>1</v>
      </c>
      <c r="N49">
        <v>2</v>
      </c>
      <c r="P49" s="19">
        <v>0</v>
      </c>
      <c r="Q49" s="19">
        <v>1</v>
      </c>
      <c r="R49" s="19">
        <v>0</v>
      </c>
      <c r="S49">
        <f t="shared" si="1"/>
        <v>1</v>
      </c>
    </row>
    <row r="50" spans="3:19" x14ac:dyDescent="0.3">
      <c r="C50">
        <v>47</v>
      </c>
      <c r="D50">
        <v>1</v>
      </c>
      <c r="E50">
        <v>2</v>
      </c>
      <c r="F50">
        <v>3</v>
      </c>
      <c r="H50">
        <v>4</v>
      </c>
      <c r="I50">
        <v>4</v>
      </c>
      <c r="J50">
        <v>4</v>
      </c>
      <c r="L50">
        <v>3</v>
      </c>
      <c r="M50">
        <v>2</v>
      </c>
      <c r="N50">
        <v>1</v>
      </c>
      <c r="P50" s="19">
        <v>0</v>
      </c>
      <c r="Q50" s="19">
        <v>1</v>
      </c>
      <c r="R50" s="19">
        <v>0</v>
      </c>
      <c r="S50">
        <f t="shared" si="1"/>
        <v>1</v>
      </c>
    </row>
    <row r="51" spans="3:19" x14ac:dyDescent="0.3">
      <c r="C51">
        <v>48</v>
      </c>
      <c r="D51">
        <v>1</v>
      </c>
      <c r="E51">
        <v>2</v>
      </c>
      <c r="F51">
        <v>3</v>
      </c>
      <c r="H51">
        <v>3</v>
      </c>
      <c r="I51">
        <v>3</v>
      </c>
      <c r="J51">
        <v>3</v>
      </c>
      <c r="L51">
        <v>3</v>
      </c>
      <c r="M51">
        <v>2</v>
      </c>
      <c r="N51">
        <v>1</v>
      </c>
      <c r="P51" s="19">
        <v>0</v>
      </c>
      <c r="Q51" s="19">
        <v>1</v>
      </c>
      <c r="R51" s="19">
        <v>0</v>
      </c>
      <c r="S51">
        <f t="shared" si="1"/>
        <v>1</v>
      </c>
    </row>
    <row r="52" spans="3:19" x14ac:dyDescent="0.3">
      <c r="C52">
        <v>49</v>
      </c>
      <c r="D52">
        <v>2</v>
      </c>
      <c r="E52">
        <v>1</v>
      </c>
      <c r="F52">
        <v>3</v>
      </c>
      <c r="H52">
        <v>2</v>
      </c>
      <c r="I52">
        <v>2</v>
      </c>
      <c r="J52">
        <v>2</v>
      </c>
      <c r="L52">
        <v>2</v>
      </c>
      <c r="M52">
        <v>3</v>
      </c>
      <c r="N52">
        <v>1</v>
      </c>
      <c r="P52" s="19">
        <v>0</v>
      </c>
      <c r="Q52" s="19">
        <v>1</v>
      </c>
      <c r="R52" s="19">
        <v>0</v>
      </c>
      <c r="S52">
        <f t="shared" si="1"/>
        <v>1</v>
      </c>
    </row>
    <row r="53" spans="3:19" x14ac:dyDescent="0.3">
      <c r="C53">
        <v>50</v>
      </c>
      <c r="D53">
        <v>3</v>
      </c>
      <c r="E53">
        <v>1</v>
      </c>
      <c r="F53">
        <v>2</v>
      </c>
      <c r="H53">
        <v>1</v>
      </c>
      <c r="I53">
        <v>1</v>
      </c>
      <c r="J53">
        <v>1</v>
      </c>
      <c r="L53">
        <v>1</v>
      </c>
      <c r="M53">
        <v>3</v>
      </c>
      <c r="N53">
        <v>2</v>
      </c>
      <c r="P53" s="19">
        <v>0</v>
      </c>
      <c r="Q53" s="19">
        <v>1</v>
      </c>
      <c r="R53" s="19">
        <v>0</v>
      </c>
      <c r="S53">
        <f t="shared" si="1"/>
        <v>1</v>
      </c>
    </row>
  </sheetData>
  <mergeCells count="1">
    <mergeCell ref="C1:F1"/>
  </mergeCells>
  <conditionalFormatting sqref="L4:N28">
    <cfRule type="cellIs" dxfId="5" priority="6" operator="equal">
      <formula>3</formula>
    </cfRule>
  </conditionalFormatting>
  <conditionalFormatting sqref="P4:R28">
    <cfRule type="cellIs" dxfId="4" priority="5" operator="equal">
      <formula>1</formula>
    </cfRule>
  </conditionalFormatting>
  <conditionalFormatting sqref="L36:N53">
    <cfRule type="cellIs" dxfId="3" priority="4" operator="equal">
      <formula>3</formula>
    </cfRule>
  </conditionalFormatting>
  <conditionalFormatting sqref="P36:R53">
    <cfRule type="cellIs" dxfId="2" priority="3" operator="equal">
      <formula>1</formula>
    </cfRule>
  </conditionalFormatting>
  <conditionalFormatting sqref="L29:N35">
    <cfRule type="cellIs" dxfId="1" priority="2" operator="equal">
      <formula>3</formula>
    </cfRule>
  </conditionalFormatting>
  <conditionalFormatting sqref="P29:R35">
    <cfRule type="cellIs" dxfId="0" priority="1" operator="equal">
      <formula>1</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7972F-0F7F-4FA1-A8EF-67C77AED33A2}">
  <dimension ref="K3:Q35"/>
  <sheetViews>
    <sheetView workbookViewId="0">
      <selection activeCell="J17" sqref="J17"/>
    </sheetView>
  </sheetViews>
  <sheetFormatPr defaultRowHeight="14.4" x14ac:dyDescent="0.3"/>
  <cols>
    <col min="13" max="13" width="11.88671875" customWidth="1"/>
  </cols>
  <sheetData>
    <row r="3" spans="11:17" x14ac:dyDescent="0.3">
      <c r="K3" t="s">
        <v>360</v>
      </c>
    </row>
    <row r="4" spans="11:17" x14ac:dyDescent="0.3">
      <c r="M4" t="s">
        <v>276</v>
      </c>
      <c r="N4" t="s">
        <v>277</v>
      </c>
      <c r="O4" t="s">
        <v>441</v>
      </c>
      <c r="P4" t="s">
        <v>442</v>
      </c>
      <c r="Q4" t="s">
        <v>443</v>
      </c>
    </row>
    <row r="5" spans="11:17" x14ac:dyDescent="0.3">
      <c r="L5" t="s">
        <v>276</v>
      </c>
      <c r="M5" s="20"/>
      <c r="N5" s="20">
        <v>200</v>
      </c>
      <c r="O5" s="20">
        <v>400</v>
      </c>
      <c r="P5" s="20">
        <v>900</v>
      </c>
      <c r="Q5" s="20"/>
    </row>
    <row r="6" spans="11:17" x14ac:dyDescent="0.3">
      <c r="L6" t="s">
        <v>277</v>
      </c>
      <c r="M6" s="20"/>
      <c r="N6" s="20"/>
      <c r="O6" s="20">
        <v>300</v>
      </c>
      <c r="P6" s="20"/>
      <c r="Q6" s="20"/>
    </row>
    <row r="7" spans="11:17" x14ac:dyDescent="0.3">
      <c r="L7" t="s">
        <v>441</v>
      </c>
      <c r="M7" s="20"/>
      <c r="N7" s="20"/>
      <c r="O7" s="20"/>
      <c r="P7" s="20"/>
      <c r="Q7" s="20">
        <v>100</v>
      </c>
    </row>
    <row r="8" spans="11:17" x14ac:dyDescent="0.3">
      <c r="L8" t="s">
        <v>442</v>
      </c>
      <c r="M8" s="20"/>
      <c r="N8" s="20"/>
      <c r="O8" s="20"/>
      <c r="P8" s="20"/>
      <c r="Q8" s="20">
        <v>300</v>
      </c>
    </row>
    <row r="9" spans="11:17" x14ac:dyDescent="0.3">
      <c r="L9" t="s">
        <v>443</v>
      </c>
      <c r="M9" s="20"/>
      <c r="N9" s="20"/>
      <c r="O9" s="20"/>
      <c r="P9" s="20">
        <v>200</v>
      </c>
      <c r="Q9" s="20"/>
    </row>
    <row r="12" spans="11:17" x14ac:dyDescent="0.3">
      <c r="K12" t="s">
        <v>444</v>
      </c>
    </row>
    <row r="14" spans="11:17" x14ac:dyDescent="0.3">
      <c r="M14" t="s">
        <v>276</v>
      </c>
      <c r="N14" t="s">
        <v>277</v>
      </c>
      <c r="O14" t="s">
        <v>441</v>
      </c>
      <c r="P14" t="s">
        <v>442</v>
      </c>
      <c r="Q14" t="s">
        <v>443</v>
      </c>
    </row>
    <row r="15" spans="11:17" x14ac:dyDescent="0.3">
      <c r="L15" t="s">
        <v>276</v>
      </c>
      <c r="M15" s="20">
        <v>0</v>
      </c>
      <c r="N15" s="20">
        <v>0</v>
      </c>
      <c r="O15" s="20">
        <v>40.000000000000227</v>
      </c>
      <c r="P15" s="20">
        <v>9.9999999999999947</v>
      </c>
      <c r="Q15" s="20">
        <v>0</v>
      </c>
    </row>
    <row r="16" spans="11:17" x14ac:dyDescent="0.3">
      <c r="L16" t="s">
        <v>277</v>
      </c>
      <c r="M16" s="20">
        <v>0</v>
      </c>
      <c r="N16" s="20">
        <v>0</v>
      </c>
      <c r="O16" s="20">
        <v>39.999999999999758</v>
      </c>
      <c r="P16" s="20">
        <v>0</v>
      </c>
      <c r="Q16" s="20">
        <v>0</v>
      </c>
    </row>
    <row r="17" spans="12:17" x14ac:dyDescent="0.3">
      <c r="L17" t="s">
        <v>441</v>
      </c>
      <c r="M17" s="20">
        <v>0</v>
      </c>
      <c r="N17" s="20">
        <v>0</v>
      </c>
      <c r="O17" s="20">
        <v>0</v>
      </c>
      <c r="P17" s="20">
        <v>0</v>
      </c>
      <c r="Q17" s="20">
        <v>80</v>
      </c>
    </row>
    <row r="18" spans="12:17" x14ac:dyDescent="0.3">
      <c r="L18" t="s">
        <v>442</v>
      </c>
      <c r="M18" s="20">
        <v>0</v>
      </c>
      <c r="N18" s="20">
        <v>0</v>
      </c>
      <c r="O18" s="20">
        <v>0</v>
      </c>
      <c r="P18" s="20">
        <v>0</v>
      </c>
      <c r="Q18" s="20">
        <v>0</v>
      </c>
    </row>
    <row r="19" spans="12:17" x14ac:dyDescent="0.3">
      <c r="L19" t="s">
        <v>443</v>
      </c>
      <c r="M19" s="20">
        <v>0</v>
      </c>
      <c r="N19" s="20">
        <v>0</v>
      </c>
      <c r="O19" s="20">
        <v>0</v>
      </c>
      <c r="P19" s="20">
        <v>19.999999999999993</v>
      </c>
      <c r="Q19" s="20">
        <v>0</v>
      </c>
    </row>
    <row r="23" spans="12:17" x14ac:dyDescent="0.3">
      <c r="L23" t="s">
        <v>56</v>
      </c>
      <c r="N23">
        <f>SUMPRODUCT(M5:Q9,M15:Q19)</f>
        <v>49000.000000000015</v>
      </c>
    </row>
    <row r="25" spans="12:17" x14ac:dyDescent="0.3">
      <c r="L25" t="s">
        <v>155</v>
      </c>
    </row>
    <row r="26" spans="12:17" x14ac:dyDescent="0.3">
      <c r="L26" t="s">
        <v>445</v>
      </c>
    </row>
    <row r="27" spans="12:17" x14ac:dyDescent="0.3">
      <c r="M27" t="s">
        <v>446</v>
      </c>
      <c r="N27">
        <f>N15</f>
        <v>0</v>
      </c>
      <c r="O27" t="s">
        <v>45</v>
      </c>
      <c r="P27">
        <v>10</v>
      </c>
    </row>
    <row r="28" spans="12:17" x14ac:dyDescent="0.3">
      <c r="M28" t="s">
        <v>447</v>
      </c>
      <c r="N28">
        <f>Q17</f>
        <v>80</v>
      </c>
      <c r="O28" t="s">
        <v>45</v>
      </c>
      <c r="P28">
        <v>80</v>
      </c>
    </row>
    <row r="29" spans="12:17" x14ac:dyDescent="0.3">
      <c r="L29" t="s">
        <v>448</v>
      </c>
    </row>
    <row r="30" spans="12:17" x14ac:dyDescent="0.3">
      <c r="M30" t="s">
        <v>449</v>
      </c>
      <c r="N30">
        <f>P15++N15+O15</f>
        <v>50.00000000000022</v>
      </c>
      <c r="O30" t="s">
        <v>269</v>
      </c>
      <c r="P30">
        <v>50</v>
      </c>
    </row>
    <row r="31" spans="12:17" x14ac:dyDescent="0.3">
      <c r="M31" t="s">
        <v>450</v>
      </c>
      <c r="N31">
        <f>O16-N15</f>
        <v>39.999999999999758</v>
      </c>
      <c r="O31" t="s">
        <v>269</v>
      </c>
      <c r="P31">
        <v>40</v>
      </c>
    </row>
    <row r="32" spans="12:17" x14ac:dyDescent="0.3">
      <c r="L32" t="s">
        <v>451</v>
      </c>
    </row>
    <row r="33" spans="13:16" x14ac:dyDescent="0.3">
      <c r="M33" t="s">
        <v>452</v>
      </c>
      <c r="N33">
        <f>O15+O16+N15</f>
        <v>79.999999999999986</v>
      </c>
      <c r="O33" t="s">
        <v>269</v>
      </c>
      <c r="P33">
        <f>Q17</f>
        <v>80</v>
      </c>
    </row>
    <row r="34" spans="13:16" x14ac:dyDescent="0.3">
      <c r="M34" t="s">
        <v>453</v>
      </c>
      <c r="N34">
        <f>P15+P19</f>
        <v>29.999999999999986</v>
      </c>
      <c r="O34" t="s">
        <v>269</v>
      </c>
      <c r="P34">
        <v>30</v>
      </c>
    </row>
    <row r="35" spans="13:16" x14ac:dyDescent="0.3">
      <c r="M35" t="s">
        <v>454</v>
      </c>
      <c r="N35">
        <f>Q17-P19</f>
        <v>60.000000000000007</v>
      </c>
      <c r="O35" t="s">
        <v>269</v>
      </c>
      <c r="P35">
        <v>60</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5D526-6630-404C-926C-864E71FCECB2}">
  <dimension ref="A1:G111"/>
  <sheetViews>
    <sheetView topLeftCell="A9" workbookViewId="0">
      <selection activeCell="D26" sqref="D26"/>
    </sheetView>
  </sheetViews>
  <sheetFormatPr defaultRowHeight="14.4" x14ac:dyDescent="0.3"/>
  <cols>
    <col min="3" max="3" width="46.44140625" customWidth="1"/>
  </cols>
  <sheetData>
    <row r="1" spans="1:7" x14ac:dyDescent="0.3">
      <c r="A1" t="s">
        <v>72</v>
      </c>
    </row>
    <row r="3" spans="1:7" ht="23.4" x14ac:dyDescent="0.3">
      <c r="B3">
        <v>1</v>
      </c>
      <c r="C3" t="s">
        <v>73</v>
      </c>
      <c r="D3" t="s">
        <v>124</v>
      </c>
      <c r="G3" s="13"/>
    </row>
    <row r="4" spans="1:7" x14ac:dyDescent="0.3">
      <c r="B4">
        <v>2</v>
      </c>
      <c r="C4" t="s">
        <v>125</v>
      </c>
      <c r="D4" t="s">
        <v>124</v>
      </c>
      <c r="G4" s="14"/>
    </row>
    <row r="5" spans="1:7" x14ac:dyDescent="0.3">
      <c r="B5">
        <v>3</v>
      </c>
      <c r="C5" t="s">
        <v>78</v>
      </c>
      <c r="D5" t="s">
        <v>124</v>
      </c>
      <c r="G5" s="15"/>
    </row>
    <row r="6" spans="1:7" x14ac:dyDescent="0.3">
      <c r="B6">
        <v>4</v>
      </c>
      <c r="C6" t="s">
        <v>74</v>
      </c>
      <c r="D6" t="s">
        <v>124</v>
      </c>
      <c r="G6" s="14"/>
    </row>
    <row r="7" spans="1:7" x14ac:dyDescent="0.3">
      <c r="B7">
        <v>5</v>
      </c>
      <c r="C7" t="s">
        <v>244</v>
      </c>
      <c r="D7" t="s">
        <v>124</v>
      </c>
      <c r="G7" s="14"/>
    </row>
    <row r="8" spans="1:7" x14ac:dyDescent="0.3">
      <c r="B8">
        <v>6</v>
      </c>
      <c r="C8" t="s">
        <v>245</v>
      </c>
      <c r="D8" t="s">
        <v>124</v>
      </c>
      <c r="G8" s="14"/>
    </row>
    <row r="9" spans="1:7" x14ac:dyDescent="0.3">
      <c r="B9">
        <v>7</v>
      </c>
      <c r="C9" t="s">
        <v>77</v>
      </c>
      <c r="D9" t="s">
        <v>124</v>
      </c>
      <c r="G9" s="14"/>
    </row>
    <row r="10" spans="1:7" x14ac:dyDescent="0.3">
      <c r="B10">
        <v>8</v>
      </c>
      <c r="C10" t="s">
        <v>210</v>
      </c>
      <c r="D10" t="s">
        <v>124</v>
      </c>
      <c r="G10" s="15"/>
    </row>
    <row r="11" spans="1:7" x14ac:dyDescent="0.3">
      <c r="B11">
        <v>9</v>
      </c>
      <c r="C11" t="s">
        <v>211</v>
      </c>
      <c r="D11" s="5" t="s">
        <v>124</v>
      </c>
      <c r="G11" s="14"/>
    </row>
    <row r="12" spans="1:7" x14ac:dyDescent="0.3">
      <c r="B12">
        <v>10</v>
      </c>
      <c r="C12" t="s">
        <v>84</v>
      </c>
      <c r="D12" s="5" t="s">
        <v>124</v>
      </c>
      <c r="G12" s="14"/>
    </row>
    <row r="13" spans="1:7" x14ac:dyDescent="0.3">
      <c r="B13">
        <v>11</v>
      </c>
      <c r="C13" t="s">
        <v>76</v>
      </c>
      <c r="D13" t="s">
        <v>124</v>
      </c>
      <c r="G13" s="14"/>
    </row>
    <row r="14" spans="1:7" x14ac:dyDescent="0.3">
      <c r="B14">
        <v>12</v>
      </c>
      <c r="C14" t="s">
        <v>246</v>
      </c>
      <c r="D14" t="s">
        <v>124</v>
      </c>
      <c r="G14" s="14"/>
    </row>
    <row r="15" spans="1:7" x14ac:dyDescent="0.3">
      <c r="B15">
        <v>13</v>
      </c>
      <c r="C15" t="s">
        <v>365</v>
      </c>
      <c r="D15" s="5" t="s">
        <v>124</v>
      </c>
      <c r="G15" s="14"/>
    </row>
    <row r="16" spans="1:7" x14ac:dyDescent="0.3">
      <c r="B16">
        <v>14</v>
      </c>
      <c r="C16" t="s">
        <v>214</v>
      </c>
      <c r="D16" s="5" t="s">
        <v>124</v>
      </c>
      <c r="G16" s="14"/>
    </row>
    <row r="17" spans="2:7" x14ac:dyDescent="0.3">
      <c r="B17">
        <v>15</v>
      </c>
      <c r="C17" t="s">
        <v>285</v>
      </c>
      <c r="D17" s="5" t="s">
        <v>124</v>
      </c>
      <c r="G17" s="14"/>
    </row>
    <row r="18" spans="2:7" x14ac:dyDescent="0.3">
      <c r="B18">
        <v>16</v>
      </c>
      <c r="C18" t="s">
        <v>75</v>
      </c>
      <c r="D18" s="5"/>
      <c r="G18" s="15"/>
    </row>
    <row r="19" spans="2:7" x14ac:dyDescent="0.3">
      <c r="B19">
        <v>17</v>
      </c>
      <c r="C19" t="s">
        <v>558</v>
      </c>
      <c r="D19" s="5" t="s">
        <v>124</v>
      </c>
      <c r="G19" s="15"/>
    </row>
    <row r="20" spans="2:7" x14ac:dyDescent="0.3">
      <c r="B20">
        <v>18</v>
      </c>
      <c r="C20" t="s">
        <v>79</v>
      </c>
      <c r="G20" s="14"/>
    </row>
    <row r="21" spans="2:7" x14ac:dyDescent="0.3">
      <c r="B21">
        <v>19</v>
      </c>
      <c r="C21" t="s">
        <v>80</v>
      </c>
      <c r="G21" s="14"/>
    </row>
    <row r="22" spans="2:7" x14ac:dyDescent="0.3">
      <c r="B22">
        <v>20</v>
      </c>
      <c r="C22" t="s">
        <v>559</v>
      </c>
      <c r="G22" s="15"/>
    </row>
    <row r="23" spans="2:7" x14ac:dyDescent="0.3">
      <c r="B23">
        <v>21</v>
      </c>
      <c r="C23" t="s">
        <v>83</v>
      </c>
    </row>
    <row r="24" spans="2:7" x14ac:dyDescent="0.3">
      <c r="B24">
        <v>22</v>
      </c>
      <c r="C24" t="s">
        <v>560</v>
      </c>
    </row>
    <row r="25" spans="2:7" x14ac:dyDescent="0.3">
      <c r="B25">
        <v>23</v>
      </c>
      <c r="C25" t="s">
        <v>82</v>
      </c>
    </row>
    <row r="26" spans="2:7" ht="23.4" x14ac:dyDescent="0.3">
      <c r="B26">
        <v>24</v>
      </c>
      <c r="C26" t="s">
        <v>561</v>
      </c>
      <c r="G26" s="13"/>
    </row>
    <row r="27" spans="2:7" x14ac:dyDescent="0.3">
      <c r="B27">
        <v>25</v>
      </c>
      <c r="C27" t="s">
        <v>81</v>
      </c>
      <c r="G27" s="14"/>
    </row>
    <row r="28" spans="2:7" x14ac:dyDescent="0.3">
      <c r="G28" s="15"/>
    </row>
    <row r="29" spans="2:7" x14ac:dyDescent="0.3">
      <c r="G29" s="14"/>
    </row>
    <row r="30" spans="2:7" x14ac:dyDescent="0.3">
      <c r="G30" s="14"/>
    </row>
    <row r="31" spans="2:7" x14ac:dyDescent="0.3">
      <c r="G31" s="15"/>
    </row>
    <row r="32" spans="2:7" x14ac:dyDescent="0.3">
      <c r="G32" s="14"/>
    </row>
    <row r="33" spans="7:7" x14ac:dyDescent="0.3">
      <c r="G33" s="15"/>
    </row>
    <row r="34" spans="7:7" x14ac:dyDescent="0.3">
      <c r="G34" s="14"/>
    </row>
    <row r="35" spans="7:7" x14ac:dyDescent="0.3">
      <c r="G35" s="14"/>
    </row>
    <row r="36" spans="7:7" x14ac:dyDescent="0.3">
      <c r="G36" s="15"/>
    </row>
    <row r="37" spans="7:7" x14ac:dyDescent="0.3">
      <c r="G37" s="14"/>
    </row>
    <row r="38" spans="7:7" x14ac:dyDescent="0.3">
      <c r="G38" s="14"/>
    </row>
    <row r="39" spans="7:7" x14ac:dyDescent="0.3">
      <c r="G39" s="15"/>
    </row>
    <row r="40" spans="7:7" x14ac:dyDescent="0.3">
      <c r="G40" s="14"/>
    </row>
    <row r="41" spans="7:7" x14ac:dyDescent="0.3">
      <c r="G41" s="14"/>
    </row>
    <row r="42" spans="7:7" x14ac:dyDescent="0.3">
      <c r="G42" s="16"/>
    </row>
    <row r="43" spans="7:7" x14ac:dyDescent="0.3">
      <c r="G43" s="17"/>
    </row>
    <row r="44" spans="7:7" x14ac:dyDescent="0.3">
      <c r="G44" s="14"/>
    </row>
    <row r="45" spans="7:7" x14ac:dyDescent="0.3">
      <c r="G45" s="15"/>
    </row>
    <row r="46" spans="7:7" x14ac:dyDescent="0.3">
      <c r="G46" s="14"/>
    </row>
    <row r="50" spans="7:7" ht="23.4" x14ac:dyDescent="0.3">
      <c r="G50" s="13"/>
    </row>
    <row r="51" spans="7:7" x14ac:dyDescent="0.3">
      <c r="G51" s="14"/>
    </row>
    <row r="52" spans="7:7" x14ac:dyDescent="0.3">
      <c r="G52" s="15"/>
    </row>
    <row r="53" spans="7:7" x14ac:dyDescent="0.3">
      <c r="G53" s="14"/>
    </row>
    <row r="54" spans="7:7" x14ac:dyDescent="0.3">
      <c r="G54" s="14"/>
    </row>
    <row r="55" spans="7:7" x14ac:dyDescent="0.3">
      <c r="G55" s="15"/>
    </row>
    <row r="56" spans="7:7" x14ac:dyDescent="0.3">
      <c r="G56" s="14"/>
    </row>
    <row r="57" spans="7:7" x14ac:dyDescent="0.3">
      <c r="G57" s="14"/>
    </row>
    <row r="58" spans="7:7" x14ac:dyDescent="0.3">
      <c r="G58" s="15"/>
    </row>
    <row r="59" spans="7:7" x14ac:dyDescent="0.3">
      <c r="G59" s="14"/>
    </row>
    <row r="60" spans="7:7" x14ac:dyDescent="0.3">
      <c r="G60" s="14"/>
    </row>
    <row r="61" spans="7:7" x14ac:dyDescent="0.3">
      <c r="G61" s="15"/>
    </row>
    <row r="62" spans="7:7" x14ac:dyDescent="0.3">
      <c r="G62" s="14"/>
    </row>
    <row r="66" spans="7:7" ht="23.4" x14ac:dyDescent="0.3">
      <c r="G66" s="13"/>
    </row>
    <row r="67" spans="7:7" x14ac:dyDescent="0.3">
      <c r="G67" s="14"/>
    </row>
    <row r="68" spans="7:7" x14ac:dyDescent="0.3">
      <c r="G68" s="15"/>
    </row>
    <row r="69" spans="7:7" x14ac:dyDescent="0.3">
      <c r="G69" s="14"/>
    </row>
    <row r="70" spans="7:7" x14ac:dyDescent="0.3">
      <c r="G70" s="15"/>
    </row>
    <row r="71" spans="7:7" x14ac:dyDescent="0.3">
      <c r="G71" s="14"/>
    </row>
    <row r="72" spans="7:7" x14ac:dyDescent="0.3">
      <c r="G72" s="15"/>
    </row>
    <row r="73" spans="7:7" x14ac:dyDescent="0.3">
      <c r="G73" s="14"/>
    </row>
    <row r="74" spans="7:7" x14ac:dyDescent="0.3">
      <c r="G74" s="15"/>
    </row>
    <row r="75" spans="7:7" x14ac:dyDescent="0.3">
      <c r="G75" s="14"/>
    </row>
    <row r="76" spans="7:7" x14ac:dyDescent="0.3">
      <c r="G76" s="15"/>
    </row>
    <row r="77" spans="7:7" x14ac:dyDescent="0.3">
      <c r="G77" s="14"/>
    </row>
    <row r="78" spans="7:7" x14ac:dyDescent="0.3">
      <c r="G78" s="15"/>
    </row>
    <row r="79" spans="7:7" x14ac:dyDescent="0.3">
      <c r="G79" s="14"/>
    </row>
    <row r="80" spans="7:7" x14ac:dyDescent="0.3">
      <c r="G80" s="14"/>
    </row>
    <row r="81" spans="7:7" x14ac:dyDescent="0.3">
      <c r="G81" s="15"/>
    </row>
    <row r="85" spans="7:7" ht="23.4" x14ac:dyDescent="0.3">
      <c r="G85" s="13"/>
    </row>
    <row r="86" spans="7:7" x14ac:dyDescent="0.3">
      <c r="G86" s="14"/>
    </row>
    <row r="87" spans="7:7" x14ac:dyDescent="0.3">
      <c r="G87" s="15"/>
    </row>
    <row r="88" spans="7:7" x14ac:dyDescent="0.3">
      <c r="G88" s="14"/>
    </row>
    <row r="89" spans="7:7" x14ac:dyDescent="0.3">
      <c r="G89" s="15"/>
    </row>
    <row r="93" spans="7:7" ht="23.4" x14ac:dyDescent="0.3">
      <c r="G93" s="13"/>
    </row>
    <row r="94" spans="7:7" x14ac:dyDescent="0.3">
      <c r="G94" s="14"/>
    </row>
    <row r="95" spans="7:7" x14ac:dyDescent="0.3">
      <c r="G95" s="15"/>
    </row>
    <row r="96" spans="7:7" x14ac:dyDescent="0.3">
      <c r="G96" s="14"/>
    </row>
    <row r="97" spans="7:7" x14ac:dyDescent="0.3">
      <c r="G97" s="14"/>
    </row>
    <row r="98" spans="7:7" x14ac:dyDescent="0.3">
      <c r="G98" s="15"/>
    </row>
    <row r="99" spans="7:7" x14ac:dyDescent="0.3">
      <c r="G99" s="14"/>
    </row>
    <row r="103" spans="7:7" ht="23.4" x14ac:dyDescent="0.3">
      <c r="G103" s="13"/>
    </row>
    <row r="104" spans="7:7" x14ac:dyDescent="0.3">
      <c r="G104" s="14"/>
    </row>
    <row r="105" spans="7:7" x14ac:dyDescent="0.3">
      <c r="G105" s="15"/>
    </row>
    <row r="106" spans="7:7" x14ac:dyDescent="0.3">
      <c r="G106" s="14"/>
    </row>
    <row r="107" spans="7:7" x14ac:dyDescent="0.3">
      <c r="G107" s="15"/>
    </row>
    <row r="108" spans="7:7" x14ac:dyDescent="0.3">
      <c r="G108" s="14"/>
    </row>
    <row r="109" spans="7:7" x14ac:dyDescent="0.3">
      <c r="G109" s="15"/>
    </row>
    <row r="110" spans="7:7" x14ac:dyDescent="0.3">
      <c r="G110" s="14"/>
    </row>
    <row r="111" spans="7:7" x14ac:dyDescent="0.3">
      <c r="G111" s="1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8C1E7-8122-4F91-89EF-5CA9173D3C01}">
  <dimension ref="B2:S55"/>
  <sheetViews>
    <sheetView zoomScale="120" zoomScaleNormal="120" workbookViewId="0">
      <selection activeCell="I21" sqref="I21"/>
    </sheetView>
  </sheetViews>
  <sheetFormatPr defaultRowHeight="14.4" x14ac:dyDescent="0.3"/>
  <cols>
    <col min="10" max="11" width="7.33203125" style="36" customWidth="1"/>
    <col min="12" max="12" width="7.33203125" style="37" customWidth="1"/>
    <col min="13" max="13" width="7.33203125" style="38" customWidth="1"/>
    <col min="14" max="16" width="7.33203125" customWidth="1"/>
  </cols>
  <sheetData>
    <row r="2" spans="2:7" x14ac:dyDescent="0.3">
      <c r="B2" s="79" t="s">
        <v>340</v>
      </c>
      <c r="C2" s="79"/>
      <c r="D2" s="79"/>
      <c r="E2" s="79"/>
      <c r="F2" s="79"/>
      <c r="G2" s="79"/>
    </row>
    <row r="3" spans="2:7" x14ac:dyDescent="0.3">
      <c r="B3" s="79"/>
      <c r="C3" s="79"/>
      <c r="D3" s="79"/>
      <c r="E3" s="79"/>
      <c r="F3" s="79"/>
      <c r="G3" s="79"/>
    </row>
    <row r="4" spans="2:7" x14ac:dyDescent="0.3">
      <c r="B4" s="79"/>
      <c r="C4" s="79"/>
      <c r="D4" s="79"/>
      <c r="E4" s="79"/>
      <c r="F4" s="79"/>
      <c r="G4" s="79"/>
    </row>
    <row r="5" spans="2:7" x14ac:dyDescent="0.3">
      <c r="B5" s="79"/>
      <c r="C5" s="79"/>
      <c r="D5" s="79"/>
      <c r="E5" s="79"/>
      <c r="F5" s="79"/>
      <c r="G5" s="79"/>
    </row>
    <row r="6" spans="2:7" x14ac:dyDescent="0.3">
      <c r="B6" s="79"/>
      <c r="C6" s="79"/>
      <c r="D6" s="79"/>
      <c r="E6" s="79"/>
      <c r="F6" s="79"/>
      <c r="G6" s="79"/>
    </row>
    <row r="7" spans="2:7" x14ac:dyDescent="0.3">
      <c r="B7" s="79"/>
      <c r="C7" s="79"/>
      <c r="D7" s="79"/>
      <c r="E7" s="79"/>
      <c r="F7" s="79"/>
      <c r="G7" s="79"/>
    </row>
    <row r="8" spans="2:7" x14ac:dyDescent="0.3">
      <c r="B8" s="79"/>
      <c r="C8" s="79"/>
      <c r="D8" s="79"/>
      <c r="E8" s="79"/>
      <c r="F8" s="79"/>
      <c r="G8" s="79"/>
    </row>
    <row r="9" spans="2:7" x14ac:dyDescent="0.3">
      <c r="B9" s="79"/>
      <c r="C9" s="79"/>
      <c r="D9" s="79"/>
      <c r="E9" s="79"/>
      <c r="F9" s="79"/>
      <c r="G9" s="79"/>
    </row>
    <row r="10" spans="2:7" x14ac:dyDescent="0.3">
      <c r="B10" s="79"/>
      <c r="C10" s="79"/>
      <c r="D10" s="79"/>
      <c r="E10" s="79"/>
      <c r="F10" s="79"/>
      <c r="G10" s="79"/>
    </row>
    <row r="11" spans="2:7" x14ac:dyDescent="0.3">
      <c r="B11" s="79"/>
      <c r="C11" s="79"/>
      <c r="D11" s="79"/>
      <c r="E11" s="79"/>
      <c r="F11" s="79"/>
      <c r="G11" s="79"/>
    </row>
    <row r="12" spans="2:7" x14ac:dyDescent="0.3">
      <c r="B12" s="79"/>
      <c r="C12" s="79"/>
      <c r="D12" s="79"/>
      <c r="E12" s="79"/>
      <c r="F12" s="79"/>
      <c r="G12" s="79"/>
    </row>
    <row r="13" spans="2:7" x14ac:dyDescent="0.3">
      <c r="B13" s="79"/>
      <c r="C13" s="79"/>
      <c r="D13" s="79"/>
      <c r="E13" s="79"/>
      <c r="F13" s="79"/>
      <c r="G13" s="79"/>
    </row>
    <row r="14" spans="2:7" x14ac:dyDescent="0.3">
      <c r="B14" s="79"/>
      <c r="C14" s="79"/>
      <c r="D14" s="79"/>
      <c r="E14" s="79"/>
      <c r="F14" s="79"/>
      <c r="G14" s="79"/>
    </row>
    <row r="15" spans="2:7" x14ac:dyDescent="0.3">
      <c r="B15" s="79"/>
      <c r="C15" s="79"/>
      <c r="D15" s="79"/>
      <c r="E15" s="79"/>
      <c r="F15" s="79"/>
      <c r="G15" s="79"/>
    </row>
    <row r="16" spans="2:7" x14ac:dyDescent="0.3">
      <c r="B16" s="79"/>
      <c r="C16" s="79"/>
      <c r="D16" s="79"/>
      <c r="E16" s="79"/>
      <c r="F16" s="79"/>
      <c r="G16" s="79"/>
    </row>
    <row r="17" spans="2:19" x14ac:dyDescent="0.3">
      <c r="B17" s="79"/>
      <c r="C17" s="79"/>
      <c r="D17" s="79"/>
      <c r="E17" s="79"/>
      <c r="F17" s="79"/>
      <c r="G17" s="79"/>
    </row>
    <row r="18" spans="2:19" x14ac:dyDescent="0.3">
      <c r="B18" s="79"/>
      <c r="C18" s="79"/>
      <c r="D18" s="79"/>
      <c r="E18" s="79"/>
      <c r="F18" s="79"/>
      <c r="G18" s="79"/>
    </row>
    <row r="19" spans="2:19" x14ac:dyDescent="0.3">
      <c r="B19" s="79"/>
      <c r="C19" s="79"/>
      <c r="D19" s="79"/>
      <c r="E19" s="79"/>
      <c r="F19" s="79"/>
      <c r="G19" s="79"/>
    </row>
    <row r="20" spans="2:19" x14ac:dyDescent="0.3">
      <c r="B20" s="79"/>
      <c r="C20" s="79"/>
      <c r="D20" s="79"/>
      <c r="E20" s="79"/>
      <c r="F20" s="79"/>
      <c r="G20" s="79"/>
    </row>
    <row r="21" spans="2:19" ht="20.399999999999999" customHeight="1" x14ac:dyDescent="0.3">
      <c r="B21" s="79"/>
      <c r="C21" s="79"/>
      <c r="D21" s="79"/>
      <c r="E21" s="79"/>
      <c r="F21" s="79"/>
      <c r="G21" s="79"/>
      <c r="K21" s="82" t="s">
        <v>327</v>
      </c>
      <c r="L21" s="82"/>
      <c r="M21" s="82"/>
      <c r="P21" s="78" t="s">
        <v>327</v>
      </c>
      <c r="Q21" s="78"/>
      <c r="R21" s="78"/>
      <c r="S21" s="78"/>
    </row>
    <row r="22" spans="2:19" x14ac:dyDescent="0.3">
      <c r="L22" s="37" t="s">
        <v>52</v>
      </c>
      <c r="M22" s="38" t="s">
        <v>54</v>
      </c>
      <c r="Q22" t="s">
        <v>278</v>
      </c>
      <c r="R22" t="s">
        <v>280</v>
      </c>
      <c r="S22" t="s">
        <v>339</v>
      </c>
    </row>
    <row r="23" spans="2:19" x14ac:dyDescent="0.3">
      <c r="K23" s="36" t="s">
        <v>127</v>
      </c>
      <c r="L23" s="37">
        <v>4</v>
      </c>
      <c r="M23" s="38">
        <v>6</v>
      </c>
      <c r="P23" t="s">
        <v>52</v>
      </c>
      <c r="Q23">
        <v>3</v>
      </c>
      <c r="R23">
        <v>4</v>
      </c>
      <c r="S23">
        <v>6</v>
      </c>
    </row>
    <row r="24" spans="2:19" x14ac:dyDescent="0.3">
      <c r="K24" s="36" t="s">
        <v>128</v>
      </c>
      <c r="L24" s="37">
        <v>5</v>
      </c>
      <c r="M24" s="38">
        <v>3</v>
      </c>
      <c r="P24" t="s">
        <v>54</v>
      </c>
      <c r="Q24">
        <v>5</v>
      </c>
      <c r="R24">
        <v>2</v>
      </c>
      <c r="S24">
        <v>4</v>
      </c>
    </row>
    <row r="28" spans="2:19" x14ac:dyDescent="0.3">
      <c r="K28" s="78" t="s">
        <v>349</v>
      </c>
      <c r="L28" s="78"/>
      <c r="M28" s="78"/>
      <c r="Q28" s="78" t="s">
        <v>349</v>
      </c>
      <c r="R28" s="78"/>
      <c r="S28" s="78"/>
    </row>
    <row r="29" spans="2:19" x14ac:dyDescent="0.3">
      <c r="L29" s="36"/>
      <c r="M29" s="36"/>
      <c r="Q29" s="36">
        <v>70</v>
      </c>
      <c r="R29" s="36">
        <v>90</v>
      </c>
      <c r="S29" s="36">
        <v>40</v>
      </c>
    </row>
    <row r="30" spans="2:19" x14ac:dyDescent="0.3">
      <c r="L30" s="37" t="s">
        <v>52</v>
      </c>
      <c r="M30" s="38" t="s">
        <v>54</v>
      </c>
      <c r="Q30" t="s">
        <v>278</v>
      </c>
      <c r="R30" t="s">
        <v>280</v>
      </c>
      <c r="S30" t="s">
        <v>339</v>
      </c>
    </row>
    <row r="31" spans="2:19" x14ac:dyDescent="0.3">
      <c r="J31" s="36">
        <v>120</v>
      </c>
      <c r="K31" s="36" t="s">
        <v>127</v>
      </c>
      <c r="L31" s="37">
        <v>70</v>
      </c>
      <c r="M31" s="38">
        <v>50</v>
      </c>
      <c r="O31">
        <f>SUM(L31:L32)</f>
        <v>70</v>
      </c>
      <c r="P31" t="s">
        <v>52</v>
      </c>
      <c r="Q31">
        <v>70</v>
      </c>
      <c r="R31">
        <v>0</v>
      </c>
      <c r="S31">
        <v>0</v>
      </c>
    </row>
    <row r="32" spans="2:19" x14ac:dyDescent="0.3">
      <c r="J32" s="36">
        <v>80</v>
      </c>
      <c r="K32" s="36" t="s">
        <v>128</v>
      </c>
      <c r="L32" s="37">
        <v>0</v>
      </c>
      <c r="M32" s="38">
        <v>80</v>
      </c>
      <c r="O32">
        <f>SUM(M31:M32)</f>
        <v>130</v>
      </c>
      <c r="P32" t="s">
        <v>54</v>
      </c>
      <c r="Q32">
        <v>0</v>
      </c>
      <c r="R32">
        <v>90</v>
      </c>
      <c r="S32">
        <v>40</v>
      </c>
    </row>
    <row r="35" spans="10:19" x14ac:dyDescent="0.3">
      <c r="J35" s="40"/>
      <c r="K35" s="39" t="s">
        <v>56</v>
      </c>
    </row>
    <row r="36" spans="10:19" x14ac:dyDescent="0.3">
      <c r="J36" s="40"/>
      <c r="K36" s="39" t="s">
        <v>350</v>
      </c>
    </row>
    <row r="38" spans="10:19" x14ac:dyDescent="0.3">
      <c r="M38" s="35" t="s">
        <v>351</v>
      </c>
      <c r="S38">
        <f>SUMPRODUCT(L23:M24,L31:M32)</f>
        <v>820</v>
      </c>
    </row>
    <row r="39" spans="10:19" x14ac:dyDescent="0.3">
      <c r="M39" s="35" t="s">
        <v>352</v>
      </c>
      <c r="S39">
        <f>SUMPRODUCT(Q23:S24,Q31:S32)</f>
        <v>550</v>
      </c>
    </row>
    <row r="41" spans="10:19" x14ac:dyDescent="0.3">
      <c r="M41" s="35" t="s">
        <v>345</v>
      </c>
      <c r="S41">
        <f>SUM(S38:S39)</f>
        <v>1370</v>
      </c>
    </row>
    <row r="43" spans="10:19" x14ac:dyDescent="0.3">
      <c r="M43" s="35" t="s">
        <v>59</v>
      </c>
    </row>
    <row r="44" spans="10:19" x14ac:dyDescent="0.3">
      <c r="M44" s="35" t="s">
        <v>353</v>
      </c>
    </row>
    <row r="45" spans="10:19" x14ac:dyDescent="0.3">
      <c r="N45" t="s">
        <v>156</v>
      </c>
      <c r="P45" t="s">
        <v>19</v>
      </c>
    </row>
    <row r="46" spans="10:19" x14ac:dyDescent="0.3">
      <c r="M46" s="38" t="s">
        <v>354</v>
      </c>
      <c r="N46">
        <f>SUM(L31:M31)</f>
        <v>120</v>
      </c>
      <c r="O46" t="s">
        <v>45</v>
      </c>
      <c r="P46">
        <v>120</v>
      </c>
    </row>
    <row r="47" spans="10:19" x14ac:dyDescent="0.3">
      <c r="M47" s="38" t="s">
        <v>355</v>
      </c>
      <c r="N47">
        <f>SUM(L32:M32)</f>
        <v>80</v>
      </c>
      <c r="O47" t="s">
        <v>45</v>
      </c>
      <c r="P47">
        <v>80</v>
      </c>
    </row>
    <row r="48" spans="10:19" x14ac:dyDescent="0.3">
      <c r="M48" s="35" t="s">
        <v>356</v>
      </c>
    </row>
    <row r="49" spans="13:16" x14ac:dyDescent="0.3">
      <c r="M49" s="38" t="s">
        <v>278</v>
      </c>
      <c r="N49">
        <f>SUM(Q31:Q32)</f>
        <v>70</v>
      </c>
      <c r="O49" t="s">
        <v>12</v>
      </c>
      <c r="P49">
        <v>70</v>
      </c>
    </row>
    <row r="50" spans="13:16" x14ac:dyDescent="0.3">
      <c r="M50" s="38" t="s">
        <v>280</v>
      </c>
      <c r="N50">
        <f>SUM(R31:R32)</f>
        <v>90</v>
      </c>
      <c r="O50" t="s">
        <v>12</v>
      </c>
      <c r="P50">
        <v>90</v>
      </c>
    </row>
    <row r="51" spans="13:16" x14ac:dyDescent="0.3">
      <c r="M51" s="38" t="s">
        <v>339</v>
      </c>
      <c r="N51">
        <f>SUM(S31:S32)</f>
        <v>40</v>
      </c>
      <c r="O51" t="s">
        <v>12</v>
      </c>
      <c r="P51">
        <v>40</v>
      </c>
    </row>
    <row r="52" spans="13:16" x14ac:dyDescent="0.3">
      <c r="M52" s="35" t="s">
        <v>357</v>
      </c>
    </row>
    <row r="53" spans="13:16" x14ac:dyDescent="0.3">
      <c r="N53" t="s">
        <v>358</v>
      </c>
      <c r="P53" t="s">
        <v>359</v>
      </c>
    </row>
    <row r="54" spans="13:16" x14ac:dyDescent="0.3">
      <c r="M54" s="38" t="s">
        <v>52</v>
      </c>
      <c r="N54">
        <f>SUM(L31:L32)</f>
        <v>70</v>
      </c>
      <c r="O54" t="s">
        <v>269</v>
      </c>
      <c r="P54">
        <f>SUM(Q31:S31)</f>
        <v>70</v>
      </c>
    </row>
    <row r="55" spans="13:16" x14ac:dyDescent="0.3">
      <c r="M55" s="38" t="s">
        <v>54</v>
      </c>
      <c r="N55">
        <f>SUM(M31:M32)</f>
        <v>130</v>
      </c>
      <c r="O55" t="s">
        <v>269</v>
      </c>
      <c r="P55">
        <f>SUM(Q32:S32)</f>
        <v>130</v>
      </c>
    </row>
  </sheetData>
  <mergeCells count="5">
    <mergeCell ref="B2:G21"/>
    <mergeCell ref="K21:M21"/>
    <mergeCell ref="P21:S21"/>
    <mergeCell ref="K28:M28"/>
    <mergeCell ref="Q28:S28"/>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3E9E2-E6E9-4F5C-9CEF-E186E9573770}">
  <dimension ref="B1:N29"/>
  <sheetViews>
    <sheetView workbookViewId="0">
      <selection activeCell="K1" sqref="K1:N1"/>
    </sheetView>
  </sheetViews>
  <sheetFormatPr defaultRowHeight="14.4" x14ac:dyDescent="0.3"/>
  <cols>
    <col min="11" max="11" width="15.33203125" customWidth="1"/>
    <col min="12" max="14" width="12.44140625" customWidth="1"/>
  </cols>
  <sheetData>
    <row r="1" spans="2:14" x14ac:dyDescent="0.3">
      <c r="K1" s="78" t="s">
        <v>360</v>
      </c>
      <c r="L1" s="78"/>
      <c r="M1" s="78"/>
      <c r="N1" s="78"/>
    </row>
    <row r="2" spans="2:14" x14ac:dyDescent="0.3">
      <c r="B2" s="83" t="s">
        <v>346</v>
      </c>
      <c r="C2" s="83"/>
      <c r="D2" s="83"/>
      <c r="E2" s="83"/>
      <c r="F2" s="83"/>
      <c r="G2" s="83"/>
      <c r="H2" s="83"/>
      <c r="L2">
        <v>15</v>
      </c>
      <c r="M2">
        <v>25</v>
      </c>
      <c r="N2">
        <v>35</v>
      </c>
    </row>
    <row r="3" spans="2:14" x14ac:dyDescent="0.3">
      <c r="B3" s="83"/>
      <c r="C3" s="83"/>
      <c r="D3" s="83"/>
      <c r="E3" s="83"/>
      <c r="F3" s="83"/>
      <c r="G3" s="83"/>
      <c r="H3" s="83"/>
      <c r="L3" t="s">
        <v>341</v>
      </c>
      <c r="M3" t="s">
        <v>343</v>
      </c>
      <c r="N3" t="s">
        <v>342</v>
      </c>
    </row>
    <row r="4" spans="2:14" x14ac:dyDescent="0.3">
      <c r="B4" s="83"/>
      <c r="C4" s="83"/>
      <c r="D4" s="83"/>
      <c r="E4" s="83"/>
      <c r="F4" s="83"/>
      <c r="G4" s="83"/>
      <c r="H4" s="83"/>
      <c r="J4">
        <v>20</v>
      </c>
      <c r="K4" t="s">
        <v>341</v>
      </c>
      <c r="L4">
        <v>1000</v>
      </c>
      <c r="M4">
        <v>12</v>
      </c>
      <c r="N4">
        <v>18</v>
      </c>
    </row>
    <row r="5" spans="2:14" x14ac:dyDescent="0.3">
      <c r="B5" s="83"/>
      <c r="C5" s="83"/>
      <c r="D5" s="83"/>
      <c r="E5" s="83"/>
      <c r="F5" s="83"/>
      <c r="G5" s="83"/>
      <c r="H5" s="83"/>
      <c r="J5">
        <v>25</v>
      </c>
      <c r="K5" t="s">
        <v>343</v>
      </c>
      <c r="L5">
        <v>10</v>
      </c>
      <c r="M5">
        <v>1000</v>
      </c>
      <c r="N5">
        <v>14</v>
      </c>
    </row>
    <row r="6" spans="2:14" x14ac:dyDescent="0.3">
      <c r="B6" s="83"/>
      <c r="C6" s="83"/>
      <c r="D6" s="83"/>
      <c r="E6" s="83"/>
      <c r="F6" s="83"/>
      <c r="G6" s="83"/>
      <c r="H6" s="83"/>
      <c r="J6">
        <v>30</v>
      </c>
      <c r="K6" t="s">
        <v>342</v>
      </c>
      <c r="L6">
        <v>20</v>
      </c>
      <c r="M6">
        <v>15</v>
      </c>
      <c r="N6">
        <v>1000</v>
      </c>
    </row>
    <row r="7" spans="2:14" x14ac:dyDescent="0.3">
      <c r="B7" s="83"/>
      <c r="C7" s="83"/>
      <c r="D7" s="83"/>
      <c r="E7" s="83"/>
      <c r="F7" s="83"/>
      <c r="G7" s="83"/>
      <c r="H7" s="83"/>
    </row>
    <row r="8" spans="2:14" x14ac:dyDescent="0.3">
      <c r="B8" s="83"/>
      <c r="C8" s="83"/>
      <c r="D8" s="83"/>
      <c r="E8" s="83"/>
      <c r="F8" s="83"/>
      <c r="G8" s="83"/>
      <c r="H8" s="83"/>
      <c r="K8" s="78" t="s">
        <v>264</v>
      </c>
      <c r="L8" s="78"/>
      <c r="M8" s="78"/>
      <c r="N8" s="78"/>
    </row>
    <row r="9" spans="2:14" x14ac:dyDescent="0.3">
      <c r="B9" s="83"/>
      <c r="C9" s="83"/>
      <c r="D9" s="83"/>
      <c r="E9" s="83"/>
      <c r="F9" s="83"/>
      <c r="G9" s="83"/>
      <c r="H9" s="83"/>
    </row>
    <row r="10" spans="2:14" x14ac:dyDescent="0.3">
      <c r="B10" s="83"/>
      <c r="C10" s="83"/>
      <c r="D10" s="83"/>
      <c r="E10" s="83"/>
      <c r="F10" s="83"/>
      <c r="G10" s="83"/>
      <c r="H10" s="83"/>
      <c r="L10">
        <v>15</v>
      </c>
      <c r="M10">
        <v>25</v>
      </c>
      <c r="N10">
        <v>35</v>
      </c>
    </row>
    <row r="11" spans="2:14" x14ac:dyDescent="0.3">
      <c r="B11" s="83"/>
      <c r="C11" s="83"/>
      <c r="D11" s="83"/>
      <c r="E11" s="83"/>
      <c r="F11" s="83"/>
      <c r="G11" s="83"/>
      <c r="H11" s="83"/>
      <c r="L11" t="s">
        <v>341</v>
      </c>
      <c r="M11" t="s">
        <v>343</v>
      </c>
      <c r="N11" t="s">
        <v>342</v>
      </c>
    </row>
    <row r="12" spans="2:14" x14ac:dyDescent="0.3">
      <c r="B12" s="83"/>
      <c r="C12" s="83"/>
      <c r="D12" s="83"/>
      <c r="E12" s="83"/>
      <c r="F12" s="83"/>
      <c r="G12" s="83"/>
      <c r="H12" s="83"/>
      <c r="J12">
        <v>20</v>
      </c>
      <c r="K12" t="s">
        <v>341</v>
      </c>
      <c r="L12">
        <v>0</v>
      </c>
      <c r="M12">
        <v>0</v>
      </c>
      <c r="N12">
        <v>20</v>
      </c>
    </row>
    <row r="13" spans="2:14" x14ac:dyDescent="0.3">
      <c r="B13" s="83"/>
      <c r="C13" s="83"/>
      <c r="D13" s="83"/>
      <c r="E13" s="83"/>
      <c r="F13" s="83"/>
      <c r="G13" s="83"/>
      <c r="H13" s="83"/>
      <c r="J13">
        <v>25</v>
      </c>
      <c r="K13" t="s">
        <v>343</v>
      </c>
      <c r="L13">
        <v>10</v>
      </c>
      <c r="M13">
        <v>0</v>
      </c>
      <c r="N13">
        <v>15</v>
      </c>
    </row>
    <row r="14" spans="2:14" x14ac:dyDescent="0.3">
      <c r="B14" s="83"/>
      <c r="C14" s="83"/>
      <c r="D14" s="83"/>
      <c r="E14" s="83"/>
      <c r="F14" s="83"/>
      <c r="G14" s="83"/>
      <c r="H14" s="83"/>
      <c r="J14">
        <v>30</v>
      </c>
      <c r="K14" t="s">
        <v>342</v>
      </c>
      <c r="L14">
        <v>5</v>
      </c>
      <c r="M14">
        <v>25</v>
      </c>
      <c r="N14">
        <v>0</v>
      </c>
    </row>
    <row r="15" spans="2:14" x14ac:dyDescent="0.3">
      <c r="B15" s="83"/>
      <c r="C15" s="83"/>
      <c r="D15" s="83"/>
      <c r="E15" s="83"/>
      <c r="F15" s="83"/>
      <c r="G15" s="83"/>
      <c r="H15" s="83"/>
    </row>
    <row r="16" spans="2:14" x14ac:dyDescent="0.3">
      <c r="B16" s="83"/>
      <c r="C16" s="83"/>
      <c r="D16" s="83"/>
      <c r="E16" s="83"/>
      <c r="F16" s="83"/>
      <c r="G16" s="83"/>
      <c r="H16" s="83"/>
    </row>
    <row r="17" spans="2:14" x14ac:dyDescent="0.3">
      <c r="B17" s="83"/>
      <c r="C17" s="83"/>
      <c r="D17" s="83"/>
      <c r="E17" s="83"/>
      <c r="F17" s="83"/>
      <c r="G17" s="83"/>
      <c r="H17" s="83"/>
      <c r="K17" t="s">
        <v>56</v>
      </c>
    </row>
    <row r="18" spans="2:14" x14ac:dyDescent="0.3">
      <c r="B18" s="83"/>
      <c r="C18" s="83"/>
      <c r="D18" s="83"/>
      <c r="E18" s="83"/>
      <c r="F18" s="83"/>
      <c r="G18" s="83"/>
      <c r="H18" s="83"/>
      <c r="K18" t="s">
        <v>361</v>
      </c>
      <c r="M18">
        <f>SUMPRODUCT(L4:N6,L12:N14)</f>
        <v>1145</v>
      </c>
    </row>
    <row r="19" spans="2:14" x14ac:dyDescent="0.3">
      <c r="B19" s="83"/>
      <c r="C19" s="83"/>
      <c r="D19" s="83"/>
      <c r="E19" s="83"/>
      <c r="F19" s="83"/>
      <c r="G19" s="83"/>
      <c r="H19" s="83"/>
    </row>
    <row r="20" spans="2:14" x14ac:dyDescent="0.3">
      <c r="B20" s="83"/>
      <c r="C20" s="83"/>
      <c r="D20" s="83"/>
      <c r="E20" s="83"/>
      <c r="F20" s="83"/>
      <c r="G20" s="83"/>
      <c r="H20" s="83"/>
      <c r="K20" t="s">
        <v>59</v>
      </c>
    </row>
    <row r="21" spans="2:14" x14ac:dyDescent="0.3">
      <c r="B21" s="83"/>
      <c r="C21" s="83"/>
      <c r="D21" s="83"/>
      <c r="E21" s="83"/>
      <c r="F21" s="83"/>
      <c r="G21" s="83"/>
      <c r="H21" s="83"/>
      <c r="K21" t="s">
        <v>362</v>
      </c>
    </row>
    <row r="22" spans="2:14" x14ac:dyDescent="0.3">
      <c r="B22" s="83"/>
      <c r="C22" s="83"/>
      <c r="D22" s="83"/>
      <c r="E22" s="83"/>
      <c r="F22" s="83"/>
      <c r="G22" s="83"/>
      <c r="H22" s="83"/>
      <c r="K22" t="s">
        <v>341</v>
      </c>
      <c r="L22">
        <f>SUM(L12:N12)</f>
        <v>20</v>
      </c>
      <c r="M22" t="s">
        <v>45</v>
      </c>
      <c r="N22">
        <v>20</v>
      </c>
    </row>
    <row r="23" spans="2:14" x14ac:dyDescent="0.3">
      <c r="B23" s="83"/>
      <c r="C23" s="83"/>
      <c r="D23" s="83"/>
      <c r="E23" s="83"/>
      <c r="F23" s="83"/>
      <c r="G23" s="83"/>
      <c r="H23" s="83"/>
      <c r="K23" t="s">
        <v>344</v>
      </c>
      <c r="L23">
        <f>SUM(L13:N13)</f>
        <v>25</v>
      </c>
      <c r="M23" t="s">
        <v>45</v>
      </c>
      <c r="N23">
        <v>25</v>
      </c>
    </row>
    <row r="24" spans="2:14" x14ac:dyDescent="0.3">
      <c r="B24" s="83"/>
      <c r="C24" s="83"/>
      <c r="D24" s="83"/>
      <c r="E24" s="83"/>
      <c r="F24" s="83"/>
      <c r="G24" s="83"/>
      <c r="H24" s="83"/>
      <c r="K24" t="s">
        <v>342</v>
      </c>
      <c r="L24">
        <f>SUM(L14:N14)</f>
        <v>30</v>
      </c>
      <c r="M24" t="s">
        <v>45</v>
      </c>
      <c r="N24">
        <v>30</v>
      </c>
    </row>
    <row r="25" spans="2:14" x14ac:dyDescent="0.3">
      <c r="B25" s="83"/>
      <c r="C25" s="83"/>
      <c r="D25" s="83"/>
      <c r="E25" s="83"/>
      <c r="F25" s="83"/>
      <c r="G25" s="83"/>
      <c r="H25" s="83"/>
    </row>
    <row r="26" spans="2:14" x14ac:dyDescent="0.3">
      <c r="K26" t="s">
        <v>363</v>
      </c>
    </row>
    <row r="27" spans="2:14" x14ac:dyDescent="0.3">
      <c r="K27" t="s">
        <v>341</v>
      </c>
      <c r="L27">
        <f>SUM(L12:L14)</f>
        <v>15</v>
      </c>
      <c r="M27" t="s">
        <v>12</v>
      </c>
      <c r="N27">
        <v>15</v>
      </c>
    </row>
    <row r="28" spans="2:14" x14ac:dyDescent="0.3">
      <c r="K28" t="s">
        <v>344</v>
      </c>
      <c r="L28">
        <f>SUM(M12:M14)</f>
        <v>25</v>
      </c>
      <c r="M28" t="s">
        <v>12</v>
      </c>
      <c r="N28">
        <v>25</v>
      </c>
    </row>
    <row r="29" spans="2:14" x14ac:dyDescent="0.3">
      <c r="K29" t="s">
        <v>364</v>
      </c>
      <c r="L29">
        <f>SUM(N12:N14)</f>
        <v>35</v>
      </c>
      <c r="M29" t="s">
        <v>12</v>
      </c>
      <c r="N29">
        <v>35</v>
      </c>
    </row>
  </sheetData>
  <mergeCells count="3">
    <mergeCell ref="B2:H25"/>
    <mergeCell ref="K1:N1"/>
    <mergeCell ref="K8:N8"/>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94555-E601-4B39-BA57-50E54A2DCAFB}">
  <dimension ref="B2:Z33"/>
  <sheetViews>
    <sheetView topLeftCell="B1" zoomScale="86" workbookViewId="0">
      <selection activeCell="H1" sqref="H1"/>
    </sheetView>
  </sheetViews>
  <sheetFormatPr defaultRowHeight="14.4" x14ac:dyDescent="0.3"/>
  <cols>
    <col min="10" max="10" width="3.88671875" customWidth="1"/>
    <col min="11" max="11" width="8.88671875" style="41"/>
    <col min="12" max="12" width="9.33203125" style="39" customWidth="1"/>
    <col min="13" max="13" width="18.77734375" style="41" customWidth="1"/>
    <col min="14" max="14" width="10.77734375" style="42" customWidth="1"/>
    <col min="15" max="15" width="9.88671875" style="41" customWidth="1"/>
    <col min="16" max="17" width="10.5546875" customWidth="1"/>
  </cols>
  <sheetData>
    <row r="2" spans="2:22" x14ac:dyDescent="0.3">
      <c r="B2" s="83" t="s">
        <v>335</v>
      </c>
      <c r="C2" s="83"/>
      <c r="D2" s="83"/>
      <c r="E2" s="83"/>
      <c r="F2" s="83"/>
      <c r="G2" s="83"/>
    </row>
    <row r="3" spans="2:22" x14ac:dyDescent="0.3">
      <c r="B3" s="83"/>
      <c r="C3" s="83"/>
      <c r="D3" s="83"/>
      <c r="E3" s="83"/>
      <c r="F3" s="83"/>
      <c r="G3" s="83"/>
    </row>
    <row r="4" spans="2:22" x14ac:dyDescent="0.3">
      <c r="B4" s="83"/>
      <c r="C4" s="83"/>
      <c r="D4" s="83"/>
      <c r="E4" s="83"/>
      <c r="F4" s="83"/>
      <c r="G4" s="83"/>
      <c r="K4" s="41" t="s">
        <v>371</v>
      </c>
      <c r="L4" s="39" t="s">
        <v>372</v>
      </c>
      <c r="M4" s="41" t="s">
        <v>373</v>
      </c>
      <c r="N4" s="42" t="s">
        <v>347</v>
      </c>
      <c r="O4" s="41" t="s">
        <v>374</v>
      </c>
      <c r="P4" s="41" t="s">
        <v>375</v>
      </c>
      <c r="Q4" s="41" t="s">
        <v>348</v>
      </c>
      <c r="R4" s="41" t="s">
        <v>153</v>
      </c>
    </row>
    <row r="5" spans="2:22" x14ac:dyDescent="0.3">
      <c r="B5" s="83"/>
      <c r="C5" s="83"/>
      <c r="D5" s="83"/>
      <c r="E5" s="83"/>
      <c r="F5" s="83"/>
      <c r="G5" s="83"/>
      <c r="J5" t="s">
        <v>366</v>
      </c>
      <c r="K5" s="41">
        <v>85</v>
      </c>
      <c r="L5" s="39">
        <v>60</v>
      </c>
      <c r="M5" s="41">
        <v>55</v>
      </c>
      <c r="N5" s="42">
        <v>8</v>
      </c>
      <c r="O5" s="41">
        <v>1</v>
      </c>
      <c r="P5" s="42">
        <v>0</v>
      </c>
      <c r="Q5" s="42">
        <v>0</v>
      </c>
      <c r="R5" s="41">
        <v>1</v>
      </c>
      <c r="S5" t="s">
        <v>366</v>
      </c>
    </row>
    <row r="6" spans="2:22" x14ac:dyDescent="0.3">
      <c r="B6" s="83"/>
      <c r="C6" s="83"/>
      <c r="D6" s="83"/>
      <c r="E6" s="83"/>
      <c r="F6" s="83"/>
      <c r="G6" s="83"/>
      <c r="J6" t="s">
        <v>319</v>
      </c>
      <c r="K6" s="41">
        <v>70</v>
      </c>
      <c r="L6" s="39">
        <v>80</v>
      </c>
      <c r="M6" s="41">
        <v>75</v>
      </c>
      <c r="N6" s="42">
        <v>5</v>
      </c>
      <c r="O6" s="41">
        <v>0</v>
      </c>
      <c r="P6" s="42">
        <v>1</v>
      </c>
      <c r="Q6" s="42">
        <v>0</v>
      </c>
      <c r="R6" s="41">
        <v>1</v>
      </c>
      <c r="S6" t="s">
        <v>319</v>
      </c>
    </row>
    <row r="7" spans="2:22" x14ac:dyDescent="0.3">
      <c r="B7" s="83"/>
      <c r="C7" s="83"/>
      <c r="D7" s="83"/>
      <c r="E7" s="83"/>
      <c r="F7" s="83"/>
      <c r="G7" s="83"/>
      <c r="J7" t="s">
        <v>367</v>
      </c>
      <c r="K7" s="41">
        <v>90</v>
      </c>
      <c r="L7" s="39">
        <v>50</v>
      </c>
      <c r="M7" s="41">
        <v>45</v>
      </c>
      <c r="N7" s="42">
        <v>9</v>
      </c>
      <c r="O7" s="41">
        <v>1</v>
      </c>
      <c r="P7" s="42">
        <v>0</v>
      </c>
      <c r="Q7" s="42">
        <v>1</v>
      </c>
      <c r="R7" s="41">
        <v>0</v>
      </c>
      <c r="S7" t="s">
        <v>367</v>
      </c>
    </row>
    <row r="8" spans="2:22" x14ac:dyDescent="0.3">
      <c r="B8" s="83"/>
      <c r="C8" s="83"/>
      <c r="D8" s="83"/>
      <c r="E8" s="83"/>
      <c r="F8" s="83"/>
      <c r="G8" s="83"/>
      <c r="J8" t="s">
        <v>368</v>
      </c>
      <c r="K8" s="41">
        <v>65</v>
      </c>
      <c r="L8" s="39">
        <v>85</v>
      </c>
      <c r="M8" s="41">
        <v>80</v>
      </c>
      <c r="N8" s="42">
        <v>4</v>
      </c>
      <c r="O8" s="41">
        <v>0</v>
      </c>
      <c r="P8" s="42">
        <v>1</v>
      </c>
      <c r="Q8" s="42">
        <v>0</v>
      </c>
      <c r="R8" s="41">
        <v>1</v>
      </c>
      <c r="S8" t="s">
        <v>368</v>
      </c>
    </row>
    <row r="9" spans="2:22" x14ac:dyDescent="0.3">
      <c r="B9" s="83"/>
      <c r="C9" s="83"/>
      <c r="D9" s="83"/>
      <c r="E9" s="83"/>
      <c r="F9" s="83"/>
      <c r="G9" s="83"/>
      <c r="J9" t="s">
        <v>369</v>
      </c>
      <c r="K9" s="41">
        <v>78</v>
      </c>
      <c r="L9" s="39">
        <v>72</v>
      </c>
      <c r="M9" s="41">
        <v>70</v>
      </c>
      <c r="N9" s="42">
        <v>6</v>
      </c>
      <c r="O9" s="41">
        <v>0</v>
      </c>
      <c r="P9" s="42">
        <v>0</v>
      </c>
      <c r="Q9" s="42">
        <v>0</v>
      </c>
      <c r="R9" s="41">
        <v>1</v>
      </c>
      <c r="S9" t="s">
        <v>369</v>
      </c>
    </row>
    <row r="10" spans="2:22" x14ac:dyDescent="0.3">
      <c r="B10" s="83"/>
      <c r="C10" s="83"/>
      <c r="D10" s="83"/>
      <c r="E10" s="83"/>
      <c r="F10" s="83"/>
      <c r="G10" s="83"/>
      <c r="J10" t="s">
        <v>370</v>
      </c>
      <c r="K10" s="41">
        <v>88</v>
      </c>
      <c r="L10" s="39">
        <v>58</v>
      </c>
      <c r="M10" s="41">
        <v>50</v>
      </c>
      <c r="N10" s="42">
        <v>8</v>
      </c>
      <c r="O10" s="41">
        <v>1</v>
      </c>
      <c r="P10" s="42">
        <v>0</v>
      </c>
      <c r="Q10" s="42">
        <v>1</v>
      </c>
      <c r="R10" s="41">
        <v>0</v>
      </c>
      <c r="S10" t="s">
        <v>370</v>
      </c>
    </row>
    <row r="11" spans="2:22" x14ac:dyDescent="0.3">
      <c r="B11" s="83"/>
      <c r="C11" s="83"/>
      <c r="D11" s="83"/>
      <c r="E11" s="83"/>
      <c r="F11" s="83"/>
      <c r="G11" s="83"/>
    </row>
    <row r="12" spans="2:22" x14ac:dyDescent="0.3">
      <c r="B12" s="83"/>
      <c r="C12" s="83"/>
      <c r="D12" s="83"/>
      <c r="E12" s="83"/>
      <c r="F12" s="83"/>
      <c r="G12" s="83"/>
    </row>
    <row r="13" spans="2:22" x14ac:dyDescent="0.3">
      <c r="B13" s="83"/>
      <c r="C13" s="83"/>
      <c r="D13" s="83"/>
      <c r="E13" s="83"/>
      <c r="F13" s="83"/>
      <c r="G13" s="83"/>
      <c r="S13" t="s">
        <v>387</v>
      </c>
      <c r="T13" t="s">
        <v>388</v>
      </c>
      <c r="U13" t="s">
        <v>269</v>
      </c>
      <c r="V13" t="s">
        <v>389</v>
      </c>
    </row>
    <row r="14" spans="2:22" x14ac:dyDescent="0.3">
      <c r="B14" s="83"/>
      <c r="C14" s="83"/>
      <c r="D14" s="83"/>
      <c r="E14" s="83"/>
      <c r="F14" s="83"/>
      <c r="G14" s="83"/>
      <c r="L14" s="39">
        <f>SUM(R5:R10)</f>
        <v>4</v>
      </c>
      <c r="M14" s="41" t="s">
        <v>45</v>
      </c>
      <c r="O14" s="41">
        <v>4</v>
      </c>
      <c r="T14" t="s">
        <v>390</v>
      </c>
    </row>
    <row r="15" spans="2:22" x14ac:dyDescent="0.3">
      <c r="B15" s="83"/>
      <c r="C15" s="83"/>
      <c r="D15" s="83"/>
      <c r="E15" s="83"/>
      <c r="F15" s="83"/>
      <c r="G15" s="83"/>
      <c r="O15" s="41" t="s">
        <v>381</v>
      </c>
      <c r="P15" t="s">
        <v>376</v>
      </c>
    </row>
    <row r="16" spans="2:22" x14ac:dyDescent="0.3">
      <c r="B16" s="83"/>
      <c r="C16" s="83"/>
      <c r="D16" s="83"/>
      <c r="E16" s="83"/>
      <c r="F16" s="83"/>
      <c r="G16" s="83"/>
      <c r="L16" s="39" t="s">
        <v>378</v>
      </c>
      <c r="O16" s="41">
        <f>SUMPRODUCT(K5:K10,R5:R10)</f>
        <v>298</v>
      </c>
      <c r="P16">
        <v>0.5</v>
      </c>
      <c r="T16" t="s">
        <v>391</v>
      </c>
      <c r="U16" t="s">
        <v>269</v>
      </c>
      <c r="V16" t="s">
        <v>392</v>
      </c>
    </row>
    <row r="17" spans="2:26" x14ac:dyDescent="0.3">
      <c r="B17" s="83"/>
      <c r="C17" s="83"/>
      <c r="D17" s="83"/>
      <c r="E17" s="83"/>
      <c r="F17" s="83"/>
      <c r="G17" s="83"/>
      <c r="L17" s="39" t="s">
        <v>379</v>
      </c>
      <c r="O17" s="41">
        <f>SUMPRODUCT(L5:L10,R5:R10)</f>
        <v>297</v>
      </c>
      <c r="P17">
        <v>0.3</v>
      </c>
      <c r="T17" t="s">
        <v>393</v>
      </c>
    </row>
    <row r="18" spans="2:26" x14ac:dyDescent="0.3">
      <c r="B18" s="83"/>
      <c r="C18" s="83"/>
      <c r="D18" s="83"/>
      <c r="E18" s="83"/>
      <c r="F18" s="83"/>
      <c r="G18" s="83"/>
      <c r="L18" s="39" t="s">
        <v>380</v>
      </c>
      <c r="O18" s="41">
        <f>SUMPRODUCT(M5:M10,R5:R10)</f>
        <v>280</v>
      </c>
      <c r="P18">
        <v>0.2</v>
      </c>
    </row>
    <row r="19" spans="2:26" x14ac:dyDescent="0.3">
      <c r="B19" s="83"/>
      <c r="C19" s="83"/>
      <c r="D19" s="83"/>
      <c r="E19" s="83"/>
      <c r="F19" s="83"/>
      <c r="G19" s="83"/>
      <c r="T19" t="s">
        <v>394</v>
      </c>
      <c r="U19" t="s">
        <v>269</v>
      </c>
      <c r="V19" t="s">
        <v>395</v>
      </c>
    </row>
    <row r="20" spans="2:26" x14ac:dyDescent="0.3">
      <c r="B20" s="83"/>
      <c r="C20" s="83"/>
      <c r="D20" s="83"/>
      <c r="E20" s="83"/>
      <c r="F20" s="83"/>
      <c r="G20" s="83"/>
      <c r="L20" s="39" t="s">
        <v>10</v>
      </c>
      <c r="T20" t="s">
        <v>396</v>
      </c>
    </row>
    <row r="21" spans="2:26" x14ac:dyDescent="0.3">
      <c r="B21" s="83"/>
      <c r="C21" s="83"/>
      <c r="D21" s="83"/>
      <c r="E21" s="83"/>
      <c r="F21" s="83"/>
      <c r="G21" s="83"/>
      <c r="L21" s="39" t="s">
        <v>377</v>
      </c>
      <c r="P21">
        <f>SUMPRODUCT(O16:O18,P16:P18)</f>
        <v>294.10000000000002</v>
      </c>
    </row>
    <row r="22" spans="2:26" x14ac:dyDescent="0.3">
      <c r="B22" s="83"/>
      <c r="C22" s="83"/>
      <c r="D22" s="83"/>
      <c r="E22" s="83"/>
      <c r="F22" s="83"/>
      <c r="G22" s="83"/>
      <c r="S22" t="s">
        <v>397</v>
      </c>
    </row>
    <row r="23" spans="2:26" x14ac:dyDescent="0.3">
      <c r="B23" s="83"/>
      <c r="C23" s="83"/>
      <c r="D23" s="83"/>
      <c r="E23" s="83"/>
      <c r="F23" s="83"/>
      <c r="G23" s="83"/>
      <c r="L23" s="39" t="s">
        <v>11</v>
      </c>
    </row>
    <row r="24" spans="2:26" x14ac:dyDescent="0.3">
      <c r="L24" s="39" t="s">
        <v>382</v>
      </c>
      <c r="O24" s="41">
        <f>SUM(R5:R10)</f>
        <v>4</v>
      </c>
      <c r="P24" t="s">
        <v>45</v>
      </c>
      <c r="Q24">
        <v>4</v>
      </c>
      <c r="T24" t="s">
        <v>398</v>
      </c>
      <c r="V24" t="s">
        <v>399</v>
      </c>
    </row>
    <row r="25" spans="2:26" x14ac:dyDescent="0.3">
      <c r="L25" s="39" t="s">
        <v>383</v>
      </c>
      <c r="O25" s="41">
        <f>SUMPRODUCT(R5:R10,N5:N10)/SUM(R5:R10)</f>
        <v>5.75</v>
      </c>
      <c r="P25" t="s">
        <v>45</v>
      </c>
      <c r="Q25">
        <v>6.5</v>
      </c>
    </row>
    <row r="26" spans="2:26" x14ac:dyDescent="0.3">
      <c r="L26" s="39" t="s">
        <v>384</v>
      </c>
      <c r="O26" s="41">
        <f>SUMPRODUCT(O5:O10,R5:R10)</f>
        <v>1</v>
      </c>
      <c r="P26" t="s">
        <v>12</v>
      </c>
      <c r="Q26">
        <v>1</v>
      </c>
      <c r="S26" t="s">
        <v>400</v>
      </c>
    </row>
    <row r="27" spans="2:26" x14ac:dyDescent="0.3">
      <c r="L27" s="39" t="s">
        <v>385</v>
      </c>
      <c r="O27" s="41">
        <f>SUMPRODUCT(P5:P10,R5:R10)</f>
        <v>2</v>
      </c>
      <c r="P27" t="s">
        <v>12</v>
      </c>
      <c r="Q27">
        <v>1</v>
      </c>
      <c r="T27" t="s">
        <v>401</v>
      </c>
      <c r="Y27" t="s">
        <v>45</v>
      </c>
      <c r="Z27">
        <v>4</v>
      </c>
    </row>
    <row r="28" spans="2:26" x14ac:dyDescent="0.3">
      <c r="L28" s="39" t="s">
        <v>386</v>
      </c>
      <c r="O28" s="41">
        <f>SUMPRODUCT(R5:R10,Q5:Q10)</f>
        <v>0</v>
      </c>
      <c r="P28" t="s">
        <v>45</v>
      </c>
      <c r="Q28">
        <v>1</v>
      </c>
      <c r="T28" t="s">
        <v>402</v>
      </c>
      <c r="Y28" t="s">
        <v>45</v>
      </c>
      <c r="Z28">
        <v>6.5</v>
      </c>
    </row>
    <row r="29" spans="2:26" x14ac:dyDescent="0.3">
      <c r="T29" t="s">
        <v>403</v>
      </c>
      <c r="Y29" t="s">
        <v>12</v>
      </c>
      <c r="Z29">
        <v>1</v>
      </c>
    </row>
    <row r="30" spans="2:26" x14ac:dyDescent="0.3">
      <c r="T30" t="s">
        <v>404</v>
      </c>
      <c r="Y30" t="s">
        <v>12</v>
      </c>
      <c r="Z30">
        <v>1</v>
      </c>
    </row>
    <row r="31" spans="2:26" x14ac:dyDescent="0.3">
      <c r="T31" t="s">
        <v>405</v>
      </c>
      <c r="Y31" t="s">
        <v>45</v>
      </c>
      <c r="Z31">
        <v>1</v>
      </c>
    </row>
    <row r="33" spans="20:21" x14ac:dyDescent="0.3">
      <c r="T33" t="s">
        <v>406</v>
      </c>
      <c r="U33" t="s">
        <v>407</v>
      </c>
    </row>
  </sheetData>
  <mergeCells count="1">
    <mergeCell ref="B2:G2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9952-9DA3-4BC7-A409-8921F08264B0}">
  <dimension ref="B1:R31"/>
  <sheetViews>
    <sheetView zoomScale="115" workbookViewId="0">
      <selection activeCell="B1" sqref="B1:I1"/>
    </sheetView>
  </sheetViews>
  <sheetFormatPr defaultRowHeight="14.4" x14ac:dyDescent="0.3"/>
  <cols>
    <col min="12" max="12" width="13" customWidth="1"/>
    <col min="13" max="18" width="8.88671875" style="43"/>
  </cols>
  <sheetData>
    <row r="1" spans="2:18" x14ac:dyDescent="0.3">
      <c r="B1" s="78" t="s">
        <v>417</v>
      </c>
      <c r="C1" s="78"/>
      <c r="D1" s="78"/>
      <c r="E1" s="78"/>
      <c r="F1" s="78"/>
      <c r="G1" s="78"/>
      <c r="H1" s="78"/>
      <c r="I1" s="78"/>
    </row>
    <row r="3" spans="2:18" x14ac:dyDescent="0.3">
      <c r="M3" s="43">
        <v>1</v>
      </c>
      <c r="N3" s="43">
        <v>2</v>
      </c>
      <c r="O3" s="43">
        <v>3</v>
      </c>
      <c r="P3" s="43">
        <v>4</v>
      </c>
      <c r="Q3" s="43">
        <v>5</v>
      </c>
    </row>
    <row r="4" spans="2:18" x14ac:dyDescent="0.3">
      <c r="L4" t="s">
        <v>414</v>
      </c>
      <c r="M4" s="44">
        <v>48</v>
      </c>
      <c r="N4" s="44">
        <v>31</v>
      </c>
      <c r="O4" s="44">
        <v>39</v>
      </c>
      <c r="P4" s="44">
        <v>43</v>
      </c>
      <c r="Q4" s="44">
        <v>15</v>
      </c>
    </row>
    <row r="5" spans="2:18" x14ac:dyDescent="0.3">
      <c r="L5" t="s">
        <v>411</v>
      </c>
      <c r="M5" s="43">
        <f>M4</f>
        <v>48</v>
      </c>
      <c r="R5" s="43">
        <v>48</v>
      </c>
    </row>
    <row r="6" spans="2:18" x14ac:dyDescent="0.3">
      <c r="L6" t="s">
        <v>412</v>
      </c>
      <c r="M6" s="43">
        <f>M4</f>
        <v>48</v>
      </c>
      <c r="N6" s="43">
        <f>N4</f>
        <v>31</v>
      </c>
      <c r="R6" s="43">
        <v>79</v>
      </c>
    </row>
    <row r="7" spans="2:18" x14ac:dyDescent="0.3">
      <c r="L7" t="s">
        <v>408</v>
      </c>
      <c r="M7" s="43">
        <f>M4</f>
        <v>48</v>
      </c>
      <c r="N7" s="43">
        <f>N4</f>
        <v>31</v>
      </c>
      <c r="R7" s="43">
        <v>65</v>
      </c>
    </row>
    <row r="8" spans="2:18" x14ac:dyDescent="0.3">
      <c r="L8" t="s">
        <v>409</v>
      </c>
      <c r="M8" s="43">
        <f>M4</f>
        <v>48</v>
      </c>
      <c r="N8" s="43">
        <f>N4</f>
        <v>31</v>
      </c>
      <c r="O8" s="43">
        <f>O4</f>
        <v>39</v>
      </c>
      <c r="R8" s="43">
        <v>87</v>
      </c>
    </row>
    <row r="9" spans="2:18" x14ac:dyDescent="0.3">
      <c r="L9" t="s">
        <v>415</v>
      </c>
      <c r="N9" s="43">
        <f>N4</f>
        <v>31</v>
      </c>
      <c r="O9" s="43">
        <f>O4</f>
        <v>39</v>
      </c>
      <c r="R9" s="43">
        <v>64</v>
      </c>
    </row>
    <row r="10" spans="2:18" x14ac:dyDescent="0.3">
      <c r="L10" t="s">
        <v>410</v>
      </c>
      <c r="O10" s="43">
        <f>O4</f>
        <v>39</v>
      </c>
      <c r="P10" s="43">
        <f>P4</f>
        <v>43</v>
      </c>
      <c r="R10" s="43">
        <v>73</v>
      </c>
    </row>
    <row r="11" spans="2:18" x14ac:dyDescent="0.3">
      <c r="L11" t="s">
        <v>411</v>
      </c>
      <c r="O11" s="43">
        <f>O4</f>
        <v>39</v>
      </c>
      <c r="P11" s="43">
        <f>P4</f>
        <v>43</v>
      </c>
      <c r="R11" s="43">
        <v>82</v>
      </c>
    </row>
    <row r="12" spans="2:18" x14ac:dyDescent="0.3">
      <c r="L12" t="s">
        <v>412</v>
      </c>
      <c r="P12" s="43">
        <f>P4</f>
        <v>43</v>
      </c>
      <c r="R12" s="43">
        <v>43</v>
      </c>
    </row>
    <row r="13" spans="2:18" x14ac:dyDescent="0.3">
      <c r="L13" t="s">
        <v>408</v>
      </c>
      <c r="P13" s="43">
        <f>P4</f>
        <v>43</v>
      </c>
      <c r="Q13" s="43">
        <f>Q4</f>
        <v>15</v>
      </c>
      <c r="R13" s="43">
        <v>52</v>
      </c>
    </row>
    <row r="14" spans="2:18" x14ac:dyDescent="0.3">
      <c r="L14" t="s">
        <v>413</v>
      </c>
      <c r="Q14" s="43">
        <f>Q4</f>
        <v>15</v>
      </c>
      <c r="R14" s="43">
        <v>15</v>
      </c>
    </row>
    <row r="16" spans="2:18" x14ac:dyDescent="0.3">
      <c r="L16" t="s">
        <v>416</v>
      </c>
      <c r="M16" s="43">
        <v>170</v>
      </c>
      <c r="N16" s="43">
        <v>160</v>
      </c>
      <c r="O16" s="43">
        <v>175</v>
      </c>
      <c r="P16" s="43">
        <v>180</v>
      </c>
      <c r="Q16" s="43">
        <v>195</v>
      </c>
    </row>
    <row r="18" spans="12:15" x14ac:dyDescent="0.3">
      <c r="L18" t="s">
        <v>56</v>
      </c>
    </row>
    <row r="19" spans="12:15" x14ac:dyDescent="0.3">
      <c r="L19" t="s">
        <v>350</v>
      </c>
      <c r="O19" s="43">
        <f>SUMPRODUCT(M4:Q4,M16:Q16)</f>
        <v>30610</v>
      </c>
    </row>
    <row r="21" spans="12:15" x14ac:dyDescent="0.3">
      <c r="L21" t="s">
        <v>59</v>
      </c>
    </row>
    <row r="22" spans="12:15" x14ac:dyDescent="0.3">
      <c r="M22" s="43">
        <f>SUM(M5:Q5)</f>
        <v>48</v>
      </c>
      <c r="N22" s="43" t="s">
        <v>12</v>
      </c>
      <c r="O22" s="43">
        <v>48</v>
      </c>
    </row>
    <row r="23" spans="12:15" x14ac:dyDescent="0.3">
      <c r="M23" s="43">
        <f>SUM(M6:Q6)</f>
        <v>79</v>
      </c>
      <c r="N23" s="43" t="s">
        <v>12</v>
      </c>
      <c r="O23" s="43">
        <v>79</v>
      </c>
    </row>
    <row r="24" spans="12:15" x14ac:dyDescent="0.3">
      <c r="M24" s="43">
        <f t="shared" ref="M24:M31" si="0">SUM(M7:Q7)</f>
        <v>79</v>
      </c>
      <c r="N24" s="43" t="s">
        <v>12</v>
      </c>
      <c r="O24" s="43">
        <v>65</v>
      </c>
    </row>
    <row r="25" spans="12:15" x14ac:dyDescent="0.3">
      <c r="M25" s="43">
        <f t="shared" si="0"/>
        <v>118</v>
      </c>
      <c r="N25" s="43" t="s">
        <v>12</v>
      </c>
      <c r="O25" s="43">
        <v>87</v>
      </c>
    </row>
    <row r="26" spans="12:15" x14ac:dyDescent="0.3">
      <c r="M26" s="43">
        <f t="shared" si="0"/>
        <v>70</v>
      </c>
      <c r="N26" s="43" t="s">
        <v>12</v>
      </c>
      <c r="O26" s="43">
        <v>64</v>
      </c>
    </row>
    <row r="27" spans="12:15" x14ac:dyDescent="0.3">
      <c r="M27" s="43">
        <f t="shared" si="0"/>
        <v>82</v>
      </c>
      <c r="N27" s="43" t="s">
        <v>12</v>
      </c>
      <c r="O27" s="43">
        <v>73</v>
      </c>
    </row>
    <row r="28" spans="12:15" x14ac:dyDescent="0.3">
      <c r="M28" s="43">
        <f t="shared" si="0"/>
        <v>82</v>
      </c>
      <c r="N28" s="43" t="s">
        <v>12</v>
      </c>
      <c r="O28" s="43">
        <v>82</v>
      </c>
    </row>
    <row r="29" spans="12:15" x14ac:dyDescent="0.3">
      <c r="M29" s="43">
        <f t="shared" si="0"/>
        <v>43</v>
      </c>
      <c r="N29" s="43" t="s">
        <v>12</v>
      </c>
      <c r="O29" s="43">
        <v>43</v>
      </c>
    </row>
    <row r="30" spans="12:15" x14ac:dyDescent="0.3">
      <c r="M30" s="43">
        <f t="shared" si="0"/>
        <v>58</v>
      </c>
      <c r="N30" s="43" t="s">
        <v>12</v>
      </c>
      <c r="O30" s="43">
        <v>52</v>
      </c>
    </row>
    <row r="31" spans="12:15" x14ac:dyDescent="0.3">
      <c r="M31" s="43">
        <f t="shared" si="0"/>
        <v>15</v>
      </c>
      <c r="N31" s="43" t="s">
        <v>12</v>
      </c>
      <c r="O31" s="43">
        <v>15</v>
      </c>
    </row>
  </sheetData>
  <mergeCells count="1">
    <mergeCell ref="B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7DADE-90BD-450C-AF82-AFA3CF88E966}">
  <dimension ref="B4:F29"/>
  <sheetViews>
    <sheetView topLeftCell="A5" workbookViewId="0">
      <selection activeCell="H20" sqref="H20"/>
    </sheetView>
  </sheetViews>
  <sheetFormatPr defaultRowHeight="14.4" x14ac:dyDescent="0.3"/>
  <sheetData>
    <row r="4" spans="2:5" x14ac:dyDescent="0.3">
      <c r="B4" s="84" t="s">
        <v>527</v>
      </c>
      <c r="C4" s="84"/>
      <c r="D4" s="84"/>
      <c r="E4" s="84"/>
    </row>
    <row r="5" spans="2:5" x14ac:dyDescent="0.3">
      <c r="B5" s="84"/>
      <c r="C5" s="84"/>
      <c r="D5" s="84"/>
      <c r="E5" s="84"/>
    </row>
    <row r="6" spans="2:5" x14ac:dyDescent="0.3">
      <c r="B6" s="84"/>
      <c r="C6" s="84"/>
      <c r="D6" s="84"/>
      <c r="E6" s="84"/>
    </row>
    <row r="7" spans="2:5" x14ac:dyDescent="0.3">
      <c r="B7" s="84"/>
      <c r="C7" s="84"/>
      <c r="D7" s="84"/>
      <c r="E7" s="84"/>
    </row>
    <row r="8" spans="2:5" x14ac:dyDescent="0.3">
      <c r="B8" s="84"/>
      <c r="C8" s="84"/>
      <c r="D8" s="84"/>
      <c r="E8" s="84"/>
    </row>
    <row r="9" spans="2:5" x14ac:dyDescent="0.3">
      <c r="B9" s="84"/>
      <c r="C9" s="84"/>
      <c r="D9" s="84"/>
      <c r="E9" s="84"/>
    </row>
    <row r="10" spans="2:5" x14ac:dyDescent="0.3">
      <c r="B10" s="84"/>
      <c r="C10" s="84"/>
      <c r="D10" s="84"/>
      <c r="E10" s="84"/>
    </row>
    <row r="12" spans="2:5" x14ac:dyDescent="0.3">
      <c r="B12" s="82" t="s">
        <v>528</v>
      </c>
      <c r="C12" s="82"/>
      <c r="D12" s="82"/>
      <c r="E12" s="82"/>
    </row>
    <row r="13" spans="2:5" x14ac:dyDescent="0.3">
      <c r="B13" s="82"/>
      <c r="C13" s="82"/>
      <c r="D13" s="82"/>
      <c r="E13" s="82"/>
    </row>
    <row r="14" spans="2:5" x14ac:dyDescent="0.3">
      <c r="B14" s="82"/>
      <c r="C14" s="82"/>
      <c r="D14" s="82"/>
      <c r="E14" s="82"/>
    </row>
    <row r="15" spans="2:5" x14ac:dyDescent="0.3">
      <c r="B15" s="82"/>
      <c r="C15" s="82"/>
      <c r="D15" s="82"/>
      <c r="E15" s="82"/>
    </row>
    <row r="17" spans="2:6" x14ac:dyDescent="0.3">
      <c r="B17" s="82" t="s">
        <v>529</v>
      </c>
      <c r="C17" s="82"/>
      <c r="D17" s="82"/>
      <c r="E17" s="82"/>
    </row>
    <row r="18" spans="2:6" x14ac:dyDescent="0.3">
      <c r="B18" s="82"/>
      <c r="C18" s="82"/>
      <c r="D18" s="82"/>
      <c r="E18" s="82"/>
    </row>
    <row r="19" spans="2:6" x14ac:dyDescent="0.3">
      <c r="B19" s="82"/>
      <c r="C19" s="82"/>
      <c r="D19" s="82"/>
      <c r="E19" s="82"/>
    </row>
    <row r="20" spans="2:6" x14ac:dyDescent="0.3">
      <c r="B20" s="82"/>
      <c r="C20" s="82"/>
      <c r="D20" s="82"/>
      <c r="E20" s="82"/>
    </row>
    <row r="21" spans="2:6" x14ac:dyDescent="0.3">
      <c r="B21" s="82"/>
      <c r="C21" s="82"/>
      <c r="D21" s="82"/>
      <c r="E21" s="82"/>
    </row>
    <row r="23" spans="2:6" ht="14.4" customHeight="1" x14ac:dyDescent="0.3">
      <c r="B23" s="82" t="s">
        <v>530</v>
      </c>
      <c r="C23" s="82"/>
      <c r="D23" s="82"/>
      <c r="E23" s="82"/>
      <c r="F23" s="22"/>
    </row>
    <row r="24" spans="2:6" x14ac:dyDescent="0.3">
      <c r="B24" s="82"/>
      <c r="C24" s="82"/>
      <c r="D24" s="82"/>
      <c r="E24" s="82"/>
      <c r="F24" s="22"/>
    </row>
    <row r="25" spans="2:6" x14ac:dyDescent="0.3">
      <c r="B25" s="82"/>
      <c r="C25" s="82"/>
      <c r="D25" s="82"/>
      <c r="E25" s="82"/>
      <c r="F25" s="22"/>
    </row>
    <row r="26" spans="2:6" x14ac:dyDescent="0.3">
      <c r="B26" s="82"/>
      <c r="C26" s="82"/>
      <c r="D26" s="82"/>
      <c r="E26" s="82"/>
      <c r="F26" s="22"/>
    </row>
    <row r="27" spans="2:6" x14ac:dyDescent="0.3">
      <c r="B27" s="82"/>
      <c r="C27" s="82"/>
      <c r="D27" s="82"/>
      <c r="E27" s="82"/>
      <c r="F27" s="22"/>
    </row>
    <row r="28" spans="2:6" x14ac:dyDescent="0.3">
      <c r="B28" s="82"/>
      <c r="C28" s="82"/>
      <c r="D28" s="82"/>
      <c r="E28" s="82"/>
      <c r="F28" s="22"/>
    </row>
    <row r="29" spans="2:6" x14ac:dyDescent="0.3">
      <c r="B29" s="22"/>
      <c r="C29" s="22"/>
      <c r="D29" s="22"/>
      <c r="E29" s="22"/>
      <c r="F29" s="22"/>
    </row>
  </sheetData>
  <mergeCells count="4">
    <mergeCell ref="B4:E10"/>
    <mergeCell ref="B12:E15"/>
    <mergeCell ref="B17:E21"/>
    <mergeCell ref="B23:E28"/>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EA30C-F3C5-4F25-9686-067EBF767955}">
  <dimension ref="E2:T5003"/>
  <sheetViews>
    <sheetView zoomScale="124" workbookViewId="0">
      <selection activeCell="D1" sqref="D1"/>
    </sheetView>
  </sheetViews>
  <sheetFormatPr defaultRowHeight="14.4" x14ac:dyDescent="0.3"/>
  <cols>
    <col min="5" max="5" width="21" customWidth="1"/>
    <col min="19" max="19" width="35.5546875" customWidth="1"/>
  </cols>
  <sheetData>
    <row r="2" spans="5:20" x14ac:dyDescent="0.3">
      <c r="P2" t="s">
        <v>431</v>
      </c>
    </row>
    <row r="3" spans="5:20" x14ac:dyDescent="0.3">
      <c r="J3" t="s">
        <v>429</v>
      </c>
      <c r="M3">
        <v>1</v>
      </c>
      <c r="N3">
        <f ca="1">J13</f>
        <v>-601377</v>
      </c>
      <c r="P3">
        <v>-569881</v>
      </c>
    </row>
    <row r="4" spans="5:20" x14ac:dyDescent="0.3">
      <c r="E4" t="s">
        <v>418</v>
      </c>
      <c r="F4">
        <v>10000</v>
      </c>
      <c r="G4">
        <v>25000</v>
      </c>
      <c r="J4">
        <f ca="1">RANDBETWEEN(F4,G4)</f>
        <v>10857</v>
      </c>
      <c r="M4">
        <v>2</v>
      </c>
      <c r="N4">
        <f t="dataTable" ref="N4:N5003" dt2D="0" dtr="0" r1="R3" ca="1"/>
        <v>-691297</v>
      </c>
      <c r="P4">
        <v>-327878</v>
      </c>
      <c r="S4" t="s">
        <v>432</v>
      </c>
    </row>
    <row r="5" spans="5:20" x14ac:dyDescent="0.3">
      <c r="E5" t="s">
        <v>419</v>
      </c>
      <c r="F5">
        <v>5000</v>
      </c>
      <c r="G5">
        <v>7500</v>
      </c>
      <c r="J5">
        <f ca="1">RANDBETWEEN(F5,G5)</f>
        <v>6932</v>
      </c>
      <c r="M5">
        <v>3</v>
      </c>
      <c r="N5">
        <v>-500959</v>
      </c>
      <c r="P5">
        <v>98771</v>
      </c>
      <c r="S5" t="s">
        <v>433</v>
      </c>
      <c r="T5">
        <f>MIN(datapoints)</f>
        <v>-893930</v>
      </c>
    </row>
    <row r="6" spans="5:20" x14ac:dyDescent="0.3">
      <c r="E6" t="s">
        <v>421</v>
      </c>
      <c r="F6">
        <v>40000</v>
      </c>
      <c r="G6">
        <v>80000</v>
      </c>
      <c r="J6">
        <f t="shared" ref="J6:J8" ca="1" si="0">RANDBETWEEN(F6,G6)</f>
        <v>64181</v>
      </c>
      <c r="M6">
        <v>4</v>
      </c>
      <c r="N6">
        <v>157408</v>
      </c>
      <c r="P6">
        <v>-549953</v>
      </c>
      <c r="S6" t="s">
        <v>434</v>
      </c>
      <c r="T6">
        <f>MAX(datapoints)</f>
        <v>1192602</v>
      </c>
    </row>
    <row r="7" spans="5:20" x14ac:dyDescent="0.3">
      <c r="E7" t="s">
        <v>422</v>
      </c>
      <c r="F7">
        <v>20</v>
      </c>
      <c r="G7">
        <v>30</v>
      </c>
      <c r="J7">
        <f t="shared" ca="1" si="0"/>
        <v>21</v>
      </c>
      <c r="M7">
        <v>5</v>
      </c>
      <c r="N7">
        <v>-644279</v>
      </c>
      <c r="P7">
        <v>126318</v>
      </c>
    </row>
    <row r="8" spans="5:20" x14ac:dyDescent="0.3">
      <c r="E8" t="s">
        <v>420</v>
      </c>
      <c r="F8">
        <v>500</v>
      </c>
      <c r="G8">
        <v>5000</v>
      </c>
      <c r="J8">
        <f t="shared" ca="1" si="0"/>
        <v>1043</v>
      </c>
      <c r="M8">
        <v>6</v>
      </c>
      <c r="N8">
        <v>795290</v>
      </c>
      <c r="P8">
        <v>-326350</v>
      </c>
      <c r="S8" t="s">
        <v>435</v>
      </c>
      <c r="T8">
        <f>COUNTIF(datapoints, "&gt;=0")</f>
        <v>2502</v>
      </c>
    </row>
    <row r="9" spans="5:20" x14ac:dyDescent="0.3">
      <c r="M9">
        <v>7</v>
      </c>
      <c r="N9">
        <v>-42810</v>
      </c>
      <c r="P9">
        <v>-382129</v>
      </c>
    </row>
    <row r="10" spans="5:20" x14ac:dyDescent="0.3">
      <c r="H10" t="s">
        <v>425</v>
      </c>
      <c r="J10">
        <f ca="1">J8*J7*12</f>
        <v>262836</v>
      </c>
      <c r="M10">
        <v>8</v>
      </c>
      <c r="N10">
        <v>-76796</v>
      </c>
      <c r="P10">
        <v>404110</v>
      </c>
      <c r="S10" t="s">
        <v>436</v>
      </c>
      <c r="T10">
        <f>T8/5000</f>
        <v>0.50039999999999996</v>
      </c>
    </row>
    <row r="11" spans="5:20" x14ac:dyDescent="0.3">
      <c r="F11" t="s">
        <v>423</v>
      </c>
      <c r="G11" t="s">
        <v>424</v>
      </c>
      <c r="H11" t="s">
        <v>345</v>
      </c>
      <c r="J11">
        <f ca="1">J4+J5*12+J6*12</f>
        <v>864213</v>
      </c>
      <c r="M11">
        <v>9</v>
      </c>
      <c r="N11">
        <v>-839622</v>
      </c>
      <c r="P11">
        <v>-416645</v>
      </c>
    </row>
    <row r="12" spans="5:20" x14ac:dyDescent="0.3">
      <c r="M12">
        <v>10</v>
      </c>
      <c r="N12">
        <v>78045</v>
      </c>
      <c r="P12">
        <v>364123</v>
      </c>
      <c r="S12" t="s">
        <v>437</v>
      </c>
    </row>
    <row r="13" spans="5:20" x14ac:dyDescent="0.3">
      <c r="E13" t="s">
        <v>418</v>
      </c>
      <c r="F13">
        <f>G4</f>
        <v>25000</v>
      </c>
      <c r="G13">
        <f>F4</f>
        <v>10000</v>
      </c>
      <c r="H13" t="s">
        <v>428</v>
      </c>
      <c r="J13">
        <f ca="1">J10-J11</f>
        <v>-601377</v>
      </c>
      <c r="M13">
        <v>11</v>
      </c>
      <c r="N13">
        <v>-486527</v>
      </c>
      <c r="P13">
        <v>-774405</v>
      </c>
    </row>
    <row r="14" spans="5:20" x14ac:dyDescent="0.3">
      <c r="E14" t="s">
        <v>419</v>
      </c>
      <c r="F14">
        <f>G5</f>
        <v>7500</v>
      </c>
      <c r="G14">
        <f>F5</f>
        <v>5000</v>
      </c>
      <c r="M14">
        <v>12</v>
      </c>
      <c r="N14">
        <v>-341598</v>
      </c>
      <c r="P14">
        <v>-684870</v>
      </c>
      <c r="S14" t="s">
        <v>438</v>
      </c>
    </row>
    <row r="15" spans="5:20" x14ac:dyDescent="0.3">
      <c r="E15" t="s">
        <v>421</v>
      </c>
      <c r="F15">
        <f>G6</f>
        <v>80000</v>
      </c>
      <c r="G15">
        <f>F6</f>
        <v>40000</v>
      </c>
      <c r="M15">
        <v>13</v>
      </c>
      <c r="N15">
        <v>-315873</v>
      </c>
      <c r="P15">
        <v>-126641</v>
      </c>
    </row>
    <row r="16" spans="5:20" x14ac:dyDescent="0.3">
      <c r="E16" t="s">
        <v>422</v>
      </c>
      <c r="F16">
        <f>F7</f>
        <v>20</v>
      </c>
      <c r="G16">
        <f>G7</f>
        <v>30</v>
      </c>
      <c r="M16">
        <v>14</v>
      </c>
      <c r="N16">
        <v>694449</v>
      </c>
      <c r="P16">
        <v>372459</v>
      </c>
      <c r="S16" t="s">
        <v>439</v>
      </c>
    </row>
    <row r="17" spans="5:19" x14ac:dyDescent="0.3">
      <c r="E17" t="s">
        <v>426</v>
      </c>
      <c r="F17">
        <v>500</v>
      </c>
      <c r="G17">
        <v>5000</v>
      </c>
      <c r="M17">
        <v>15</v>
      </c>
      <c r="N17">
        <v>-252600</v>
      </c>
      <c r="P17">
        <v>-810236</v>
      </c>
    </row>
    <row r="18" spans="5:19" x14ac:dyDescent="0.3">
      <c r="M18">
        <v>16</v>
      </c>
      <c r="N18">
        <v>-488925</v>
      </c>
      <c r="P18">
        <v>-381439</v>
      </c>
      <c r="S18" t="s">
        <v>440</v>
      </c>
    </row>
    <row r="19" spans="5:19" x14ac:dyDescent="0.3">
      <c r="E19" t="s">
        <v>427</v>
      </c>
      <c r="F19">
        <f>F17*F16*12</f>
        <v>120000</v>
      </c>
      <c r="G19">
        <f>G17*G16*12</f>
        <v>1800000</v>
      </c>
      <c r="M19">
        <v>17</v>
      </c>
      <c r="N19">
        <v>-181606</v>
      </c>
      <c r="P19">
        <v>730140</v>
      </c>
    </row>
    <row r="20" spans="5:19" x14ac:dyDescent="0.3">
      <c r="E20" t="s">
        <v>345</v>
      </c>
      <c r="F20">
        <f>F13+F14*12+F15*12</f>
        <v>1075000</v>
      </c>
      <c r="G20">
        <f>G13+G14*12+G15*12</f>
        <v>550000</v>
      </c>
      <c r="M20">
        <v>18</v>
      </c>
      <c r="N20">
        <v>709136</v>
      </c>
      <c r="P20">
        <v>412584</v>
      </c>
    </row>
    <row r="21" spans="5:19" x14ac:dyDescent="0.3">
      <c r="M21">
        <v>19</v>
      </c>
      <c r="N21">
        <v>-686567</v>
      </c>
      <c r="P21">
        <v>339664</v>
      </c>
    </row>
    <row r="22" spans="5:19" x14ac:dyDescent="0.3">
      <c r="E22" t="s">
        <v>428</v>
      </c>
      <c r="F22">
        <f>F19-F20</f>
        <v>-955000</v>
      </c>
      <c r="G22">
        <f>G19-G20</f>
        <v>1250000</v>
      </c>
      <c r="M22">
        <v>20</v>
      </c>
      <c r="N22">
        <v>-544908</v>
      </c>
      <c r="P22">
        <v>-339370</v>
      </c>
    </row>
    <row r="23" spans="5:19" x14ac:dyDescent="0.3">
      <c r="M23">
        <v>21</v>
      </c>
      <c r="N23">
        <v>259982</v>
      </c>
      <c r="P23">
        <v>1052165</v>
      </c>
    </row>
    <row r="24" spans="5:19" x14ac:dyDescent="0.3">
      <c r="M24">
        <v>22</v>
      </c>
      <c r="N24">
        <v>535833</v>
      </c>
      <c r="P24">
        <v>-368411</v>
      </c>
    </row>
    <row r="25" spans="5:19" x14ac:dyDescent="0.3">
      <c r="M25">
        <v>23</v>
      </c>
      <c r="N25">
        <v>-188558</v>
      </c>
      <c r="P25">
        <v>94899</v>
      </c>
    </row>
    <row r="26" spans="5:19" x14ac:dyDescent="0.3">
      <c r="M26">
        <v>24</v>
      </c>
      <c r="N26">
        <v>-601039</v>
      </c>
      <c r="P26">
        <v>-25334</v>
      </c>
    </row>
    <row r="27" spans="5:19" x14ac:dyDescent="0.3">
      <c r="M27">
        <v>25</v>
      </c>
      <c r="N27">
        <v>530707</v>
      </c>
      <c r="P27">
        <v>286674</v>
      </c>
    </row>
    <row r="28" spans="5:19" x14ac:dyDescent="0.3">
      <c r="M28">
        <v>26</v>
      </c>
      <c r="N28">
        <v>-389003</v>
      </c>
      <c r="P28">
        <v>175367</v>
      </c>
    </row>
    <row r="29" spans="5:19" x14ac:dyDescent="0.3">
      <c r="M29">
        <v>27</v>
      </c>
      <c r="N29">
        <v>378933</v>
      </c>
      <c r="P29">
        <v>155133</v>
      </c>
    </row>
    <row r="30" spans="5:19" x14ac:dyDescent="0.3">
      <c r="M30">
        <v>28</v>
      </c>
      <c r="N30">
        <v>163035</v>
      </c>
      <c r="P30">
        <v>-382943</v>
      </c>
    </row>
    <row r="31" spans="5:19" x14ac:dyDescent="0.3">
      <c r="M31">
        <v>29</v>
      </c>
      <c r="N31">
        <v>-462841</v>
      </c>
      <c r="P31">
        <v>-177539</v>
      </c>
    </row>
    <row r="32" spans="5:19" x14ac:dyDescent="0.3">
      <c r="M32">
        <v>30</v>
      </c>
      <c r="N32">
        <v>-245241</v>
      </c>
      <c r="P32">
        <v>-513847</v>
      </c>
    </row>
    <row r="33" spans="13:16" x14ac:dyDescent="0.3">
      <c r="M33">
        <v>31</v>
      </c>
      <c r="N33">
        <v>-244620</v>
      </c>
      <c r="P33">
        <v>-167160</v>
      </c>
    </row>
    <row r="34" spans="13:16" x14ac:dyDescent="0.3">
      <c r="M34">
        <v>32</v>
      </c>
      <c r="N34">
        <v>-492802</v>
      </c>
      <c r="P34">
        <v>-296743</v>
      </c>
    </row>
    <row r="35" spans="13:16" x14ac:dyDescent="0.3">
      <c r="M35">
        <v>33</v>
      </c>
      <c r="N35">
        <v>116914</v>
      </c>
      <c r="P35">
        <v>-487034</v>
      </c>
    </row>
    <row r="36" spans="13:16" x14ac:dyDescent="0.3">
      <c r="M36">
        <v>34</v>
      </c>
      <c r="N36">
        <v>673378</v>
      </c>
      <c r="P36">
        <v>720507</v>
      </c>
    </row>
    <row r="37" spans="13:16" x14ac:dyDescent="0.3">
      <c r="M37">
        <v>35</v>
      </c>
      <c r="N37">
        <v>137115</v>
      </c>
      <c r="P37">
        <v>376622</v>
      </c>
    </row>
    <row r="38" spans="13:16" x14ac:dyDescent="0.3">
      <c r="M38">
        <v>36</v>
      </c>
      <c r="N38">
        <v>-37887</v>
      </c>
      <c r="P38">
        <v>-4493</v>
      </c>
    </row>
    <row r="39" spans="13:16" x14ac:dyDescent="0.3">
      <c r="M39">
        <v>37</v>
      </c>
      <c r="N39">
        <v>85249</v>
      </c>
      <c r="P39">
        <v>65629</v>
      </c>
    </row>
    <row r="40" spans="13:16" x14ac:dyDescent="0.3">
      <c r="M40">
        <v>38</v>
      </c>
      <c r="N40">
        <v>360970</v>
      </c>
      <c r="P40">
        <v>163554</v>
      </c>
    </row>
    <row r="41" spans="13:16" x14ac:dyDescent="0.3">
      <c r="M41">
        <v>39</v>
      </c>
      <c r="N41">
        <v>25475</v>
      </c>
      <c r="P41">
        <v>-31645</v>
      </c>
    </row>
    <row r="42" spans="13:16" x14ac:dyDescent="0.3">
      <c r="M42">
        <v>40</v>
      </c>
      <c r="N42">
        <v>213186</v>
      </c>
      <c r="P42">
        <v>-709685</v>
      </c>
    </row>
    <row r="43" spans="13:16" x14ac:dyDescent="0.3">
      <c r="M43">
        <v>41</v>
      </c>
      <c r="N43">
        <v>46273</v>
      </c>
      <c r="P43">
        <v>88702</v>
      </c>
    </row>
    <row r="44" spans="13:16" x14ac:dyDescent="0.3">
      <c r="M44">
        <v>42</v>
      </c>
      <c r="N44">
        <v>334974</v>
      </c>
      <c r="P44">
        <v>464526</v>
      </c>
    </row>
    <row r="45" spans="13:16" x14ac:dyDescent="0.3">
      <c r="M45">
        <v>43</v>
      </c>
      <c r="N45">
        <v>283525</v>
      </c>
      <c r="P45">
        <v>-470121</v>
      </c>
    </row>
    <row r="46" spans="13:16" x14ac:dyDescent="0.3">
      <c r="M46">
        <v>44</v>
      </c>
      <c r="N46">
        <v>558105</v>
      </c>
      <c r="P46">
        <v>-866097</v>
      </c>
    </row>
    <row r="47" spans="13:16" x14ac:dyDescent="0.3">
      <c r="M47">
        <v>45</v>
      </c>
      <c r="N47">
        <v>-511474</v>
      </c>
      <c r="P47">
        <v>-340599</v>
      </c>
    </row>
    <row r="48" spans="13:16" x14ac:dyDescent="0.3">
      <c r="M48">
        <v>46</v>
      </c>
      <c r="N48">
        <v>30517</v>
      </c>
      <c r="P48">
        <v>898764</v>
      </c>
    </row>
    <row r="49" spans="13:16" x14ac:dyDescent="0.3">
      <c r="M49">
        <v>47</v>
      </c>
      <c r="N49">
        <v>26210</v>
      </c>
      <c r="P49">
        <v>-809245</v>
      </c>
    </row>
    <row r="50" spans="13:16" x14ac:dyDescent="0.3">
      <c r="M50">
        <v>48</v>
      </c>
      <c r="N50">
        <v>292266</v>
      </c>
      <c r="P50">
        <v>-27547</v>
      </c>
    </row>
    <row r="51" spans="13:16" x14ac:dyDescent="0.3">
      <c r="M51">
        <v>49</v>
      </c>
      <c r="N51">
        <v>373724</v>
      </c>
      <c r="P51">
        <v>-213766</v>
      </c>
    </row>
    <row r="52" spans="13:16" x14ac:dyDescent="0.3">
      <c r="M52">
        <v>50</v>
      </c>
      <c r="N52">
        <v>-479946</v>
      </c>
      <c r="P52">
        <v>534222</v>
      </c>
    </row>
    <row r="53" spans="13:16" x14ac:dyDescent="0.3">
      <c r="M53">
        <v>51</v>
      </c>
      <c r="N53">
        <v>-13670</v>
      </c>
      <c r="P53">
        <v>113742</v>
      </c>
    </row>
    <row r="54" spans="13:16" x14ac:dyDescent="0.3">
      <c r="M54">
        <v>52</v>
      </c>
      <c r="N54">
        <v>-612897</v>
      </c>
      <c r="P54">
        <v>-56954</v>
      </c>
    </row>
    <row r="55" spans="13:16" x14ac:dyDescent="0.3">
      <c r="M55">
        <v>53</v>
      </c>
      <c r="N55">
        <v>484258</v>
      </c>
      <c r="P55">
        <v>-456966</v>
      </c>
    </row>
    <row r="56" spans="13:16" x14ac:dyDescent="0.3">
      <c r="M56">
        <v>54</v>
      </c>
      <c r="N56">
        <v>-37385</v>
      </c>
      <c r="P56">
        <v>21134</v>
      </c>
    </row>
    <row r="57" spans="13:16" x14ac:dyDescent="0.3">
      <c r="M57">
        <v>55</v>
      </c>
      <c r="N57">
        <v>687246</v>
      </c>
      <c r="P57">
        <v>115943</v>
      </c>
    </row>
    <row r="58" spans="13:16" x14ac:dyDescent="0.3">
      <c r="M58">
        <v>56</v>
      </c>
      <c r="N58">
        <v>123190</v>
      </c>
      <c r="P58">
        <v>219158</v>
      </c>
    </row>
    <row r="59" spans="13:16" x14ac:dyDescent="0.3">
      <c r="M59">
        <v>57</v>
      </c>
      <c r="N59">
        <v>-349323</v>
      </c>
      <c r="P59">
        <v>-92944</v>
      </c>
    </row>
    <row r="60" spans="13:16" x14ac:dyDescent="0.3">
      <c r="M60">
        <v>58</v>
      </c>
      <c r="N60">
        <v>-3773</v>
      </c>
      <c r="P60">
        <v>589142</v>
      </c>
    </row>
    <row r="61" spans="13:16" x14ac:dyDescent="0.3">
      <c r="M61">
        <v>59</v>
      </c>
      <c r="N61">
        <v>-748896</v>
      </c>
      <c r="P61">
        <v>-504082</v>
      </c>
    </row>
    <row r="62" spans="13:16" x14ac:dyDescent="0.3">
      <c r="M62">
        <v>60</v>
      </c>
      <c r="N62">
        <v>-276333</v>
      </c>
      <c r="P62">
        <v>125247</v>
      </c>
    </row>
    <row r="63" spans="13:16" x14ac:dyDescent="0.3">
      <c r="M63">
        <v>61</v>
      </c>
      <c r="N63">
        <v>-471333</v>
      </c>
      <c r="P63">
        <v>660594</v>
      </c>
    </row>
    <row r="64" spans="13:16" x14ac:dyDescent="0.3">
      <c r="M64">
        <v>62</v>
      </c>
      <c r="N64">
        <v>619011</v>
      </c>
      <c r="P64">
        <v>207446</v>
      </c>
    </row>
    <row r="65" spans="13:16" x14ac:dyDescent="0.3">
      <c r="M65">
        <v>63</v>
      </c>
      <c r="N65">
        <v>55379</v>
      </c>
      <c r="P65">
        <v>503021</v>
      </c>
    </row>
    <row r="66" spans="13:16" x14ac:dyDescent="0.3">
      <c r="M66">
        <v>64</v>
      </c>
      <c r="N66">
        <v>-243564</v>
      </c>
      <c r="P66">
        <v>-506918</v>
      </c>
    </row>
    <row r="67" spans="13:16" x14ac:dyDescent="0.3">
      <c r="M67">
        <v>65</v>
      </c>
      <c r="N67">
        <v>132865</v>
      </c>
      <c r="P67">
        <v>20692</v>
      </c>
    </row>
    <row r="68" spans="13:16" x14ac:dyDescent="0.3">
      <c r="M68">
        <v>66</v>
      </c>
      <c r="N68">
        <v>-842097</v>
      </c>
      <c r="P68">
        <v>329404</v>
      </c>
    </row>
    <row r="69" spans="13:16" x14ac:dyDescent="0.3">
      <c r="M69">
        <v>67</v>
      </c>
      <c r="N69">
        <v>-373495</v>
      </c>
      <c r="P69">
        <v>2258</v>
      </c>
    </row>
    <row r="70" spans="13:16" x14ac:dyDescent="0.3">
      <c r="M70">
        <v>68</v>
      </c>
      <c r="N70">
        <v>-108573</v>
      </c>
      <c r="P70">
        <v>269231</v>
      </c>
    </row>
    <row r="71" spans="13:16" x14ac:dyDescent="0.3">
      <c r="M71">
        <v>69</v>
      </c>
      <c r="N71">
        <v>-350579</v>
      </c>
      <c r="P71">
        <v>292069</v>
      </c>
    </row>
    <row r="72" spans="13:16" x14ac:dyDescent="0.3">
      <c r="M72">
        <v>70</v>
      </c>
      <c r="N72">
        <v>67296</v>
      </c>
      <c r="P72">
        <v>-268809</v>
      </c>
    </row>
    <row r="73" spans="13:16" x14ac:dyDescent="0.3">
      <c r="M73">
        <v>71</v>
      </c>
      <c r="N73">
        <v>-156746</v>
      </c>
      <c r="P73">
        <v>218580</v>
      </c>
    </row>
    <row r="74" spans="13:16" x14ac:dyDescent="0.3">
      <c r="M74">
        <v>72</v>
      </c>
      <c r="N74">
        <v>368646</v>
      </c>
      <c r="P74">
        <v>-347548</v>
      </c>
    </row>
    <row r="75" spans="13:16" x14ac:dyDescent="0.3">
      <c r="M75">
        <v>73</v>
      </c>
      <c r="N75">
        <v>-428104</v>
      </c>
      <c r="P75">
        <v>748916</v>
      </c>
    </row>
    <row r="76" spans="13:16" x14ac:dyDescent="0.3">
      <c r="M76">
        <v>74</v>
      </c>
      <c r="N76">
        <v>908614</v>
      </c>
      <c r="P76">
        <v>185640</v>
      </c>
    </row>
    <row r="77" spans="13:16" x14ac:dyDescent="0.3">
      <c r="M77">
        <v>75</v>
      </c>
      <c r="N77">
        <v>78081</v>
      </c>
      <c r="P77">
        <v>207306</v>
      </c>
    </row>
    <row r="78" spans="13:16" x14ac:dyDescent="0.3">
      <c r="M78">
        <v>76</v>
      </c>
      <c r="N78">
        <v>362714</v>
      </c>
      <c r="P78">
        <v>-231870</v>
      </c>
    </row>
    <row r="79" spans="13:16" x14ac:dyDescent="0.3">
      <c r="M79">
        <v>77</v>
      </c>
      <c r="N79">
        <v>-388946</v>
      </c>
      <c r="P79">
        <v>417008</v>
      </c>
    </row>
    <row r="80" spans="13:16" x14ac:dyDescent="0.3">
      <c r="M80">
        <v>78</v>
      </c>
      <c r="N80">
        <v>-773274</v>
      </c>
      <c r="P80">
        <v>348674</v>
      </c>
    </row>
    <row r="81" spans="13:16" x14ac:dyDescent="0.3">
      <c r="M81">
        <v>79</v>
      </c>
      <c r="N81">
        <v>154203</v>
      </c>
      <c r="P81">
        <v>-337524</v>
      </c>
    </row>
    <row r="82" spans="13:16" x14ac:dyDescent="0.3">
      <c r="M82">
        <v>80</v>
      </c>
      <c r="N82">
        <v>-131904</v>
      </c>
      <c r="P82">
        <v>-359971</v>
      </c>
    </row>
    <row r="83" spans="13:16" x14ac:dyDescent="0.3">
      <c r="M83">
        <v>81</v>
      </c>
      <c r="N83">
        <v>-290489</v>
      </c>
      <c r="P83">
        <v>746822</v>
      </c>
    </row>
    <row r="84" spans="13:16" x14ac:dyDescent="0.3">
      <c r="M84">
        <v>82</v>
      </c>
      <c r="N84">
        <v>700976</v>
      </c>
      <c r="P84">
        <v>362682</v>
      </c>
    </row>
    <row r="85" spans="13:16" x14ac:dyDescent="0.3">
      <c r="M85">
        <v>83</v>
      </c>
      <c r="N85">
        <v>821058</v>
      </c>
      <c r="P85">
        <v>130437</v>
      </c>
    </row>
    <row r="86" spans="13:16" x14ac:dyDescent="0.3">
      <c r="M86">
        <v>84</v>
      </c>
      <c r="N86">
        <v>-686258</v>
      </c>
      <c r="P86">
        <v>-267820</v>
      </c>
    </row>
    <row r="87" spans="13:16" x14ac:dyDescent="0.3">
      <c r="M87">
        <v>85</v>
      </c>
      <c r="N87">
        <v>309669</v>
      </c>
      <c r="P87">
        <v>-392766</v>
      </c>
    </row>
    <row r="88" spans="13:16" x14ac:dyDescent="0.3">
      <c r="M88">
        <v>86</v>
      </c>
      <c r="N88">
        <v>-576530</v>
      </c>
      <c r="P88">
        <v>-165683</v>
      </c>
    </row>
    <row r="89" spans="13:16" x14ac:dyDescent="0.3">
      <c r="M89">
        <v>87</v>
      </c>
      <c r="N89">
        <v>-88967</v>
      </c>
      <c r="P89">
        <v>-601343</v>
      </c>
    </row>
    <row r="90" spans="13:16" x14ac:dyDescent="0.3">
      <c r="M90">
        <v>88</v>
      </c>
      <c r="N90">
        <v>-650024</v>
      </c>
      <c r="P90">
        <v>-296479</v>
      </c>
    </row>
    <row r="91" spans="13:16" x14ac:dyDescent="0.3">
      <c r="M91">
        <v>89</v>
      </c>
      <c r="N91">
        <v>746396</v>
      </c>
      <c r="P91">
        <v>-559568</v>
      </c>
    </row>
    <row r="92" spans="13:16" x14ac:dyDescent="0.3">
      <c r="M92">
        <v>90</v>
      </c>
      <c r="N92">
        <v>174983</v>
      </c>
      <c r="P92">
        <v>88087</v>
      </c>
    </row>
    <row r="93" spans="13:16" x14ac:dyDescent="0.3">
      <c r="M93">
        <v>91</v>
      </c>
      <c r="N93">
        <v>857367</v>
      </c>
      <c r="P93">
        <v>-819186</v>
      </c>
    </row>
    <row r="94" spans="13:16" x14ac:dyDescent="0.3">
      <c r="M94">
        <v>92</v>
      </c>
      <c r="N94">
        <v>-477949</v>
      </c>
      <c r="P94">
        <v>-654621</v>
      </c>
    </row>
    <row r="95" spans="13:16" x14ac:dyDescent="0.3">
      <c r="M95">
        <v>93</v>
      </c>
      <c r="N95">
        <v>701327</v>
      </c>
      <c r="P95">
        <v>707686</v>
      </c>
    </row>
    <row r="96" spans="13:16" x14ac:dyDescent="0.3">
      <c r="M96">
        <v>94</v>
      </c>
      <c r="N96">
        <v>177743</v>
      </c>
      <c r="P96">
        <v>210837</v>
      </c>
    </row>
    <row r="97" spans="13:16" x14ac:dyDescent="0.3">
      <c r="M97">
        <v>95</v>
      </c>
      <c r="N97">
        <v>-541004</v>
      </c>
      <c r="P97">
        <v>75932</v>
      </c>
    </row>
    <row r="98" spans="13:16" x14ac:dyDescent="0.3">
      <c r="M98">
        <v>96</v>
      </c>
      <c r="N98">
        <v>88808</v>
      </c>
      <c r="P98">
        <v>490524</v>
      </c>
    </row>
    <row r="99" spans="13:16" x14ac:dyDescent="0.3">
      <c r="M99">
        <v>97</v>
      </c>
      <c r="N99">
        <v>-425111</v>
      </c>
      <c r="P99">
        <v>-46836</v>
      </c>
    </row>
    <row r="100" spans="13:16" x14ac:dyDescent="0.3">
      <c r="M100">
        <v>98</v>
      </c>
      <c r="N100">
        <v>-690335</v>
      </c>
      <c r="P100">
        <v>-538649</v>
      </c>
    </row>
    <row r="101" spans="13:16" x14ac:dyDescent="0.3">
      <c r="M101">
        <v>99</v>
      </c>
      <c r="N101">
        <v>151930</v>
      </c>
      <c r="P101">
        <v>77549</v>
      </c>
    </row>
    <row r="102" spans="13:16" x14ac:dyDescent="0.3">
      <c r="M102">
        <v>100</v>
      </c>
      <c r="N102">
        <v>-85037</v>
      </c>
      <c r="P102">
        <v>774926</v>
      </c>
    </row>
    <row r="103" spans="13:16" x14ac:dyDescent="0.3">
      <c r="M103">
        <v>101</v>
      </c>
      <c r="N103">
        <v>-601280</v>
      </c>
      <c r="P103">
        <v>-401678</v>
      </c>
    </row>
    <row r="104" spans="13:16" x14ac:dyDescent="0.3">
      <c r="M104">
        <v>102</v>
      </c>
      <c r="N104">
        <v>68348</v>
      </c>
      <c r="P104">
        <v>904857</v>
      </c>
    </row>
    <row r="105" spans="13:16" x14ac:dyDescent="0.3">
      <c r="M105">
        <v>103</v>
      </c>
      <c r="N105">
        <v>229602</v>
      </c>
      <c r="P105">
        <v>285588</v>
      </c>
    </row>
    <row r="106" spans="13:16" x14ac:dyDescent="0.3">
      <c r="M106">
        <v>104</v>
      </c>
      <c r="N106">
        <v>-462617</v>
      </c>
      <c r="P106">
        <v>-192375</v>
      </c>
    </row>
    <row r="107" spans="13:16" x14ac:dyDescent="0.3">
      <c r="M107">
        <v>105</v>
      </c>
      <c r="N107">
        <v>-60639</v>
      </c>
      <c r="P107">
        <v>-655746</v>
      </c>
    </row>
    <row r="108" spans="13:16" x14ac:dyDescent="0.3">
      <c r="M108">
        <v>106</v>
      </c>
      <c r="N108">
        <v>664263</v>
      </c>
      <c r="P108">
        <v>476319</v>
      </c>
    </row>
    <row r="109" spans="13:16" x14ac:dyDescent="0.3">
      <c r="M109">
        <v>107</v>
      </c>
      <c r="N109">
        <v>981695</v>
      </c>
      <c r="P109">
        <v>553323</v>
      </c>
    </row>
    <row r="110" spans="13:16" x14ac:dyDescent="0.3">
      <c r="M110">
        <v>108</v>
      </c>
      <c r="N110">
        <v>-69180</v>
      </c>
      <c r="P110">
        <v>512553</v>
      </c>
    </row>
    <row r="111" spans="13:16" x14ac:dyDescent="0.3">
      <c r="M111">
        <v>109</v>
      </c>
      <c r="N111">
        <v>-285032</v>
      </c>
      <c r="P111">
        <v>114465</v>
      </c>
    </row>
    <row r="112" spans="13:16" x14ac:dyDescent="0.3">
      <c r="M112">
        <v>110</v>
      </c>
      <c r="N112">
        <v>213572</v>
      </c>
      <c r="P112">
        <v>479523</v>
      </c>
    </row>
    <row r="113" spans="13:16" x14ac:dyDescent="0.3">
      <c r="M113">
        <v>111</v>
      </c>
      <c r="N113">
        <v>-253721</v>
      </c>
      <c r="P113">
        <v>396770</v>
      </c>
    </row>
    <row r="114" spans="13:16" x14ac:dyDescent="0.3">
      <c r="M114">
        <v>112</v>
      </c>
      <c r="N114">
        <v>59621</v>
      </c>
      <c r="P114">
        <v>546218</v>
      </c>
    </row>
    <row r="115" spans="13:16" x14ac:dyDescent="0.3">
      <c r="M115">
        <v>113</v>
      </c>
      <c r="N115">
        <v>880511</v>
      </c>
      <c r="P115">
        <v>839702</v>
      </c>
    </row>
    <row r="116" spans="13:16" x14ac:dyDescent="0.3">
      <c r="M116">
        <v>114</v>
      </c>
      <c r="N116">
        <v>-471351</v>
      </c>
      <c r="P116">
        <v>297646</v>
      </c>
    </row>
    <row r="117" spans="13:16" x14ac:dyDescent="0.3">
      <c r="M117">
        <v>115</v>
      </c>
      <c r="N117">
        <v>912241</v>
      </c>
      <c r="P117">
        <v>-521994</v>
      </c>
    </row>
    <row r="118" spans="13:16" x14ac:dyDescent="0.3">
      <c r="M118">
        <v>116</v>
      </c>
      <c r="N118">
        <v>-59626</v>
      </c>
      <c r="P118">
        <v>-162288</v>
      </c>
    </row>
    <row r="119" spans="13:16" x14ac:dyDescent="0.3">
      <c r="M119">
        <v>117</v>
      </c>
      <c r="N119">
        <v>-75906</v>
      </c>
      <c r="P119">
        <v>694602</v>
      </c>
    </row>
    <row r="120" spans="13:16" x14ac:dyDescent="0.3">
      <c r="M120">
        <v>118</v>
      </c>
      <c r="N120">
        <v>-444367</v>
      </c>
      <c r="P120">
        <v>-323841</v>
      </c>
    </row>
    <row r="121" spans="13:16" x14ac:dyDescent="0.3">
      <c r="M121">
        <v>119</v>
      </c>
      <c r="N121">
        <v>-620646</v>
      </c>
      <c r="P121">
        <v>-58406</v>
      </c>
    </row>
    <row r="122" spans="13:16" x14ac:dyDescent="0.3">
      <c r="M122">
        <v>120</v>
      </c>
      <c r="N122">
        <v>-304437</v>
      </c>
      <c r="P122">
        <v>-123485</v>
      </c>
    </row>
    <row r="123" spans="13:16" x14ac:dyDescent="0.3">
      <c r="M123">
        <v>121</v>
      </c>
      <c r="N123">
        <v>212625</v>
      </c>
      <c r="P123">
        <v>-215413</v>
      </c>
    </row>
    <row r="124" spans="13:16" x14ac:dyDescent="0.3">
      <c r="M124">
        <v>122</v>
      </c>
      <c r="N124">
        <v>-255986</v>
      </c>
      <c r="P124">
        <v>17372</v>
      </c>
    </row>
    <row r="125" spans="13:16" x14ac:dyDescent="0.3">
      <c r="M125">
        <v>123</v>
      </c>
      <c r="N125">
        <v>-474653</v>
      </c>
      <c r="P125">
        <v>-133379</v>
      </c>
    </row>
    <row r="126" spans="13:16" x14ac:dyDescent="0.3">
      <c r="M126">
        <v>124</v>
      </c>
      <c r="N126">
        <v>16492</v>
      </c>
      <c r="P126">
        <v>-349386</v>
      </c>
    </row>
    <row r="127" spans="13:16" x14ac:dyDescent="0.3">
      <c r="M127">
        <v>125</v>
      </c>
      <c r="N127">
        <v>-191468</v>
      </c>
      <c r="P127">
        <v>-673068</v>
      </c>
    </row>
    <row r="128" spans="13:16" x14ac:dyDescent="0.3">
      <c r="M128">
        <v>126</v>
      </c>
      <c r="N128">
        <v>657781</v>
      </c>
      <c r="P128">
        <v>-399261</v>
      </c>
    </row>
    <row r="129" spans="13:16" x14ac:dyDescent="0.3">
      <c r="M129">
        <v>127</v>
      </c>
      <c r="N129">
        <v>15970</v>
      </c>
      <c r="P129">
        <v>-712109</v>
      </c>
    </row>
    <row r="130" spans="13:16" x14ac:dyDescent="0.3">
      <c r="M130">
        <v>128</v>
      </c>
      <c r="N130">
        <v>-492974</v>
      </c>
      <c r="P130">
        <v>743816</v>
      </c>
    </row>
    <row r="131" spans="13:16" x14ac:dyDescent="0.3">
      <c r="M131">
        <v>129</v>
      </c>
      <c r="N131">
        <v>-383367</v>
      </c>
      <c r="P131">
        <v>-676964</v>
      </c>
    </row>
    <row r="132" spans="13:16" x14ac:dyDescent="0.3">
      <c r="M132">
        <v>130</v>
      </c>
      <c r="N132">
        <v>703257</v>
      </c>
      <c r="P132">
        <v>354793</v>
      </c>
    </row>
    <row r="133" spans="13:16" x14ac:dyDescent="0.3">
      <c r="M133">
        <v>131</v>
      </c>
      <c r="N133">
        <v>48104</v>
      </c>
      <c r="P133">
        <v>315979</v>
      </c>
    </row>
    <row r="134" spans="13:16" x14ac:dyDescent="0.3">
      <c r="M134">
        <v>132</v>
      </c>
      <c r="N134">
        <v>-544342</v>
      </c>
      <c r="P134">
        <v>621195</v>
      </c>
    </row>
    <row r="135" spans="13:16" x14ac:dyDescent="0.3">
      <c r="M135">
        <v>133</v>
      </c>
      <c r="N135">
        <v>-15770</v>
      </c>
      <c r="P135">
        <v>-69699</v>
      </c>
    </row>
    <row r="136" spans="13:16" x14ac:dyDescent="0.3">
      <c r="M136">
        <v>134</v>
      </c>
      <c r="N136">
        <v>-189511</v>
      </c>
      <c r="P136">
        <v>249614</v>
      </c>
    </row>
    <row r="137" spans="13:16" x14ac:dyDescent="0.3">
      <c r="M137">
        <v>135</v>
      </c>
      <c r="N137">
        <v>-280559</v>
      </c>
      <c r="P137">
        <v>686668</v>
      </c>
    </row>
    <row r="138" spans="13:16" x14ac:dyDescent="0.3">
      <c r="M138">
        <v>136</v>
      </c>
      <c r="N138">
        <v>-649049</v>
      </c>
      <c r="P138">
        <v>-229237</v>
      </c>
    </row>
    <row r="139" spans="13:16" x14ac:dyDescent="0.3">
      <c r="M139">
        <v>137</v>
      </c>
      <c r="N139">
        <v>-769553</v>
      </c>
      <c r="P139">
        <v>592583</v>
      </c>
    </row>
    <row r="140" spans="13:16" x14ac:dyDescent="0.3">
      <c r="M140">
        <v>138</v>
      </c>
      <c r="N140">
        <v>512856</v>
      </c>
      <c r="P140">
        <v>-321526</v>
      </c>
    </row>
    <row r="141" spans="13:16" x14ac:dyDescent="0.3">
      <c r="M141">
        <v>139</v>
      </c>
      <c r="N141">
        <v>335691</v>
      </c>
      <c r="P141">
        <v>275121</v>
      </c>
    </row>
    <row r="142" spans="13:16" x14ac:dyDescent="0.3">
      <c r="M142">
        <v>140</v>
      </c>
      <c r="N142">
        <v>66150</v>
      </c>
      <c r="P142">
        <v>-209709</v>
      </c>
    </row>
    <row r="143" spans="13:16" x14ac:dyDescent="0.3">
      <c r="M143">
        <v>141</v>
      </c>
      <c r="N143">
        <v>143991</v>
      </c>
      <c r="P143">
        <v>-621314</v>
      </c>
    </row>
    <row r="144" spans="13:16" x14ac:dyDescent="0.3">
      <c r="M144">
        <v>142</v>
      </c>
      <c r="N144">
        <v>166599</v>
      </c>
      <c r="P144">
        <v>-251371</v>
      </c>
    </row>
    <row r="145" spans="13:16" x14ac:dyDescent="0.3">
      <c r="M145">
        <v>143</v>
      </c>
      <c r="N145">
        <v>-497444</v>
      </c>
      <c r="P145">
        <v>561969</v>
      </c>
    </row>
    <row r="146" spans="13:16" x14ac:dyDescent="0.3">
      <c r="M146">
        <v>144</v>
      </c>
      <c r="N146">
        <v>-100480</v>
      </c>
      <c r="P146">
        <v>-308846</v>
      </c>
    </row>
    <row r="147" spans="13:16" x14ac:dyDescent="0.3">
      <c r="M147">
        <v>145</v>
      </c>
      <c r="N147">
        <v>-275470</v>
      </c>
      <c r="P147">
        <v>389204</v>
      </c>
    </row>
    <row r="148" spans="13:16" x14ac:dyDescent="0.3">
      <c r="M148">
        <v>146</v>
      </c>
      <c r="N148">
        <v>229353</v>
      </c>
      <c r="P148">
        <v>-216589</v>
      </c>
    </row>
    <row r="149" spans="13:16" x14ac:dyDescent="0.3">
      <c r="M149">
        <v>147</v>
      </c>
      <c r="N149">
        <v>150307</v>
      </c>
      <c r="P149">
        <v>-264166</v>
      </c>
    </row>
    <row r="150" spans="13:16" x14ac:dyDescent="0.3">
      <c r="M150">
        <v>148</v>
      </c>
      <c r="N150">
        <v>-216600</v>
      </c>
      <c r="P150">
        <v>-383765</v>
      </c>
    </row>
    <row r="151" spans="13:16" x14ac:dyDescent="0.3">
      <c r="M151">
        <v>149</v>
      </c>
      <c r="N151">
        <v>-471811</v>
      </c>
      <c r="P151">
        <v>-465270</v>
      </c>
    </row>
    <row r="152" spans="13:16" x14ac:dyDescent="0.3">
      <c r="M152">
        <v>150</v>
      </c>
      <c r="N152">
        <v>-327364</v>
      </c>
      <c r="P152">
        <v>77065</v>
      </c>
    </row>
    <row r="153" spans="13:16" x14ac:dyDescent="0.3">
      <c r="M153">
        <v>151</v>
      </c>
      <c r="N153">
        <v>-619785</v>
      </c>
      <c r="P153">
        <v>-108216</v>
      </c>
    </row>
    <row r="154" spans="13:16" x14ac:dyDescent="0.3">
      <c r="M154">
        <v>152</v>
      </c>
      <c r="N154">
        <v>-345571</v>
      </c>
      <c r="P154">
        <v>810141</v>
      </c>
    </row>
    <row r="155" spans="13:16" x14ac:dyDescent="0.3">
      <c r="M155">
        <v>153</v>
      </c>
      <c r="N155">
        <v>109170</v>
      </c>
      <c r="P155">
        <v>-564906</v>
      </c>
    </row>
    <row r="156" spans="13:16" x14ac:dyDescent="0.3">
      <c r="M156">
        <v>154</v>
      </c>
      <c r="N156">
        <v>785740</v>
      </c>
      <c r="P156">
        <v>-358556</v>
      </c>
    </row>
    <row r="157" spans="13:16" x14ac:dyDescent="0.3">
      <c r="M157">
        <v>155</v>
      </c>
      <c r="N157">
        <v>683233</v>
      </c>
      <c r="P157">
        <v>370420</v>
      </c>
    </row>
    <row r="158" spans="13:16" x14ac:dyDescent="0.3">
      <c r="M158">
        <v>156</v>
      </c>
      <c r="N158">
        <v>145893</v>
      </c>
      <c r="P158">
        <v>161787</v>
      </c>
    </row>
    <row r="159" spans="13:16" x14ac:dyDescent="0.3">
      <c r="M159">
        <v>157</v>
      </c>
      <c r="N159">
        <v>-55531</v>
      </c>
      <c r="P159">
        <v>868011</v>
      </c>
    </row>
    <row r="160" spans="13:16" x14ac:dyDescent="0.3">
      <c r="M160">
        <v>158</v>
      </c>
      <c r="N160">
        <v>391380</v>
      </c>
      <c r="P160">
        <v>-46534</v>
      </c>
    </row>
    <row r="161" spans="13:16" x14ac:dyDescent="0.3">
      <c r="M161">
        <v>159</v>
      </c>
      <c r="N161">
        <v>-335195</v>
      </c>
      <c r="P161">
        <v>159982</v>
      </c>
    </row>
    <row r="162" spans="13:16" x14ac:dyDescent="0.3">
      <c r="M162">
        <v>160</v>
      </c>
      <c r="N162">
        <v>-491992</v>
      </c>
      <c r="P162">
        <v>484148</v>
      </c>
    </row>
    <row r="163" spans="13:16" x14ac:dyDescent="0.3">
      <c r="M163">
        <v>161</v>
      </c>
      <c r="N163">
        <v>-459566</v>
      </c>
      <c r="P163">
        <v>-77379</v>
      </c>
    </row>
    <row r="164" spans="13:16" x14ac:dyDescent="0.3">
      <c r="M164">
        <v>162</v>
      </c>
      <c r="N164">
        <v>289291</v>
      </c>
      <c r="P164">
        <v>-287598</v>
      </c>
    </row>
    <row r="165" spans="13:16" x14ac:dyDescent="0.3">
      <c r="M165">
        <v>163</v>
      </c>
      <c r="N165">
        <v>-163726</v>
      </c>
      <c r="P165">
        <v>-284970</v>
      </c>
    </row>
    <row r="166" spans="13:16" x14ac:dyDescent="0.3">
      <c r="M166">
        <v>164</v>
      </c>
      <c r="N166">
        <v>755700</v>
      </c>
      <c r="P166">
        <v>-522280</v>
      </c>
    </row>
    <row r="167" spans="13:16" x14ac:dyDescent="0.3">
      <c r="M167">
        <v>165</v>
      </c>
      <c r="N167">
        <v>-615137</v>
      </c>
      <c r="P167">
        <v>-291241</v>
      </c>
    </row>
    <row r="168" spans="13:16" x14ac:dyDescent="0.3">
      <c r="M168">
        <v>166</v>
      </c>
      <c r="N168">
        <v>-29555</v>
      </c>
      <c r="P168">
        <v>41733</v>
      </c>
    </row>
    <row r="169" spans="13:16" x14ac:dyDescent="0.3">
      <c r="M169">
        <v>167</v>
      </c>
      <c r="N169">
        <v>-648902</v>
      </c>
      <c r="P169">
        <v>-352860</v>
      </c>
    </row>
    <row r="170" spans="13:16" x14ac:dyDescent="0.3">
      <c r="M170">
        <v>168</v>
      </c>
      <c r="N170">
        <v>196942</v>
      </c>
      <c r="P170">
        <v>-432882</v>
      </c>
    </row>
    <row r="171" spans="13:16" x14ac:dyDescent="0.3">
      <c r="M171">
        <v>169</v>
      </c>
      <c r="N171">
        <v>413360</v>
      </c>
      <c r="P171">
        <v>383669</v>
      </c>
    </row>
    <row r="172" spans="13:16" x14ac:dyDescent="0.3">
      <c r="M172">
        <v>170</v>
      </c>
      <c r="N172">
        <v>342866</v>
      </c>
      <c r="P172">
        <v>-342710</v>
      </c>
    </row>
    <row r="173" spans="13:16" x14ac:dyDescent="0.3">
      <c r="M173">
        <v>171</v>
      </c>
      <c r="N173">
        <v>-694769</v>
      </c>
      <c r="P173">
        <v>-585820</v>
      </c>
    </row>
    <row r="174" spans="13:16" x14ac:dyDescent="0.3">
      <c r="M174">
        <v>172</v>
      </c>
      <c r="N174">
        <v>-388608</v>
      </c>
      <c r="P174">
        <v>79299</v>
      </c>
    </row>
    <row r="175" spans="13:16" x14ac:dyDescent="0.3">
      <c r="M175">
        <v>173</v>
      </c>
      <c r="N175">
        <v>16941</v>
      </c>
      <c r="P175">
        <v>419885</v>
      </c>
    </row>
    <row r="176" spans="13:16" x14ac:dyDescent="0.3">
      <c r="M176">
        <v>174</v>
      </c>
      <c r="N176">
        <v>634225</v>
      </c>
      <c r="P176">
        <v>-159090</v>
      </c>
    </row>
    <row r="177" spans="13:16" x14ac:dyDescent="0.3">
      <c r="M177">
        <v>175</v>
      </c>
      <c r="N177">
        <v>424455</v>
      </c>
      <c r="P177">
        <v>684644</v>
      </c>
    </row>
    <row r="178" spans="13:16" x14ac:dyDescent="0.3">
      <c r="M178">
        <v>176</v>
      </c>
      <c r="N178">
        <v>-423108</v>
      </c>
      <c r="P178">
        <v>820924</v>
      </c>
    </row>
    <row r="179" spans="13:16" x14ac:dyDescent="0.3">
      <c r="M179">
        <v>177</v>
      </c>
      <c r="N179">
        <v>-178752</v>
      </c>
      <c r="P179">
        <v>-400259</v>
      </c>
    </row>
    <row r="180" spans="13:16" x14ac:dyDescent="0.3">
      <c r="M180">
        <v>178</v>
      </c>
      <c r="N180">
        <v>321491</v>
      </c>
      <c r="P180">
        <v>192501</v>
      </c>
    </row>
    <row r="181" spans="13:16" x14ac:dyDescent="0.3">
      <c r="M181">
        <v>179</v>
      </c>
      <c r="N181">
        <v>536666</v>
      </c>
      <c r="P181">
        <v>621890</v>
      </c>
    </row>
    <row r="182" spans="13:16" x14ac:dyDescent="0.3">
      <c r="M182">
        <v>180</v>
      </c>
      <c r="N182">
        <v>545662</v>
      </c>
      <c r="P182">
        <v>-453873</v>
      </c>
    </row>
    <row r="183" spans="13:16" x14ac:dyDescent="0.3">
      <c r="M183">
        <v>181</v>
      </c>
      <c r="N183">
        <v>212442</v>
      </c>
      <c r="P183">
        <v>24860</v>
      </c>
    </row>
    <row r="184" spans="13:16" x14ac:dyDescent="0.3">
      <c r="M184">
        <v>182</v>
      </c>
      <c r="N184">
        <v>447609</v>
      </c>
      <c r="P184">
        <v>-516987</v>
      </c>
    </row>
    <row r="185" spans="13:16" x14ac:dyDescent="0.3">
      <c r="M185">
        <v>183</v>
      </c>
      <c r="N185">
        <v>276674</v>
      </c>
      <c r="P185">
        <v>73965</v>
      </c>
    </row>
    <row r="186" spans="13:16" x14ac:dyDescent="0.3">
      <c r="M186">
        <v>184</v>
      </c>
      <c r="N186">
        <v>29419</v>
      </c>
      <c r="P186">
        <v>614162</v>
      </c>
    </row>
    <row r="187" spans="13:16" x14ac:dyDescent="0.3">
      <c r="M187">
        <v>185</v>
      </c>
      <c r="N187">
        <v>32407</v>
      </c>
      <c r="P187">
        <v>46049</v>
      </c>
    </row>
    <row r="188" spans="13:16" x14ac:dyDescent="0.3">
      <c r="M188">
        <v>186</v>
      </c>
      <c r="N188">
        <v>-681367</v>
      </c>
      <c r="P188">
        <v>-597056</v>
      </c>
    </row>
    <row r="189" spans="13:16" x14ac:dyDescent="0.3">
      <c r="M189">
        <v>187</v>
      </c>
      <c r="N189">
        <v>673373</v>
      </c>
      <c r="P189">
        <v>-286155</v>
      </c>
    </row>
    <row r="190" spans="13:16" x14ac:dyDescent="0.3">
      <c r="M190">
        <v>188</v>
      </c>
      <c r="N190">
        <v>84865</v>
      </c>
      <c r="P190">
        <v>-326584</v>
      </c>
    </row>
    <row r="191" spans="13:16" x14ac:dyDescent="0.3">
      <c r="M191">
        <v>189</v>
      </c>
      <c r="N191">
        <v>-734596</v>
      </c>
      <c r="P191">
        <v>495364</v>
      </c>
    </row>
    <row r="192" spans="13:16" x14ac:dyDescent="0.3">
      <c r="M192">
        <v>190</v>
      </c>
      <c r="N192">
        <v>-557192</v>
      </c>
      <c r="P192">
        <v>552657</v>
      </c>
    </row>
    <row r="193" spans="13:16" x14ac:dyDescent="0.3">
      <c r="M193">
        <v>191</v>
      </c>
      <c r="N193">
        <v>947823</v>
      </c>
      <c r="P193">
        <v>398572</v>
      </c>
    </row>
    <row r="194" spans="13:16" x14ac:dyDescent="0.3">
      <c r="M194">
        <v>192</v>
      </c>
      <c r="N194">
        <v>-486139</v>
      </c>
      <c r="P194">
        <v>-415814</v>
      </c>
    </row>
    <row r="195" spans="13:16" x14ac:dyDescent="0.3">
      <c r="M195">
        <v>193</v>
      </c>
      <c r="N195">
        <v>-467881</v>
      </c>
      <c r="P195">
        <v>-539219</v>
      </c>
    </row>
    <row r="196" spans="13:16" x14ac:dyDescent="0.3">
      <c r="M196">
        <v>194</v>
      </c>
      <c r="N196">
        <v>-366987</v>
      </c>
      <c r="P196">
        <v>-67685</v>
      </c>
    </row>
    <row r="197" spans="13:16" x14ac:dyDescent="0.3">
      <c r="M197">
        <v>195</v>
      </c>
      <c r="N197">
        <v>520823</v>
      </c>
      <c r="P197">
        <v>111696</v>
      </c>
    </row>
    <row r="198" spans="13:16" x14ac:dyDescent="0.3">
      <c r="M198">
        <v>196</v>
      </c>
      <c r="N198">
        <v>-795247</v>
      </c>
      <c r="P198">
        <v>476630</v>
      </c>
    </row>
    <row r="199" spans="13:16" x14ac:dyDescent="0.3">
      <c r="M199">
        <v>197</v>
      </c>
      <c r="N199">
        <v>-315194</v>
      </c>
      <c r="P199">
        <v>407875</v>
      </c>
    </row>
    <row r="200" spans="13:16" x14ac:dyDescent="0.3">
      <c r="M200">
        <v>198</v>
      </c>
      <c r="N200">
        <v>-268557</v>
      </c>
      <c r="P200">
        <v>-338309</v>
      </c>
    </row>
    <row r="201" spans="13:16" x14ac:dyDescent="0.3">
      <c r="M201">
        <v>199</v>
      </c>
      <c r="N201">
        <v>-277295</v>
      </c>
      <c r="P201">
        <v>-400305</v>
      </c>
    </row>
    <row r="202" spans="13:16" x14ac:dyDescent="0.3">
      <c r="M202">
        <v>200</v>
      </c>
      <c r="N202">
        <v>-423842</v>
      </c>
      <c r="P202">
        <v>695841</v>
      </c>
    </row>
    <row r="203" spans="13:16" x14ac:dyDescent="0.3">
      <c r="M203">
        <v>201</v>
      </c>
      <c r="N203">
        <v>545758</v>
      </c>
      <c r="P203">
        <v>179008</v>
      </c>
    </row>
    <row r="204" spans="13:16" x14ac:dyDescent="0.3">
      <c r="M204">
        <v>202</v>
      </c>
      <c r="N204">
        <v>220961</v>
      </c>
      <c r="P204">
        <v>1014326</v>
      </c>
    </row>
    <row r="205" spans="13:16" x14ac:dyDescent="0.3">
      <c r="M205">
        <v>203</v>
      </c>
      <c r="N205">
        <v>-218096</v>
      </c>
      <c r="P205">
        <v>-218653</v>
      </c>
    </row>
    <row r="206" spans="13:16" x14ac:dyDescent="0.3">
      <c r="M206">
        <v>204</v>
      </c>
      <c r="N206">
        <v>769837</v>
      </c>
      <c r="P206">
        <v>-537169</v>
      </c>
    </row>
    <row r="207" spans="13:16" x14ac:dyDescent="0.3">
      <c r="M207">
        <v>205</v>
      </c>
      <c r="N207">
        <v>501506</v>
      </c>
      <c r="P207">
        <v>116063</v>
      </c>
    </row>
    <row r="208" spans="13:16" x14ac:dyDescent="0.3">
      <c r="M208">
        <v>206</v>
      </c>
      <c r="N208">
        <v>-290224</v>
      </c>
      <c r="P208">
        <v>91581</v>
      </c>
    </row>
    <row r="209" spans="13:16" x14ac:dyDescent="0.3">
      <c r="M209">
        <v>207</v>
      </c>
      <c r="N209">
        <v>777898</v>
      </c>
      <c r="P209">
        <v>-581028</v>
      </c>
    </row>
    <row r="210" spans="13:16" x14ac:dyDescent="0.3">
      <c r="M210">
        <v>208</v>
      </c>
      <c r="N210">
        <v>-432233</v>
      </c>
      <c r="P210">
        <v>329090</v>
      </c>
    </row>
    <row r="211" spans="13:16" x14ac:dyDescent="0.3">
      <c r="M211">
        <v>209</v>
      </c>
      <c r="N211">
        <v>95843</v>
      </c>
      <c r="P211">
        <v>-353656</v>
      </c>
    </row>
    <row r="212" spans="13:16" x14ac:dyDescent="0.3">
      <c r="M212">
        <v>210</v>
      </c>
      <c r="N212">
        <v>-465622</v>
      </c>
      <c r="P212">
        <v>245611</v>
      </c>
    </row>
    <row r="213" spans="13:16" x14ac:dyDescent="0.3">
      <c r="M213">
        <v>211</v>
      </c>
      <c r="N213">
        <v>-159510</v>
      </c>
      <c r="P213">
        <v>668297</v>
      </c>
    </row>
    <row r="214" spans="13:16" x14ac:dyDescent="0.3">
      <c r="M214">
        <v>212</v>
      </c>
      <c r="N214">
        <v>-65396</v>
      </c>
      <c r="P214">
        <v>-315015</v>
      </c>
    </row>
    <row r="215" spans="13:16" x14ac:dyDescent="0.3">
      <c r="M215">
        <v>213</v>
      </c>
      <c r="N215">
        <v>-262709</v>
      </c>
      <c r="P215">
        <v>121647</v>
      </c>
    </row>
    <row r="216" spans="13:16" x14ac:dyDescent="0.3">
      <c r="M216">
        <v>214</v>
      </c>
      <c r="N216">
        <v>316658</v>
      </c>
      <c r="P216">
        <v>797565</v>
      </c>
    </row>
    <row r="217" spans="13:16" x14ac:dyDescent="0.3">
      <c r="M217">
        <v>215</v>
      </c>
      <c r="N217">
        <v>667820</v>
      </c>
      <c r="P217">
        <v>9443</v>
      </c>
    </row>
    <row r="218" spans="13:16" x14ac:dyDescent="0.3">
      <c r="M218">
        <v>216</v>
      </c>
      <c r="N218">
        <v>-427216</v>
      </c>
      <c r="P218">
        <v>595822</v>
      </c>
    </row>
    <row r="219" spans="13:16" x14ac:dyDescent="0.3">
      <c r="M219">
        <v>217</v>
      </c>
      <c r="N219">
        <v>30864</v>
      </c>
      <c r="P219">
        <v>681028</v>
      </c>
    </row>
    <row r="220" spans="13:16" x14ac:dyDescent="0.3">
      <c r="M220">
        <v>218</v>
      </c>
      <c r="N220">
        <v>330999</v>
      </c>
      <c r="P220">
        <v>-116535</v>
      </c>
    </row>
    <row r="221" spans="13:16" x14ac:dyDescent="0.3">
      <c r="M221">
        <v>219</v>
      </c>
      <c r="N221">
        <v>-777364</v>
      </c>
      <c r="P221">
        <v>-204791</v>
      </c>
    </row>
    <row r="222" spans="13:16" x14ac:dyDescent="0.3">
      <c r="M222">
        <v>220</v>
      </c>
      <c r="N222">
        <v>-529443</v>
      </c>
      <c r="P222">
        <v>-574933</v>
      </c>
    </row>
    <row r="223" spans="13:16" x14ac:dyDescent="0.3">
      <c r="M223">
        <v>221</v>
      </c>
      <c r="N223">
        <v>-51873</v>
      </c>
      <c r="P223">
        <v>246140</v>
      </c>
    </row>
    <row r="224" spans="13:16" x14ac:dyDescent="0.3">
      <c r="M224">
        <v>222</v>
      </c>
      <c r="N224">
        <v>-224724</v>
      </c>
      <c r="P224">
        <v>575946</v>
      </c>
    </row>
    <row r="225" spans="13:16" x14ac:dyDescent="0.3">
      <c r="M225">
        <v>223</v>
      </c>
      <c r="N225">
        <v>726952</v>
      </c>
      <c r="P225">
        <v>238355</v>
      </c>
    </row>
    <row r="226" spans="13:16" x14ac:dyDescent="0.3">
      <c r="M226">
        <v>224</v>
      </c>
      <c r="N226">
        <v>-659762</v>
      </c>
      <c r="P226">
        <v>-323951</v>
      </c>
    </row>
    <row r="227" spans="13:16" x14ac:dyDescent="0.3">
      <c r="M227">
        <v>225</v>
      </c>
      <c r="N227">
        <v>-464441</v>
      </c>
      <c r="P227">
        <v>61111</v>
      </c>
    </row>
    <row r="228" spans="13:16" x14ac:dyDescent="0.3">
      <c r="M228">
        <v>226</v>
      </c>
      <c r="N228">
        <v>-143922</v>
      </c>
      <c r="P228">
        <v>-345149</v>
      </c>
    </row>
    <row r="229" spans="13:16" x14ac:dyDescent="0.3">
      <c r="M229">
        <v>227</v>
      </c>
      <c r="N229">
        <v>-416402</v>
      </c>
      <c r="P229">
        <v>652396</v>
      </c>
    </row>
    <row r="230" spans="13:16" x14ac:dyDescent="0.3">
      <c r="M230">
        <v>228</v>
      </c>
      <c r="N230">
        <v>127497</v>
      </c>
      <c r="P230">
        <v>-86515</v>
      </c>
    </row>
    <row r="231" spans="13:16" x14ac:dyDescent="0.3">
      <c r="M231">
        <v>229</v>
      </c>
      <c r="N231">
        <v>-190913</v>
      </c>
      <c r="P231">
        <v>-48763</v>
      </c>
    </row>
    <row r="232" spans="13:16" x14ac:dyDescent="0.3">
      <c r="M232">
        <v>230</v>
      </c>
      <c r="N232">
        <v>-321924</v>
      </c>
      <c r="P232">
        <v>114656</v>
      </c>
    </row>
    <row r="233" spans="13:16" x14ac:dyDescent="0.3">
      <c r="M233">
        <v>231</v>
      </c>
      <c r="N233">
        <v>482042</v>
      </c>
      <c r="P233">
        <v>-127517</v>
      </c>
    </row>
    <row r="234" spans="13:16" x14ac:dyDescent="0.3">
      <c r="M234">
        <v>232</v>
      </c>
      <c r="N234">
        <v>-282986</v>
      </c>
      <c r="P234">
        <v>15390</v>
      </c>
    </row>
    <row r="235" spans="13:16" x14ac:dyDescent="0.3">
      <c r="M235">
        <v>233</v>
      </c>
      <c r="N235">
        <v>-225336</v>
      </c>
      <c r="P235">
        <v>122449</v>
      </c>
    </row>
    <row r="236" spans="13:16" x14ac:dyDescent="0.3">
      <c r="M236">
        <v>234</v>
      </c>
      <c r="N236">
        <v>557193</v>
      </c>
      <c r="P236">
        <v>-444819</v>
      </c>
    </row>
    <row r="237" spans="13:16" x14ac:dyDescent="0.3">
      <c r="M237">
        <v>235</v>
      </c>
      <c r="N237">
        <v>-675810</v>
      </c>
      <c r="P237">
        <v>454741</v>
      </c>
    </row>
    <row r="238" spans="13:16" x14ac:dyDescent="0.3">
      <c r="M238">
        <v>236</v>
      </c>
      <c r="N238">
        <v>-349667</v>
      </c>
      <c r="P238">
        <v>2842</v>
      </c>
    </row>
    <row r="239" spans="13:16" x14ac:dyDescent="0.3">
      <c r="M239">
        <v>237</v>
      </c>
      <c r="N239">
        <v>-378142</v>
      </c>
      <c r="P239">
        <v>-301727</v>
      </c>
    </row>
    <row r="240" spans="13:16" x14ac:dyDescent="0.3">
      <c r="M240">
        <v>238</v>
      </c>
      <c r="N240">
        <v>123916</v>
      </c>
      <c r="P240">
        <v>-270330</v>
      </c>
    </row>
    <row r="241" spans="13:16" x14ac:dyDescent="0.3">
      <c r="M241">
        <v>239</v>
      </c>
      <c r="N241">
        <v>-37534</v>
      </c>
      <c r="P241">
        <v>-585286</v>
      </c>
    </row>
    <row r="242" spans="13:16" x14ac:dyDescent="0.3">
      <c r="M242">
        <v>240</v>
      </c>
      <c r="N242">
        <v>29467</v>
      </c>
      <c r="P242">
        <v>501490</v>
      </c>
    </row>
    <row r="243" spans="13:16" x14ac:dyDescent="0.3">
      <c r="M243">
        <v>241</v>
      </c>
      <c r="N243">
        <v>-808234</v>
      </c>
      <c r="P243">
        <v>1027872</v>
      </c>
    </row>
    <row r="244" spans="13:16" x14ac:dyDescent="0.3">
      <c r="M244">
        <v>242</v>
      </c>
      <c r="N244">
        <v>-311418</v>
      </c>
      <c r="P244">
        <v>209429</v>
      </c>
    </row>
    <row r="245" spans="13:16" x14ac:dyDescent="0.3">
      <c r="M245">
        <v>243</v>
      </c>
      <c r="N245">
        <v>396738</v>
      </c>
      <c r="P245">
        <v>445158</v>
      </c>
    </row>
    <row r="246" spans="13:16" x14ac:dyDescent="0.3">
      <c r="M246">
        <v>244</v>
      </c>
      <c r="N246">
        <v>84990</v>
      </c>
      <c r="P246">
        <v>-14837</v>
      </c>
    </row>
    <row r="247" spans="13:16" x14ac:dyDescent="0.3">
      <c r="M247">
        <v>245</v>
      </c>
      <c r="N247">
        <v>-560247</v>
      </c>
      <c r="P247">
        <v>690170</v>
      </c>
    </row>
    <row r="248" spans="13:16" x14ac:dyDescent="0.3">
      <c r="M248">
        <v>246</v>
      </c>
      <c r="N248">
        <v>-20072</v>
      </c>
      <c r="P248">
        <v>-148403</v>
      </c>
    </row>
    <row r="249" spans="13:16" x14ac:dyDescent="0.3">
      <c r="M249">
        <v>247</v>
      </c>
      <c r="N249">
        <v>504340</v>
      </c>
      <c r="P249">
        <v>570754</v>
      </c>
    </row>
    <row r="250" spans="13:16" x14ac:dyDescent="0.3">
      <c r="M250">
        <v>248</v>
      </c>
      <c r="N250">
        <v>-698018</v>
      </c>
      <c r="P250">
        <v>16394</v>
      </c>
    </row>
    <row r="251" spans="13:16" x14ac:dyDescent="0.3">
      <c r="M251">
        <v>249</v>
      </c>
      <c r="N251">
        <v>426065</v>
      </c>
      <c r="P251">
        <v>-102674</v>
      </c>
    </row>
    <row r="252" spans="13:16" x14ac:dyDescent="0.3">
      <c r="M252">
        <v>250</v>
      </c>
      <c r="N252">
        <v>-45090</v>
      </c>
      <c r="P252">
        <v>210123</v>
      </c>
    </row>
    <row r="253" spans="13:16" x14ac:dyDescent="0.3">
      <c r="M253">
        <v>251</v>
      </c>
      <c r="N253">
        <v>-758539</v>
      </c>
      <c r="P253">
        <v>-442582</v>
      </c>
    </row>
    <row r="254" spans="13:16" x14ac:dyDescent="0.3">
      <c r="M254">
        <v>252</v>
      </c>
      <c r="N254">
        <v>-256082</v>
      </c>
      <c r="P254">
        <v>644005</v>
      </c>
    </row>
    <row r="255" spans="13:16" x14ac:dyDescent="0.3">
      <c r="M255">
        <v>253</v>
      </c>
      <c r="N255">
        <v>242177</v>
      </c>
      <c r="P255">
        <v>84666</v>
      </c>
    </row>
    <row r="256" spans="13:16" x14ac:dyDescent="0.3">
      <c r="M256">
        <v>254</v>
      </c>
      <c r="N256">
        <v>1009659</v>
      </c>
      <c r="P256">
        <v>-456478</v>
      </c>
    </row>
    <row r="257" spans="13:16" x14ac:dyDescent="0.3">
      <c r="M257">
        <v>255</v>
      </c>
      <c r="N257">
        <v>100405</v>
      </c>
      <c r="P257">
        <v>360551</v>
      </c>
    </row>
    <row r="258" spans="13:16" x14ac:dyDescent="0.3">
      <c r="M258">
        <v>256</v>
      </c>
      <c r="N258">
        <v>-33894</v>
      </c>
      <c r="P258">
        <v>-852957</v>
      </c>
    </row>
    <row r="259" spans="13:16" x14ac:dyDescent="0.3">
      <c r="M259">
        <v>257</v>
      </c>
      <c r="N259">
        <v>-6263</v>
      </c>
      <c r="P259">
        <v>-678012</v>
      </c>
    </row>
    <row r="260" spans="13:16" x14ac:dyDescent="0.3">
      <c r="M260">
        <v>258</v>
      </c>
      <c r="N260">
        <v>263543</v>
      </c>
      <c r="P260">
        <v>743213</v>
      </c>
    </row>
    <row r="261" spans="13:16" x14ac:dyDescent="0.3">
      <c r="M261">
        <v>259</v>
      </c>
      <c r="N261">
        <v>346086</v>
      </c>
      <c r="P261">
        <v>-325514</v>
      </c>
    </row>
    <row r="262" spans="13:16" x14ac:dyDescent="0.3">
      <c r="M262">
        <v>260</v>
      </c>
      <c r="N262">
        <v>74478</v>
      </c>
      <c r="P262">
        <v>618082</v>
      </c>
    </row>
    <row r="263" spans="13:16" x14ac:dyDescent="0.3">
      <c r="M263">
        <v>261</v>
      </c>
      <c r="N263">
        <v>-633225</v>
      </c>
      <c r="P263">
        <v>908844</v>
      </c>
    </row>
    <row r="264" spans="13:16" x14ac:dyDescent="0.3">
      <c r="M264">
        <v>262</v>
      </c>
      <c r="N264">
        <v>-410295</v>
      </c>
      <c r="P264">
        <v>211907</v>
      </c>
    </row>
    <row r="265" spans="13:16" x14ac:dyDescent="0.3">
      <c r="M265">
        <v>263</v>
      </c>
      <c r="N265">
        <v>188951</v>
      </c>
      <c r="P265">
        <v>-497390</v>
      </c>
    </row>
    <row r="266" spans="13:16" x14ac:dyDescent="0.3">
      <c r="M266">
        <v>264</v>
      </c>
      <c r="N266">
        <v>-44660</v>
      </c>
      <c r="P266">
        <v>483748</v>
      </c>
    </row>
    <row r="267" spans="13:16" x14ac:dyDescent="0.3">
      <c r="M267">
        <v>265</v>
      </c>
      <c r="N267">
        <v>196628</v>
      </c>
      <c r="P267">
        <v>-341119</v>
      </c>
    </row>
    <row r="268" spans="13:16" x14ac:dyDescent="0.3">
      <c r="M268">
        <v>266</v>
      </c>
      <c r="N268">
        <v>-278930</v>
      </c>
      <c r="P268">
        <v>-39288</v>
      </c>
    </row>
    <row r="269" spans="13:16" x14ac:dyDescent="0.3">
      <c r="M269">
        <v>267</v>
      </c>
      <c r="N269">
        <v>-558806</v>
      </c>
      <c r="P269">
        <v>293100</v>
      </c>
    </row>
    <row r="270" spans="13:16" x14ac:dyDescent="0.3">
      <c r="M270">
        <v>268</v>
      </c>
      <c r="N270">
        <v>-397324</v>
      </c>
      <c r="P270">
        <v>-600461</v>
      </c>
    </row>
    <row r="271" spans="13:16" x14ac:dyDescent="0.3">
      <c r="M271">
        <v>269</v>
      </c>
      <c r="N271">
        <v>246581</v>
      </c>
      <c r="P271">
        <v>581293</v>
      </c>
    </row>
    <row r="272" spans="13:16" x14ac:dyDescent="0.3">
      <c r="M272">
        <v>270</v>
      </c>
      <c r="N272">
        <v>548179</v>
      </c>
      <c r="P272">
        <v>49797</v>
      </c>
    </row>
    <row r="273" spans="13:16" x14ac:dyDescent="0.3">
      <c r="M273">
        <v>271</v>
      </c>
      <c r="N273">
        <v>650502</v>
      </c>
      <c r="P273">
        <v>82387</v>
      </c>
    </row>
    <row r="274" spans="13:16" x14ac:dyDescent="0.3">
      <c r="M274">
        <v>272</v>
      </c>
      <c r="N274">
        <v>407156</v>
      </c>
      <c r="P274">
        <v>287260</v>
      </c>
    </row>
    <row r="275" spans="13:16" x14ac:dyDescent="0.3">
      <c r="M275">
        <v>273</v>
      </c>
      <c r="N275">
        <v>-475119</v>
      </c>
      <c r="P275">
        <v>873913</v>
      </c>
    </row>
    <row r="276" spans="13:16" x14ac:dyDescent="0.3">
      <c r="M276">
        <v>274</v>
      </c>
      <c r="N276">
        <v>-130545</v>
      </c>
      <c r="P276">
        <v>532165</v>
      </c>
    </row>
    <row r="277" spans="13:16" x14ac:dyDescent="0.3">
      <c r="M277">
        <v>275</v>
      </c>
      <c r="N277">
        <v>-731082</v>
      </c>
      <c r="P277">
        <v>540644</v>
      </c>
    </row>
    <row r="278" spans="13:16" x14ac:dyDescent="0.3">
      <c r="M278">
        <v>276</v>
      </c>
      <c r="N278">
        <v>-465087</v>
      </c>
      <c r="P278">
        <v>218616</v>
      </c>
    </row>
    <row r="279" spans="13:16" x14ac:dyDescent="0.3">
      <c r="M279">
        <v>277</v>
      </c>
      <c r="N279">
        <v>124691</v>
      </c>
      <c r="P279">
        <v>534503</v>
      </c>
    </row>
    <row r="280" spans="13:16" x14ac:dyDescent="0.3">
      <c r="M280">
        <v>278</v>
      </c>
      <c r="N280">
        <v>-451017</v>
      </c>
      <c r="P280">
        <v>346279</v>
      </c>
    </row>
    <row r="281" spans="13:16" x14ac:dyDescent="0.3">
      <c r="M281">
        <v>279</v>
      </c>
      <c r="N281">
        <v>-2860</v>
      </c>
      <c r="P281">
        <v>7394</v>
      </c>
    </row>
    <row r="282" spans="13:16" x14ac:dyDescent="0.3">
      <c r="M282">
        <v>280</v>
      </c>
      <c r="N282">
        <v>540508</v>
      </c>
      <c r="P282">
        <v>-313258</v>
      </c>
    </row>
    <row r="283" spans="13:16" x14ac:dyDescent="0.3">
      <c r="M283">
        <v>281</v>
      </c>
      <c r="N283">
        <v>-164955</v>
      </c>
      <c r="P283">
        <v>789323</v>
      </c>
    </row>
    <row r="284" spans="13:16" x14ac:dyDescent="0.3">
      <c r="M284">
        <v>282</v>
      </c>
      <c r="N284">
        <v>2107</v>
      </c>
      <c r="P284">
        <v>397733</v>
      </c>
    </row>
    <row r="285" spans="13:16" x14ac:dyDescent="0.3">
      <c r="M285">
        <v>283</v>
      </c>
      <c r="N285">
        <v>593428</v>
      </c>
      <c r="P285">
        <v>-89618</v>
      </c>
    </row>
    <row r="286" spans="13:16" x14ac:dyDescent="0.3">
      <c r="M286">
        <v>284</v>
      </c>
      <c r="N286">
        <v>495301</v>
      </c>
      <c r="P286">
        <v>475133</v>
      </c>
    </row>
    <row r="287" spans="13:16" x14ac:dyDescent="0.3">
      <c r="M287">
        <v>285</v>
      </c>
      <c r="N287">
        <v>732210</v>
      </c>
      <c r="P287">
        <v>-95162</v>
      </c>
    </row>
    <row r="288" spans="13:16" x14ac:dyDescent="0.3">
      <c r="M288">
        <v>286</v>
      </c>
      <c r="N288">
        <v>-137299</v>
      </c>
      <c r="P288">
        <v>455111</v>
      </c>
    </row>
    <row r="289" spans="13:16" x14ac:dyDescent="0.3">
      <c r="M289">
        <v>287</v>
      </c>
      <c r="N289">
        <v>7468</v>
      </c>
      <c r="P289">
        <v>167255</v>
      </c>
    </row>
    <row r="290" spans="13:16" x14ac:dyDescent="0.3">
      <c r="M290">
        <v>288</v>
      </c>
      <c r="N290">
        <v>693234</v>
      </c>
      <c r="P290">
        <v>837603</v>
      </c>
    </row>
    <row r="291" spans="13:16" x14ac:dyDescent="0.3">
      <c r="M291">
        <v>289</v>
      </c>
      <c r="N291">
        <v>232567</v>
      </c>
      <c r="P291">
        <v>-244643</v>
      </c>
    </row>
    <row r="292" spans="13:16" x14ac:dyDescent="0.3">
      <c r="M292">
        <v>290</v>
      </c>
      <c r="N292">
        <v>-170481</v>
      </c>
      <c r="P292">
        <v>252768</v>
      </c>
    </row>
    <row r="293" spans="13:16" x14ac:dyDescent="0.3">
      <c r="M293">
        <v>291</v>
      </c>
      <c r="N293">
        <v>-558023</v>
      </c>
      <c r="P293">
        <v>-450729</v>
      </c>
    </row>
    <row r="294" spans="13:16" x14ac:dyDescent="0.3">
      <c r="M294">
        <v>292</v>
      </c>
      <c r="N294">
        <v>874963</v>
      </c>
      <c r="P294">
        <v>509258</v>
      </c>
    </row>
    <row r="295" spans="13:16" x14ac:dyDescent="0.3">
      <c r="M295">
        <v>293</v>
      </c>
      <c r="N295">
        <v>-688607</v>
      </c>
      <c r="P295">
        <v>321689</v>
      </c>
    </row>
    <row r="296" spans="13:16" x14ac:dyDescent="0.3">
      <c r="M296">
        <v>294</v>
      </c>
      <c r="N296">
        <v>605543</v>
      </c>
      <c r="P296">
        <v>-41003</v>
      </c>
    </row>
    <row r="297" spans="13:16" x14ac:dyDescent="0.3">
      <c r="M297">
        <v>295</v>
      </c>
      <c r="N297">
        <v>-286672</v>
      </c>
      <c r="P297">
        <v>298039</v>
      </c>
    </row>
    <row r="298" spans="13:16" x14ac:dyDescent="0.3">
      <c r="M298">
        <v>296</v>
      </c>
      <c r="N298">
        <v>871605</v>
      </c>
      <c r="P298">
        <v>-154943</v>
      </c>
    </row>
    <row r="299" spans="13:16" x14ac:dyDescent="0.3">
      <c r="M299">
        <v>297</v>
      </c>
      <c r="N299">
        <v>-534461</v>
      </c>
      <c r="P299">
        <v>10862</v>
      </c>
    </row>
    <row r="300" spans="13:16" x14ac:dyDescent="0.3">
      <c r="M300">
        <v>298</v>
      </c>
      <c r="N300">
        <v>69026</v>
      </c>
      <c r="P300">
        <v>-271236</v>
      </c>
    </row>
    <row r="301" spans="13:16" x14ac:dyDescent="0.3">
      <c r="M301">
        <v>299</v>
      </c>
      <c r="N301">
        <v>173416</v>
      </c>
      <c r="P301">
        <v>704718</v>
      </c>
    </row>
    <row r="302" spans="13:16" x14ac:dyDescent="0.3">
      <c r="M302">
        <v>300</v>
      </c>
      <c r="N302">
        <v>321817</v>
      </c>
      <c r="P302">
        <v>278467</v>
      </c>
    </row>
    <row r="303" spans="13:16" x14ac:dyDescent="0.3">
      <c r="M303">
        <v>301</v>
      </c>
      <c r="N303">
        <v>-641196</v>
      </c>
      <c r="P303">
        <v>-355185</v>
      </c>
    </row>
    <row r="304" spans="13:16" x14ac:dyDescent="0.3">
      <c r="M304">
        <v>302</v>
      </c>
      <c r="N304">
        <v>-503479</v>
      </c>
      <c r="P304">
        <v>-82373</v>
      </c>
    </row>
    <row r="305" spans="13:16" x14ac:dyDescent="0.3">
      <c r="M305">
        <v>303</v>
      </c>
      <c r="N305">
        <v>341572</v>
      </c>
      <c r="P305">
        <v>-56002</v>
      </c>
    </row>
    <row r="306" spans="13:16" x14ac:dyDescent="0.3">
      <c r="M306">
        <v>304</v>
      </c>
      <c r="N306">
        <v>236730</v>
      </c>
      <c r="P306">
        <v>498103</v>
      </c>
    </row>
    <row r="307" spans="13:16" x14ac:dyDescent="0.3">
      <c r="M307">
        <v>305</v>
      </c>
      <c r="N307">
        <v>539657</v>
      </c>
      <c r="P307">
        <v>370248</v>
      </c>
    </row>
    <row r="308" spans="13:16" x14ac:dyDescent="0.3">
      <c r="M308">
        <v>306</v>
      </c>
      <c r="N308">
        <v>400414</v>
      </c>
      <c r="P308">
        <v>74004</v>
      </c>
    </row>
    <row r="309" spans="13:16" x14ac:dyDescent="0.3">
      <c r="M309">
        <v>307</v>
      </c>
      <c r="N309">
        <v>301976</v>
      </c>
      <c r="P309">
        <v>-550739</v>
      </c>
    </row>
    <row r="310" spans="13:16" x14ac:dyDescent="0.3">
      <c r="M310">
        <v>308</v>
      </c>
      <c r="N310">
        <v>213449</v>
      </c>
      <c r="P310">
        <v>-89229</v>
      </c>
    </row>
    <row r="311" spans="13:16" x14ac:dyDescent="0.3">
      <c r="M311">
        <v>309</v>
      </c>
      <c r="N311">
        <v>-688853</v>
      </c>
      <c r="P311">
        <v>-141076</v>
      </c>
    </row>
    <row r="312" spans="13:16" x14ac:dyDescent="0.3">
      <c r="M312">
        <v>310</v>
      </c>
      <c r="N312">
        <v>200625</v>
      </c>
      <c r="P312">
        <v>796620</v>
      </c>
    </row>
    <row r="313" spans="13:16" x14ac:dyDescent="0.3">
      <c r="M313">
        <v>311</v>
      </c>
      <c r="N313">
        <v>84427</v>
      </c>
      <c r="P313">
        <v>658785</v>
      </c>
    </row>
    <row r="314" spans="13:16" x14ac:dyDescent="0.3">
      <c r="M314">
        <v>312</v>
      </c>
      <c r="N314">
        <v>-571827</v>
      </c>
      <c r="P314">
        <v>-9419</v>
      </c>
    </row>
    <row r="315" spans="13:16" x14ac:dyDescent="0.3">
      <c r="M315">
        <v>313</v>
      </c>
      <c r="N315">
        <v>267949</v>
      </c>
      <c r="P315">
        <v>-120195</v>
      </c>
    </row>
    <row r="316" spans="13:16" x14ac:dyDescent="0.3">
      <c r="M316">
        <v>314</v>
      </c>
      <c r="N316">
        <v>-450797</v>
      </c>
      <c r="P316">
        <v>-8585</v>
      </c>
    </row>
    <row r="317" spans="13:16" x14ac:dyDescent="0.3">
      <c r="M317">
        <v>315</v>
      </c>
      <c r="N317">
        <v>-441274</v>
      </c>
      <c r="P317">
        <v>-582373</v>
      </c>
    </row>
    <row r="318" spans="13:16" x14ac:dyDescent="0.3">
      <c r="M318">
        <v>316</v>
      </c>
      <c r="N318">
        <v>-736207</v>
      </c>
      <c r="P318">
        <v>-807239</v>
      </c>
    </row>
    <row r="319" spans="13:16" x14ac:dyDescent="0.3">
      <c r="M319">
        <v>317</v>
      </c>
      <c r="N319">
        <v>53658</v>
      </c>
      <c r="P319">
        <v>-393355</v>
      </c>
    </row>
    <row r="320" spans="13:16" x14ac:dyDescent="0.3">
      <c r="M320">
        <v>318</v>
      </c>
      <c r="N320">
        <v>6302</v>
      </c>
      <c r="P320">
        <v>-182570</v>
      </c>
    </row>
    <row r="321" spans="13:16" x14ac:dyDescent="0.3">
      <c r="M321">
        <v>319</v>
      </c>
      <c r="N321">
        <v>-224338</v>
      </c>
      <c r="P321">
        <v>-145576</v>
      </c>
    </row>
    <row r="322" spans="13:16" x14ac:dyDescent="0.3">
      <c r="M322">
        <v>320</v>
      </c>
      <c r="N322">
        <v>-209971</v>
      </c>
      <c r="P322">
        <v>-582305</v>
      </c>
    </row>
    <row r="323" spans="13:16" x14ac:dyDescent="0.3">
      <c r="M323">
        <v>321</v>
      </c>
      <c r="N323">
        <v>-228769</v>
      </c>
      <c r="P323">
        <v>927686</v>
      </c>
    </row>
    <row r="324" spans="13:16" x14ac:dyDescent="0.3">
      <c r="M324">
        <v>322</v>
      </c>
      <c r="N324">
        <v>855842</v>
      </c>
      <c r="P324">
        <v>-296068</v>
      </c>
    </row>
    <row r="325" spans="13:16" x14ac:dyDescent="0.3">
      <c r="M325">
        <v>323</v>
      </c>
      <c r="N325">
        <v>364224</v>
      </c>
      <c r="P325">
        <v>-113392</v>
      </c>
    </row>
    <row r="326" spans="13:16" x14ac:dyDescent="0.3">
      <c r="M326">
        <v>324</v>
      </c>
      <c r="N326">
        <v>136692</v>
      </c>
      <c r="P326">
        <v>204911</v>
      </c>
    </row>
    <row r="327" spans="13:16" x14ac:dyDescent="0.3">
      <c r="M327">
        <v>325</v>
      </c>
      <c r="N327">
        <v>-397430</v>
      </c>
      <c r="P327">
        <v>1093757</v>
      </c>
    </row>
    <row r="328" spans="13:16" x14ac:dyDescent="0.3">
      <c r="M328">
        <v>326</v>
      </c>
      <c r="N328">
        <v>576744</v>
      </c>
      <c r="P328">
        <v>-196605</v>
      </c>
    </row>
    <row r="329" spans="13:16" x14ac:dyDescent="0.3">
      <c r="M329">
        <v>327</v>
      </c>
      <c r="N329">
        <v>345364</v>
      </c>
      <c r="P329">
        <v>-428620</v>
      </c>
    </row>
    <row r="330" spans="13:16" x14ac:dyDescent="0.3">
      <c r="M330">
        <v>328</v>
      </c>
      <c r="N330">
        <v>-682345</v>
      </c>
      <c r="P330">
        <v>-437466</v>
      </c>
    </row>
    <row r="331" spans="13:16" x14ac:dyDescent="0.3">
      <c r="M331">
        <v>329</v>
      </c>
      <c r="N331">
        <v>67050</v>
      </c>
      <c r="P331">
        <v>86648</v>
      </c>
    </row>
    <row r="332" spans="13:16" x14ac:dyDescent="0.3">
      <c r="M332">
        <v>330</v>
      </c>
      <c r="N332">
        <v>184033</v>
      </c>
      <c r="P332">
        <v>469361</v>
      </c>
    </row>
    <row r="333" spans="13:16" x14ac:dyDescent="0.3">
      <c r="M333">
        <v>331</v>
      </c>
      <c r="N333">
        <v>-393242</v>
      </c>
      <c r="P333">
        <v>-51368</v>
      </c>
    </row>
    <row r="334" spans="13:16" x14ac:dyDescent="0.3">
      <c r="M334">
        <v>332</v>
      </c>
      <c r="N334">
        <v>159716</v>
      </c>
      <c r="P334">
        <v>106105</v>
      </c>
    </row>
    <row r="335" spans="13:16" x14ac:dyDescent="0.3">
      <c r="M335">
        <v>333</v>
      </c>
      <c r="N335">
        <v>-16318</v>
      </c>
      <c r="P335">
        <v>215632</v>
      </c>
    </row>
    <row r="336" spans="13:16" x14ac:dyDescent="0.3">
      <c r="M336">
        <v>334</v>
      </c>
      <c r="N336">
        <v>-386438</v>
      </c>
      <c r="P336">
        <v>-841297</v>
      </c>
    </row>
    <row r="337" spans="13:16" x14ac:dyDescent="0.3">
      <c r="M337">
        <v>335</v>
      </c>
      <c r="N337">
        <v>333244</v>
      </c>
      <c r="P337">
        <v>302994</v>
      </c>
    </row>
    <row r="338" spans="13:16" x14ac:dyDescent="0.3">
      <c r="M338">
        <v>336</v>
      </c>
      <c r="N338">
        <v>217690</v>
      </c>
      <c r="P338">
        <v>-9518</v>
      </c>
    </row>
    <row r="339" spans="13:16" x14ac:dyDescent="0.3">
      <c r="M339">
        <v>337</v>
      </c>
      <c r="N339">
        <v>-128679</v>
      </c>
      <c r="P339">
        <v>241694</v>
      </c>
    </row>
    <row r="340" spans="13:16" x14ac:dyDescent="0.3">
      <c r="M340">
        <v>338</v>
      </c>
      <c r="N340">
        <v>541839</v>
      </c>
      <c r="P340">
        <v>-468712</v>
      </c>
    </row>
    <row r="341" spans="13:16" x14ac:dyDescent="0.3">
      <c r="M341">
        <v>339</v>
      </c>
      <c r="N341">
        <v>360058</v>
      </c>
      <c r="P341">
        <v>339630</v>
      </c>
    </row>
    <row r="342" spans="13:16" x14ac:dyDescent="0.3">
      <c r="M342">
        <v>340</v>
      </c>
      <c r="N342">
        <v>894563</v>
      </c>
      <c r="P342">
        <v>-313693</v>
      </c>
    </row>
    <row r="343" spans="13:16" x14ac:dyDescent="0.3">
      <c r="M343">
        <v>341</v>
      </c>
      <c r="N343">
        <v>114059</v>
      </c>
      <c r="P343">
        <v>-632410</v>
      </c>
    </row>
    <row r="344" spans="13:16" x14ac:dyDescent="0.3">
      <c r="M344">
        <v>342</v>
      </c>
      <c r="N344">
        <v>588276</v>
      </c>
      <c r="P344">
        <v>666324</v>
      </c>
    </row>
    <row r="345" spans="13:16" x14ac:dyDescent="0.3">
      <c r="M345">
        <v>343</v>
      </c>
      <c r="N345">
        <v>-186691</v>
      </c>
      <c r="P345">
        <v>-31776</v>
      </c>
    </row>
    <row r="346" spans="13:16" x14ac:dyDescent="0.3">
      <c r="M346">
        <v>344</v>
      </c>
      <c r="N346">
        <v>127304</v>
      </c>
      <c r="P346">
        <v>149112</v>
      </c>
    </row>
    <row r="347" spans="13:16" x14ac:dyDescent="0.3">
      <c r="M347">
        <v>345</v>
      </c>
      <c r="N347">
        <v>-126223</v>
      </c>
      <c r="P347">
        <v>595063</v>
      </c>
    </row>
    <row r="348" spans="13:16" x14ac:dyDescent="0.3">
      <c r="M348">
        <v>346</v>
      </c>
      <c r="N348">
        <v>-189260</v>
      </c>
      <c r="P348">
        <v>-710428</v>
      </c>
    </row>
    <row r="349" spans="13:16" x14ac:dyDescent="0.3">
      <c r="M349">
        <v>347</v>
      </c>
      <c r="N349">
        <v>-632448</v>
      </c>
      <c r="P349">
        <v>687916</v>
      </c>
    </row>
    <row r="350" spans="13:16" x14ac:dyDescent="0.3">
      <c r="M350">
        <v>348</v>
      </c>
      <c r="N350">
        <v>-346654</v>
      </c>
      <c r="P350">
        <v>-310153</v>
      </c>
    </row>
    <row r="351" spans="13:16" x14ac:dyDescent="0.3">
      <c r="M351">
        <v>349</v>
      </c>
      <c r="N351">
        <v>-659923</v>
      </c>
      <c r="P351">
        <v>220996</v>
      </c>
    </row>
    <row r="352" spans="13:16" x14ac:dyDescent="0.3">
      <c r="M352">
        <v>350</v>
      </c>
      <c r="N352">
        <v>423297</v>
      </c>
      <c r="P352">
        <v>-812967</v>
      </c>
    </row>
    <row r="353" spans="13:16" x14ac:dyDescent="0.3">
      <c r="M353">
        <v>351</v>
      </c>
      <c r="N353">
        <v>213417</v>
      </c>
      <c r="P353">
        <v>458100</v>
      </c>
    </row>
    <row r="354" spans="13:16" x14ac:dyDescent="0.3">
      <c r="M354">
        <v>352</v>
      </c>
      <c r="N354">
        <v>693571</v>
      </c>
      <c r="P354">
        <v>316958</v>
      </c>
    </row>
    <row r="355" spans="13:16" x14ac:dyDescent="0.3">
      <c r="M355">
        <v>353</v>
      </c>
      <c r="N355">
        <v>158392</v>
      </c>
      <c r="P355">
        <v>61308</v>
      </c>
    </row>
    <row r="356" spans="13:16" x14ac:dyDescent="0.3">
      <c r="M356">
        <v>354</v>
      </c>
      <c r="N356">
        <v>-710837</v>
      </c>
      <c r="P356">
        <v>-216274</v>
      </c>
    </row>
    <row r="357" spans="13:16" x14ac:dyDescent="0.3">
      <c r="M357">
        <v>355</v>
      </c>
      <c r="N357">
        <v>-105946</v>
      </c>
      <c r="P357">
        <v>115444</v>
      </c>
    </row>
    <row r="358" spans="13:16" x14ac:dyDescent="0.3">
      <c r="M358">
        <v>356</v>
      </c>
      <c r="N358">
        <v>417453</v>
      </c>
      <c r="P358">
        <v>133657</v>
      </c>
    </row>
    <row r="359" spans="13:16" x14ac:dyDescent="0.3">
      <c r="M359">
        <v>357</v>
      </c>
      <c r="N359">
        <v>434205</v>
      </c>
      <c r="P359">
        <v>185171</v>
      </c>
    </row>
    <row r="360" spans="13:16" x14ac:dyDescent="0.3">
      <c r="M360">
        <v>358</v>
      </c>
      <c r="N360">
        <v>300090</v>
      </c>
      <c r="P360">
        <v>-602106</v>
      </c>
    </row>
    <row r="361" spans="13:16" x14ac:dyDescent="0.3">
      <c r="M361">
        <v>359</v>
      </c>
      <c r="N361">
        <v>532468</v>
      </c>
      <c r="P361">
        <v>779630</v>
      </c>
    </row>
    <row r="362" spans="13:16" x14ac:dyDescent="0.3">
      <c r="M362">
        <v>360</v>
      </c>
      <c r="N362">
        <v>363214</v>
      </c>
      <c r="P362">
        <v>-136199</v>
      </c>
    </row>
    <row r="363" spans="13:16" x14ac:dyDescent="0.3">
      <c r="M363">
        <v>361</v>
      </c>
      <c r="N363">
        <v>252647</v>
      </c>
      <c r="P363">
        <v>-553330</v>
      </c>
    </row>
    <row r="364" spans="13:16" x14ac:dyDescent="0.3">
      <c r="M364">
        <v>362</v>
      </c>
      <c r="N364">
        <v>-68124</v>
      </c>
      <c r="P364">
        <v>632056</v>
      </c>
    </row>
    <row r="365" spans="13:16" x14ac:dyDescent="0.3">
      <c r="M365">
        <v>363</v>
      </c>
      <c r="N365">
        <v>508571</v>
      </c>
      <c r="P365">
        <v>265069</v>
      </c>
    </row>
    <row r="366" spans="13:16" x14ac:dyDescent="0.3">
      <c r="M366">
        <v>364</v>
      </c>
      <c r="N366">
        <v>-201727</v>
      </c>
      <c r="P366">
        <v>-482346</v>
      </c>
    </row>
    <row r="367" spans="13:16" x14ac:dyDescent="0.3">
      <c r="M367">
        <v>365</v>
      </c>
      <c r="N367">
        <v>635120</v>
      </c>
      <c r="P367">
        <v>618909</v>
      </c>
    </row>
    <row r="368" spans="13:16" x14ac:dyDescent="0.3">
      <c r="M368">
        <v>366</v>
      </c>
      <c r="N368">
        <v>759744</v>
      </c>
      <c r="P368">
        <v>30202</v>
      </c>
    </row>
    <row r="369" spans="13:16" x14ac:dyDescent="0.3">
      <c r="M369">
        <v>367</v>
      </c>
      <c r="N369">
        <v>235092</v>
      </c>
      <c r="P369">
        <v>57335</v>
      </c>
    </row>
    <row r="370" spans="13:16" x14ac:dyDescent="0.3">
      <c r="M370">
        <v>368</v>
      </c>
      <c r="N370">
        <v>-171696</v>
      </c>
      <c r="P370">
        <v>-409809</v>
      </c>
    </row>
    <row r="371" spans="13:16" x14ac:dyDescent="0.3">
      <c r="M371">
        <v>369</v>
      </c>
      <c r="N371">
        <v>-808191</v>
      </c>
      <c r="P371">
        <v>-582335</v>
      </c>
    </row>
    <row r="372" spans="13:16" x14ac:dyDescent="0.3">
      <c r="M372">
        <v>370</v>
      </c>
      <c r="N372">
        <v>170017</v>
      </c>
      <c r="P372">
        <v>-123376</v>
      </c>
    </row>
    <row r="373" spans="13:16" x14ac:dyDescent="0.3">
      <c r="M373">
        <v>371</v>
      </c>
      <c r="N373">
        <v>592078</v>
      </c>
      <c r="P373">
        <v>175826</v>
      </c>
    </row>
    <row r="374" spans="13:16" x14ac:dyDescent="0.3">
      <c r="M374">
        <v>372</v>
      </c>
      <c r="N374">
        <v>247117</v>
      </c>
      <c r="P374">
        <v>-326895</v>
      </c>
    </row>
    <row r="375" spans="13:16" x14ac:dyDescent="0.3">
      <c r="M375">
        <v>373</v>
      </c>
      <c r="N375">
        <v>-540856</v>
      </c>
      <c r="P375">
        <v>264414</v>
      </c>
    </row>
    <row r="376" spans="13:16" x14ac:dyDescent="0.3">
      <c r="M376">
        <v>374</v>
      </c>
      <c r="N376">
        <v>-410921</v>
      </c>
      <c r="P376">
        <v>360299</v>
      </c>
    </row>
    <row r="377" spans="13:16" x14ac:dyDescent="0.3">
      <c r="M377">
        <v>375</v>
      </c>
      <c r="N377">
        <v>8898</v>
      </c>
      <c r="P377">
        <v>679407</v>
      </c>
    </row>
    <row r="378" spans="13:16" x14ac:dyDescent="0.3">
      <c r="M378">
        <v>376</v>
      </c>
      <c r="N378">
        <v>-290287</v>
      </c>
      <c r="P378">
        <v>957766</v>
      </c>
    </row>
    <row r="379" spans="13:16" x14ac:dyDescent="0.3">
      <c r="M379">
        <v>377</v>
      </c>
      <c r="N379">
        <v>211051</v>
      </c>
      <c r="P379">
        <v>310392</v>
      </c>
    </row>
    <row r="380" spans="13:16" x14ac:dyDescent="0.3">
      <c r="M380">
        <v>378</v>
      </c>
      <c r="N380">
        <v>-538715</v>
      </c>
      <c r="P380">
        <v>120412</v>
      </c>
    </row>
    <row r="381" spans="13:16" x14ac:dyDescent="0.3">
      <c r="M381">
        <v>379</v>
      </c>
      <c r="N381">
        <v>-158132</v>
      </c>
      <c r="P381">
        <v>791439</v>
      </c>
    </row>
    <row r="382" spans="13:16" x14ac:dyDescent="0.3">
      <c r="M382">
        <v>380</v>
      </c>
      <c r="N382">
        <v>-138065</v>
      </c>
      <c r="P382">
        <v>510031</v>
      </c>
    </row>
    <row r="383" spans="13:16" x14ac:dyDescent="0.3">
      <c r="M383">
        <v>381</v>
      </c>
      <c r="N383">
        <v>-76032</v>
      </c>
      <c r="P383">
        <v>362832</v>
      </c>
    </row>
    <row r="384" spans="13:16" x14ac:dyDescent="0.3">
      <c r="M384">
        <v>382</v>
      </c>
      <c r="N384">
        <v>-453604</v>
      </c>
      <c r="P384">
        <v>-490097</v>
      </c>
    </row>
    <row r="385" spans="13:16" x14ac:dyDescent="0.3">
      <c r="M385">
        <v>383</v>
      </c>
      <c r="N385">
        <v>-88363</v>
      </c>
      <c r="P385">
        <v>-745727</v>
      </c>
    </row>
    <row r="386" spans="13:16" x14ac:dyDescent="0.3">
      <c r="M386">
        <v>384</v>
      </c>
      <c r="N386">
        <v>-108508</v>
      </c>
      <c r="P386">
        <v>435631</v>
      </c>
    </row>
    <row r="387" spans="13:16" x14ac:dyDescent="0.3">
      <c r="M387">
        <v>385</v>
      </c>
      <c r="N387">
        <v>-644280</v>
      </c>
      <c r="P387">
        <v>-786713</v>
      </c>
    </row>
    <row r="388" spans="13:16" x14ac:dyDescent="0.3">
      <c r="M388">
        <v>386</v>
      </c>
      <c r="N388">
        <v>-68450</v>
      </c>
      <c r="P388">
        <v>-711223</v>
      </c>
    </row>
    <row r="389" spans="13:16" x14ac:dyDescent="0.3">
      <c r="M389">
        <v>387</v>
      </c>
      <c r="N389">
        <v>1003567</v>
      </c>
      <c r="P389">
        <v>-428676</v>
      </c>
    </row>
    <row r="390" spans="13:16" x14ac:dyDescent="0.3">
      <c r="M390">
        <v>388</v>
      </c>
      <c r="N390">
        <v>175421</v>
      </c>
      <c r="P390">
        <v>247404</v>
      </c>
    </row>
    <row r="391" spans="13:16" x14ac:dyDescent="0.3">
      <c r="M391">
        <v>389</v>
      </c>
      <c r="N391">
        <v>417903</v>
      </c>
      <c r="P391">
        <v>-401563</v>
      </c>
    </row>
    <row r="392" spans="13:16" x14ac:dyDescent="0.3">
      <c r="M392">
        <v>390</v>
      </c>
      <c r="N392">
        <v>79222</v>
      </c>
      <c r="P392">
        <v>-271479</v>
      </c>
    </row>
    <row r="393" spans="13:16" x14ac:dyDescent="0.3">
      <c r="M393">
        <v>391</v>
      </c>
      <c r="N393">
        <v>566732</v>
      </c>
      <c r="P393">
        <v>323815</v>
      </c>
    </row>
    <row r="394" spans="13:16" x14ac:dyDescent="0.3">
      <c r="M394">
        <v>392</v>
      </c>
      <c r="N394">
        <v>406635</v>
      </c>
      <c r="P394">
        <v>98594</v>
      </c>
    </row>
    <row r="395" spans="13:16" x14ac:dyDescent="0.3">
      <c r="M395">
        <v>393</v>
      </c>
      <c r="N395">
        <v>-819717</v>
      </c>
      <c r="P395">
        <v>-578272</v>
      </c>
    </row>
    <row r="396" spans="13:16" x14ac:dyDescent="0.3">
      <c r="M396">
        <v>394</v>
      </c>
      <c r="N396">
        <v>790002</v>
      </c>
      <c r="P396">
        <v>356927</v>
      </c>
    </row>
    <row r="397" spans="13:16" x14ac:dyDescent="0.3">
      <c r="M397">
        <v>395</v>
      </c>
      <c r="N397">
        <v>-333914</v>
      </c>
      <c r="P397">
        <v>360316</v>
      </c>
    </row>
    <row r="398" spans="13:16" x14ac:dyDescent="0.3">
      <c r="M398">
        <v>396</v>
      </c>
      <c r="N398">
        <v>221081</v>
      </c>
      <c r="P398">
        <v>421021</v>
      </c>
    </row>
    <row r="399" spans="13:16" x14ac:dyDescent="0.3">
      <c r="M399">
        <v>397</v>
      </c>
      <c r="N399">
        <v>-270524</v>
      </c>
      <c r="P399">
        <v>50096</v>
      </c>
    </row>
    <row r="400" spans="13:16" x14ac:dyDescent="0.3">
      <c r="M400">
        <v>398</v>
      </c>
      <c r="N400">
        <v>-459574</v>
      </c>
      <c r="P400">
        <v>-785558</v>
      </c>
    </row>
    <row r="401" spans="13:16" x14ac:dyDescent="0.3">
      <c r="M401">
        <v>399</v>
      </c>
      <c r="N401">
        <v>-406961</v>
      </c>
      <c r="P401">
        <v>50270</v>
      </c>
    </row>
    <row r="402" spans="13:16" x14ac:dyDescent="0.3">
      <c r="M402">
        <v>400</v>
      </c>
      <c r="N402">
        <v>8518</v>
      </c>
      <c r="P402">
        <v>-113189</v>
      </c>
    </row>
    <row r="403" spans="13:16" x14ac:dyDescent="0.3">
      <c r="M403">
        <v>401</v>
      </c>
      <c r="N403">
        <v>-225601</v>
      </c>
      <c r="P403">
        <v>-155616</v>
      </c>
    </row>
    <row r="404" spans="13:16" x14ac:dyDescent="0.3">
      <c r="M404">
        <v>402</v>
      </c>
      <c r="N404">
        <v>531350</v>
      </c>
      <c r="P404">
        <v>-186185</v>
      </c>
    </row>
    <row r="405" spans="13:16" x14ac:dyDescent="0.3">
      <c r="M405">
        <v>403</v>
      </c>
      <c r="N405">
        <v>-635191</v>
      </c>
      <c r="P405">
        <v>-378618</v>
      </c>
    </row>
    <row r="406" spans="13:16" x14ac:dyDescent="0.3">
      <c r="M406">
        <v>404</v>
      </c>
      <c r="N406">
        <v>-83934</v>
      </c>
      <c r="P406">
        <v>599045</v>
      </c>
    </row>
    <row r="407" spans="13:16" x14ac:dyDescent="0.3">
      <c r="M407">
        <v>405</v>
      </c>
      <c r="N407">
        <v>-91352</v>
      </c>
      <c r="P407">
        <v>-638406</v>
      </c>
    </row>
    <row r="408" spans="13:16" x14ac:dyDescent="0.3">
      <c r="M408">
        <v>406</v>
      </c>
      <c r="N408">
        <v>-345476</v>
      </c>
      <c r="P408">
        <v>-171780</v>
      </c>
    </row>
    <row r="409" spans="13:16" x14ac:dyDescent="0.3">
      <c r="M409">
        <v>407</v>
      </c>
      <c r="N409">
        <v>495407</v>
      </c>
      <c r="P409">
        <v>215428</v>
      </c>
    </row>
    <row r="410" spans="13:16" x14ac:dyDescent="0.3">
      <c r="M410">
        <v>408</v>
      </c>
      <c r="N410">
        <v>-369738</v>
      </c>
      <c r="P410">
        <v>373788</v>
      </c>
    </row>
    <row r="411" spans="13:16" x14ac:dyDescent="0.3">
      <c r="M411">
        <v>409</v>
      </c>
      <c r="N411">
        <v>-305902</v>
      </c>
      <c r="P411">
        <v>309137</v>
      </c>
    </row>
    <row r="412" spans="13:16" x14ac:dyDescent="0.3">
      <c r="M412">
        <v>410</v>
      </c>
      <c r="N412">
        <v>-400292</v>
      </c>
      <c r="P412">
        <v>103953</v>
      </c>
    </row>
    <row r="413" spans="13:16" x14ac:dyDescent="0.3">
      <c r="M413">
        <v>411</v>
      </c>
      <c r="N413">
        <v>321952</v>
      </c>
      <c r="P413">
        <v>-373848</v>
      </c>
    </row>
    <row r="414" spans="13:16" x14ac:dyDescent="0.3">
      <c r="M414">
        <v>412</v>
      </c>
      <c r="N414">
        <v>-351307</v>
      </c>
      <c r="P414">
        <v>-483232</v>
      </c>
    </row>
    <row r="415" spans="13:16" x14ac:dyDescent="0.3">
      <c r="M415">
        <v>413</v>
      </c>
      <c r="N415">
        <v>-499653</v>
      </c>
      <c r="P415">
        <v>68942</v>
      </c>
    </row>
    <row r="416" spans="13:16" x14ac:dyDescent="0.3">
      <c r="M416">
        <v>414</v>
      </c>
      <c r="N416">
        <v>710349</v>
      </c>
      <c r="P416">
        <v>33533</v>
      </c>
    </row>
    <row r="417" spans="13:16" x14ac:dyDescent="0.3">
      <c r="M417">
        <v>415</v>
      </c>
      <c r="N417">
        <v>-614676</v>
      </c>
      <c r="P417">
        <v>546202</v>
      </c>
    </row>
    <row r="418" spans="13:16" x14ac:dyDescent="0.3">
      <c r="M418">
        <v>416</v>
      </c>
      <c r="N418">
        <v>-128078</v>
      </c>
      <c r="P418">
        <v>443332</v>
      </c>
    </row>
    <row r="419" spans="13:16" x14ac:dyDescent="0.3">
      <c r="M419">
        <v>417</v>
      </c>
      <c r="N419">
        <v>645483</v>
      </c>
      <c r="P419">
        <v>746282</v>
      </c>
    </row>
    <row r="420" spans="13:16" x14ac:dyDescent="0.3">
      <c r="M420">
        <v>418</v>
      </c>
      <c r="N420">
        <v>270783</v>
      </c>
      <c r="P420">
        <v>-619525</v>
      </c>
    </row>
    <row r="421" spans="13:16" x14ac:dyDescent="0.3">
      <c r="M421">
        <v>419</v>
      </c>
      <c r="N421">
        <v>205820</v>
      </c>
      <c r="P421">
        <v>-244619</v>
      </c>
    </row>
    <row r="422" spans="13:16" x14ac:dyDescent="0.3">
      <c r="M422">
        <v>420</v>
      </c>
      <c r="N422">
        <v>134276</v>
      </c>
      <c r="P422">
        <v>334346</v>
      </c>
    </row>
    <row r="423" spans="13:16" x14ac:dyDescent="0.3">
      <c r="M423">
        <v>421</v>
      </c>
      <c r="N423">
        <v>279722</v>
      </c>
      <c r="P423">
        <v>-161077</v>
      </c>
    </row>
    <row r="424" spans="13:16" x14ac:dyDescent="0.3">
      <c r="M424">
        <v>422</v>
      </c>
      <c r="N424">
        <v>264475</v>
      </c>
      <c r="P424">
        <v>115703</v>
      </c>
    </row>
    <row r="425" spans="13:16" x14ac:dyDescent="0.3">
      <c r="M425">
        <v>423</v>
      </c>
      <c r="N425">
        <v>130798</v>
      </c>
      <c r="P425">
        <v>-463330</v>
      </c>
    </row>
    <row r="426" spans="13:16" x14ac:dyDescent="0.3">
      <c r="M426">
        <v>424</v>
      </c>
      <c r="N426">
        <v>-612551</v>
      </c>
      <c r="P426">
        <v>301106</v>
      </c>
    </row>
    <row r="427" spans="13:16" x14ac:dyDescent="0.3">
      <c r="M427">
        <v>425</v>
      </c>
      <c r="N427">
        <v>-298390</v>
      </c>
      <c r="P427">
        <v>499082</v>
      </c>
    </row>
    <row r="428" spans="13:16" x14ac:dyDescent="0.3">
      <c r="M428">
        <v>426</v>
      </c>
      <c r="N428">
        <v>532224</v>
      </c>
      <c r="P428">
        <v>17407</v>
      </c>
    </row>
    <row r="429" spans="13:16" x14ac:dyDescent="0.3">
      <c r="M429">
        <v>427</v>
      </c>
      <c r="N429">
        <v>-111715</v>
      </c>
      <c r="P429">
        <v>398778</v>
      </c>
    </row>
    <row r="430" spans="13:16" x14ac:dyDescent="0.3">
      <c r="M430">
        <v>428</v>
      </c>
      <c r="N430">
        <v>99963</v>
      </c>
      <c r="P430">
        <v>-384991</v>
      </c>
    </row>
    <row r="431" spans="13:16" x14ac:dyDescent="0.3">
      <c r="M431">
        <v>429</v>
      </c>
      <c r="N431">
        <v>-343716</v>
      </c>
      <c r="P431">
        <v>285681</v>
      </c>
    </row>
    <row r="432" spans="13:16" x14ac:dyDescent="0.3">
      <c r="M432">
        <v>430</v>
      </c>
      <c r="N432">
        <v>-236544</v>
      </c>
      <c r="P432">
        <v>-297355</v>
      </c>
    </row>
    <row r="433" spans="13:16" x14ac:dyDescent="0.3">
      <c r="M433">
        <v>431</v>
      </c>
      <c r="N433">
        <v>-364862</v>
      </c>
      <c r="P433">
        <v>579277</v>
      </c>
    </row>
    <row r="434" spans="13:16" x14ac:dyDescent="0.3">
      <c r="M434">
        <v>432</v>
      </c>
      <c r="N434">
        <v>330834</v>
      </c>
      <c r="P434">
        <v>-606078</v>
      </c>
    </row>
    <row r="435" spans="13:16" x14ac:dyDescent="0.3">
      <c r="M435">
        <v>433</v>
      </c>
      <c r="N435">
        <v>-75380</v>
      </c>
      <c r="P435">
        <v>92718</v>
      </c>
    </row>
    <row r="436" spans="13:16" x14ac:dyDescent="0.3">
      <c r="M436">
        <v>434</v>
      </c>
      <c r="N436">
        <v>344143</v>
      </c>
      <c r="P436">
        <v>-341453</v>
      </c>
    </row>
    <row r="437" spans="13:16" x14ac:dyDescent="0.3">
      <c r="M437">
        <v>435</v>
      </c>
      <c r="N437">
        <v>5906</v>
      </c>
      <c r="P437">
        <v>-558779</v>
      </c>
    </row>
    <row r="438" spans="13:16" x14ac:dyDescent="0.3">
      <c r="M438">
        <v>436</v>
      </c>
      <c r="N438">
        <v>-363751</v>
      </c>
      <c r="P438">
        <v>36071</v>
      </c>
    </row>
    <row r="439" spans="13:16" x14ac:dyDescent="0.3">
      <c r="M439">
        <v>437</v>
      </c>
      <c r="N439">
        <v>296017</v>
      </c>
      <c r="P439">
        <v>-370645</v>
      </c>
    </row>
    <row r="440" spans="13:16" x14ac:dyDescent="0.3">
      <c r="M440">
        <v>438</v>
      </c>
      <c r="N440">
        <v>155815</v>
      </c>
      <c r="P440">
        <v>-142585</v>
      </c>
    </row>
    <row r="441" spans="13:16" x14ac:dyDescent="0.3">
      <c r="M441">
        <v>439</v>
      </c>
      <c r="N441">
        <v>-478752</v>
      </c>
      <c r="P441">
        <v>436909</v>
      </c>
    </row>
    <row r="442" spans="13:16" x14ac:dyDescent="0.3">
      <c r="M442">
        <v>440</v>
      </c>
      <c r="N442">
        <v>343104</v>
      </c>
      <c r="P442">
        <v>-172238</v>
      </c>
    </row>
    <row r="443" spans="13:16" x14ac:dyDescent="0.3">
      <c r="M443">
        <v>441</v>
      </c>
      <c r="N443">
        <v>261385</v>
      </c>
      <c r="P443">
        <v>767978</v>
      </c>
    </row>
    <row r="444" spans="13:16" x14ac:dyDescent="0.3">
      <c r="M444">
        <v>442</v>
      </c>
      <c r="N444">
        <v>-251513</v>
      </c>
      <c r="P444">
        <v>152959</v>
      </c>
    </row>
    <row r="445" spans="13:16" x14ac:dyDescent="0.3">
      <c r="M445">
        <v>443</v>
      </c>
      <c r="N445">
        <v>73981</v>
      </c>
      <c r="P445">
        <v>-637541</v>
      </c>
    </row>
    <row r="446" spans="13:16" x14ac:dyDescent="0.3">
      <c r="M446">
        <v>444</v>
      </c>
      <c r="N446">
        <v>171823</v>
      </c>
      <c r="P446">
        <v>305512</v>
      </c>
    </row>
    <row r="447" spans="13:16" x14ac:dyDescent="0.3">
      <c r="M447">
        <v>445</v>
      </c>
      <c r="N447">
        <v>603055</v>
      </c>
      <c r="P447">
        <v>-298476</v>
      </c>
    </row>
    <row r="448" spans="13:16" x14ac:dyDescent="0.3">
      <c r="M448">
        <v>446</v>
      </c>
      <c r="N448">
        <v>-742245</v>
      </c>
      <c r="P448">
        <v>-631856</v>
      </c>
    </row>
    <row r="449" spans="13:16" x14ac:dyDescent="0.3">
      <c r="M449">
        <v>447</v>
      </c>
      <c r="N449">
        <v>-163131</v>
      </c>
      <c r="P449">
        <v>117307</v>
      </c>
    </row>
    <row r="450" spans="13:16" x14ac:dyDescent="0.3">
      <c r="M450">
        <v>448</v>
      </c>
      <c r="N450">
        <v>-92077</v>
      </c>
      <c r="P450">
        <v>-108319</v>
      </c>
    </row>
    <row r="451" spans="13:16" x14ac:dyDescent="0.3">
      <c r="M451">
        <v>449</v>
      </c>
      <c r="N451">
        <v>102756</v>
      </c>
      <c r="P451">
        <v>-325729</v>
      </c>
    </row>
    <row r="452" spans="13:16" x14ac:dyDescent="0.3">
      <c r="M452">
        <v>450</v>
      </c>
      <c r="N452">
        <v>-301230</v>
      </c>
      <c r="P452">
        <v>-142472</v>
      </c>
    </row>
    <row r="453" spans="13:16" x14ac:dyDescent="0.3">
      <c r="M453">
        <v>451</v>
      </c>
      <c r="N453">
        <v>-436483</v>
      </c>
      <c r="P453">
        <v>-12845</v>
      </c>
    </row>
    <row r="454" spans="13:16" x14ac:dyDescent="0.3">
      <c r="M454">
        <v>452</v>
      </c>
      <c r="N454">
        <v>-293107</v>
      </c>
      <c r="P454">
        <v>288559</v>
      </c>
    </row>
    <row r="455" spans="13:16" x14ac:dyDescent="0.3">
      <c r="M455">
        <v>453</v>
      </c>
      <c r="N455">
        <v>740384</v>
      </c>
      <c r="P455">
        <v>170590</v>
      </c>
    </row>
    <row r="456" spans="13:16" x14ac:dyDescent="0.3">
      <c r="M456">
        <v>454</v>
      </c>
      <c r="N456">
        <v>803008</v>
      </c>
      <c r="P456">
        <v>139743</v>
      </c>
    </row>
    <row r="457" spans="13:16" x14ac:dyDescent="0.3">
      <c r="M457">
        <v>455</v>
      </c>
      <c r="N457">
        <v>396822</v>
      </c>
      <c r="P457">
        <v>389222</v>
      </c>
    </row>
    <row r="458" spans="13:16" x14ac:dyDescent="0.3">
      <c r="M458">
        <v>456</v>
      </c>
      <c r="N458">
        <v>-37552</v>
      </c>
      <c r="P458">
        <v>-37528</v>
      </c>
    </row>
    <row r="459" spans="13:16" x14ac:dyDescent="0.3">
      <c r="M459">
        <v>457</v>
      </c>
      <c r="N459">
        <v>-304325</v>
      </c>
      <c r="P459">
        <v>396999</v>
      </c>
    </row>
    <row r="460" spans="13:16" x14ac:dyDescent="0.3">
      <c r="M460">
        <v>458</v>
      </c>
      <c r="N460">
        <v>-771474</v>
      </c>
      <c r="P460">
        <v>105135</v>
      </c>
    </row>
    <row r="461" spans="13:16" x14ac:dyDescent="0.3">
      <c r="M461">
        <v>459</v>
      </c>
      <c r="N461">
        <v>265248</v>
      </c>
      <c r="P461">
        <v>294053</v>
      </c>
    </row>
    <row r="462" spans="13:16" x14ac:dyDescent="0.3">
      <c r="M462">
        <v>460</v>
      </c>
      <c r="N462">
        <v>-148296</v>
      </c>
      <c r="P462">
        <v>-600770</v>
      </c>
    </row>
    <row r="463" spans="13:16" x14ac:dyDescent="0.3">
      <c r="M463">
        <v>461</v>
      </c>
      <c r="N463">
        <v>955207</v>
      </c>
      <c r="P463">
        <v>-47957</v>
      </c>
    </row>
    <row r="464" spans="13:16" x14ac:dyDescent="0.3">
      <c r="M464">
        <v>462</v>
      </c>
      <c r="N464">
        <v>363771</v>
      </c>
      <c r="P464">
        <v>-85695</v>
      </c>
    </row>
    <row r="465" spans="13:16" x14ac:dyDescent="0.3">
      <c r="M465">
        <v>463</v>
      </c>
      <c r="N465">
        <v>740284</v>
      </c>
      <c r="P465">
        <v>350363</v>
      </c>
    </row>
    <row r="466" spans="13:16" x14ac:dyDescent="0.3">
      <c r="M466">
        <v>464</v>
      </c>
      <c r="N466">
        <v>542943</v>
      </c>
      <c r="P466">
        <v>-203327</v>
      </c>
    </row>
    <row r="467" spans="13:16" x14ac:dyDescent="0.3">
      <c r="M467">
        <v>465</v>
      </c>
      <c r="N467">
        <v>854035</v>
      </c>
      <c r="P467">
        <v>-328483</v>
      </c>
    </row>
    <row r="468" spans="13:16" x14ac:dyDescent="0.3">
      <c r="M468">
        <v>466</v>
      </c>
      <c r="N468">
        <v>71612</v>
      </c>
      <c r="P468">
        <v>468220</v>
      </c>
    </row>
    <row r="469" spans="13:16" x14ac:dyDescent="0.3">
      <c r="M469">
        <v>467</v>
      </c>
      <c r="N469">
        <v>42960</v>
      </c>
      <c r="P469">
        <v>317227</v>
      </c>
    </row>
    <row r="470" spans="13:16" x14ac:dyDescent="0.3">
      <c r="M470">
        <v>468</v>
      </c>
      <c r="N470">
        <v>-652527</v>
      </c>
      <c r="P470">
        <v>699744</v>
      </c>
    </row>
    <row r="471" spans="13:16" x14ac:dyDescent="0.3">
      <c r="M471">
        <v>469</v>
      </c>
      <c r="N471">
        <v>547549</v>
      </c>
      <c r="P471">
        <v>-728388</v>
      </c>
    </row>
    <row r="472" spans="13:16" x14ac:dyDescent="0.3">
      <c r="M472">
        <v>470</v>
      </c>
      <c r="N472">
        <v>1013748</v>
      </c>
      <c r="P472">
        <v>751703</v>
      </c>
    </row>
    <row r="473" spans="13:16" x14ac:dyDescent="0.3">
      <c r="M473">
        <v>471</v>
      </c>
      <c r="N473">
        <v>287831</v>
      </c>
      <c r="P473">
        <v>201514</v>
      </c>
    </row>
    <row r="474" spans="13:16" x14ac:dyDescent="0.3">
      <c r="M474">
        <v>472</v>
      </c>
      <c r="N474">
        <v>42584</v>
      </c>
      <c r="P474">
        <v>537567</v>
      </c>
    </row>
    <row r="475" spans="13:16" x14ac:dyDescent="0.3">
      <c r="M475">
        <v>473</v>
      </c>
      <c r="N475">
        <v>138756</v>
      </c>
      <c r="P475">
        <v>731962</v>
      </c>
    </row>
    <row r="476" spans="13:16" x14ac:dyDescent="0.3">
      <c r="M476">
        <v>474</v>
      </c>
      <c r="N476">
        <v>587161</v>
      </c>
      <c r="P476">
        <v>13839</v>
      </c>
    </row>
    <row r="477" spans="13:16" x14ac:dyDescent="0.3">
      <c r="M477">
        <v>475</v>
      </c>
      <c r="N477">
        <v>-75445</v>
      </c>
      <c r="P477">
        <v>-278382</v>
      </c>
    </row>
    <row r="478" spans="13:16" x14ac:dyDescent="0.3">
      <c r="M478">
        <v>476</v>
      </c>
      <c r="N478">
        <v>623349</v>
      </c>
      <c r="P478">
        <v>438304</v>
      </c>
    </row>
    <row r="479" spans="13:16" x14ac:dyDescent="0.3">
      <c r="M479">
        <v>477</v>
      </c>
      <c r="N479">
        <v>-330429</v>
      </c>
      <c r="P479">
        <v>-97045</v>
      </c>
    </row>
    <row r="480" spans="13:16" x14ac:dyDescent="0.3">
      <c r="M480">
        <v>478</v>
      </c>
      <c r="N480">
        <v>-84421</v>
      </c>
      <c r="P480">
        <v>456440</v>
      </c>
    </row>
    <row r="481" spans="13:16" x14ac:dyDescent="0.3">
      <c r="M481">
        <v>479</v>
      </c>
      <c r="N481">
        <v>774215</v>
      </c>
      <c r="P481">
        <v>433483</v>
      </c>
    </row>
    <row r="482" spans="13:16" x14ac:dyDescent="0.3">
      <c r="M482">
        <v>480</v>
      </c>
      <c r="N482">
        <v>-564459</v>
      </c>
      <c r="P482">
        <v>-285574</v>
      </c>
    </row>
    <row r="483" spans="13:16" x14ac:dyDescent="0.3">
      <c r="M483">
        <v>481</v>
      </c>
      <c r="N483">
        <v>223968</v>
      </c>
      <c r="P483">
        <v>-288318</v>
      </c>
    </row>
    <row r="484" spans="13:16" x14ac:dyDescent="0.3">
      <c r="M484">
        <v>482</v>
      </c>
      <c r="N484">
        <v>424475</v>
      </c>
      <c r="P484">
        <v>241875</v>
      </c>
    </row>
    <row r="485" spans="13:16" x14ac:dyDescent="0.3">
      <c r="M485">
        <v>483</v>
      </c>
      <c r="N485">
        <v>-459992</v>
      </c>
      <c r="P485">
        <v>-36136</v>
      </c>
    </row>
    <row r="486" spans="13:16" x14ac:dyDescent="0.3">
      <c r="M486">
        <v>484</v>
      </c>
      <c r="N486">
        <v>2012</v>
      </c>
      <c r="P486">
        <v>293661</v>
      </c>
    </row>
    <row r="487" spans="13:16" x14ac:dyDescent="0.3">
      <c r="M487">
        <v>485</v>
      </c>
      <c r="N487">
        <v>290938</v>
      </c>
      <c r="P487">
        <v>458500</v>
      </c>
    </row>
    <row r="488" spans="13:16" x14ac:dyDescent="0.3">
      <c r="M488">
        <v>486</v>
      </c>
      <c r="N488">
        <v>542704</v>
      </c>
      <c r="P488">
        <v>43561</v>
      </c>
    </row>
    <row r="489" spans="13:16" x14ac:dyDescent="0.3">
      <c r="M489">
        <v>487</v>
      </c>
      <c r="N489">
        <v>23191</v>
      </c>
      <c r="P489">
        <v>-291443</v>
      </c>
    </row>
    <row r="490" spans="13:16" x14ac:dyDescent="0.3">
      <c r="M490">
        <v>488</v>
      </c>
      <c r="N490">
        <v>499538</v>
      </c>
      <c r="P490">
        <v>-43251</v>
      </c>
    </row>
    <row r="491" spans="13:16" x14ac:dyDescent="0.3">
      <c r="M491">
        <v>489</v>
      </c>
      <c r="N491">
        <v>220912</v>
      </c>
      <c r="P491">
        <v>598489</v>
      </c>
    </row>
    <row r="492" spans="13:16" x14ac:dyDescent="0.3">
      <c r="M492">
        <v>490</v>
      </c>
      <c r="N492">
        <v>238395</v>
      </c>
      <c r="P492">
        <v>-618761</v>
      </c>
    </row>
    <row r="493" spans="13:16" x14ac:dyDescent="0.3">
      <c r="M493">
        <v>491</v>
      </c>
      <c r="N493">
        <v>489493</v>
      </c>
      <c r="P493">
        <v>88926</v>
      </c>
    </row>
    <row r="494" spans="13:16" x14ac:dyDescent="0.3">
      <c r="M494">
        <v>492</v>
      </c>
      <c r="N494">
        <v>-228324</v>
      </c>
      <c r="P494">
        <v>588837</v>
      </c>
    </row>
    <row r="495" spans="13:16" x14ac:dyDescent="0.3">
      <c r="M495">
        <v>493</v>
      </c>
      <c r="N495">
        <v>-376196</v>
      </c>
      <c r="P495">
        <v>175208</v>
      </c>
    </row>
    <row r="496" spans="13:16" x14ac:dyDescent="0.3">
      <c r="M496">
        <v>494</v>
      </c>
      <c r="N496">
        <v>188636</v>
      </c>
      <c r="P496">
        <v>-447321</v>
      </c>
    </row>
    <row r="497" spans="13:16" x14ac:dyDescent="0.3">
      <c r="M497">
        <v>495</v>
      </c>
      <c r="N497">
        <v>425859</v>
      </c>
      <c r="P497">
        <v>165509</v>
      </c>
    </row>
    <row r="498" spans="13:16" x14ac:dyDescent="0.3">
      <c r="M498">
        <v>496</v>
      </c>
      <c r="N498">
        <v>-30608</v>
      </c>
      <c r="P498">
        <v>28200</v>
      </c>
    </row>
    <row r="499" spans="13:16" x14ac:dyDescent="0.3">
      <c r="M499">
        <v>497</v>
      </c>
      <c r="N499">
        <v>328969</v>
      </c>
      <c r="P499">
        <v>-316029</v>
      </c>
    </row>
    <row r="500" spans="13:16" x14ac:dyDescent="0.3">
      <c r="M500">
        <v>498</v>
      </c>
      <c r="N500">
        <v>-180997</v>
      </c>
      <c r="P500">
        <v>-351498</v>
      </c>
    </row>
    <row r="501" spans="13:16" x14ac:dyDescent="0.3">
      <c r="M501">
        <v>499</v>
      </c>
      <c r="N501">
        <v>-315557</v>
      </c>
      <c r="P501">
        <v>-29214</v>
      </c>
    </row>
    <row r="502" spans="13:16" x14ac:dyDescent="0.3">
      <c r="M502">
        <v>500</v>
      </c>
      <c r="N502">
        <v>-551925</v>
      </c>
      <c r="P502">
        <v>298423</v>
      </c>
    </row>
    <row r="503" spans="13:16" x14ac:dyDescent="0.3">
      <c r="M503">
        <v>501</v>
      </c>
      <c r="N503">
        <v>343543</v>
      </c>
      <c r="P503">
        <v>230887</v>
      </c>
    </row>
    <row r="504" spans="13:16" x14ac:dyDescent="0.3">
      <c r="M504">
        <v>502</v>
      </c>
      <c r="N504">
        <v>-266358</v>
      </c>
      <c r="P504">
        <v>-587819</v>
      </c>
    </row>
    <row r="505" spans="13:16" x14ac:dyDescent="0.3">
      <c r="M505">
        <v>503</v>
      </c>
      <c r="N505">
        <v>-86505</v>
      </c>
      <c r="P505">
        <v>525459</v>
      </c>
    </row>
    <row r="506" spans="13:16" x14ac:dyDescent="0.3">
      <c r="M506">
        <v>504</v>
      </c>
      <c r="N506">
        <v>-187406</v>
      </c>
      <c r="P506">
        <v>181196</v>
      </c>
    </row>
    <row r="507" spans="13:16" x14ac:dyDescent="0.3">
      <c r="M507">
        <v>505</v>
      </c>
      <c r="N507">
        <v>-411389</v>
      </c>
      <c r="P507">
        <v>-243849</v>
      </c>
    </row>
    <row r="508" spans="13:16" x14ac:dyDescent="0.3">
      <c r="M508">
        <v>506</v>
      </c>
      <c r="N508">
        <v>-724003</v>
      </c>
      <c r="P508">
        <v>302068</v>
      </c>
    </row>
    <row r="509" spans="13:16" x14ac:dyDescent="0.3">
      <c r="M509">
        <v>507</v>
      </c>
      <c r="N509">
        <v>-553483</v>
      </c>
      <c r="P509">
        <v>-7125</v>
      </c>
    </row>
    <row r="510" spans="13:16" x14ac:dyDescent="0.3">
      <c r="M510">
        <v>508</v>
      </c>
      <c r="N510">
        <v>785915</v>
      </c>
      <c r="P510">
        <v>141820</v>
      </c>
    </row>
    <row r="511" spans="13:16" x14ac:dyDescent="0.3">
      <c r="M511">
        <v>509</v>
      </c>
      <c r="N511">
        <v>-61835</v>
      </c>
      <c r="P511">
        <v>-772197</v>
      </c>
    </row>
    <row r="512" spans="13:16" x14ac:dyDescent="0.3">
      <c r="M512">
        <v>510</v>
      </c>
      <c r="N512">
        <v>219274</v>
      </c>
      <c r="P512">
        <v>697678</v>
      </c>
    </row>
    <row r="513" spans="13:16" x14ac:dyDescent="0.3">
      <c r="M513">
        <v>511</v>
      </c>
      <c r="N513">
        <v>589554</v>
      </c>
      <c r="P513">
        <v>-129040</v>
      </c>
    </row>
    <row r="514" spans="13:16" x14ac:dyDescent="0.3">
      <c r="M514">
        <v>512</v>
      </c>
      <c r="N514">
        <v>-411616</v>
      </c>
      <c r="P514">
        <v>545185</v>
      </c>
    </row>
    <row r="515" spans="13:16" x14ac:dyDescent="0.3">
      <c r="M515">
        <v>513</v>
      </c>
      <c r="N515">
        <v>-583167</v>
      </c>
      <c r="P515">
        <v>-62080</v>
      </c>
    </row>
    <row r="516" spans="13:16" x14ac:dyDescent="0.3">
      <c r="M516">
        <v>514</v>
      </c>
      <c r="N516">
        <v>-175276</v>
      </c>
      <c r="P516">
        <v>-698389</v>
      </c>
    </row>
    <row r="517" spans="13:16" x14ac:dyDescent="0.3">
      <c r="M517">
        <v>515</v>
      </c>
      <c r="N517">
        <v>-65355</v>
      </c>
      <c r="P517">
        <v>-674570</v>
      </c>
    </row>
    <row r="518" spans="13:16" x14ac:dyDescent="0.3">
      <c r="M518">
        <v>516</v>
      </c>
      <c r="N518">
        <v>557274</v>
      </c>
      <c r="P518">
        <v>-662184</v>
      </c>
    </row>
    <row r="519" spans="13:16" x14ac:dyDescent="0.3">
      <c r="M519">
        <v>517</v>
      </c>
      <c r="N519">
        <v>-307263</v>
      </c>
      <c r="P519">
        <v>-450608</v>
      </c>
    </row>
    <row r="520" spans="13:16" x14ac:dyDescent="0.3">
      <c r="M520">
        <v>518</v>
      </c>
      <c r="N520">
        <v>-607089</v>
      </c>
      <c r="P520">
        <v>-563134</v>
      </c>
    </row>
    <row r="521" spans="13:16" x14ac:dyDescent="0.3">
      <c r="M521">
        <v>519</v>
      </c>
      <c r="N521">
        <v>-225199</v>
      </c>
      <c r="P521">
        <v>273478</v>
      </c>
    </row>
    <row r="522" spans="13:16" x14ac:dyDescent="0.3">
      <c r="M522">
        <v>520</v>
      </c>
      <c r="N522">
        <v>-133640</v>
      </c>
      <c r="P522">
        <v>700268</v>
      </c>
    </row>
    <row r="523" spans="13:16" x14ac:dyDescent="0.3">
      <c r="M523">
        <v>521</v>
      </c>
      <c r="N523">
        <v>8116</v>
      </c>
      <c r="P523">
        <v>-312295</v>
      </c>
    </row>
    <row r="524" spans="13:16" x14ac:dyDescent="0.3">
      <c r="M524">
        <v>522</v>
      </c>
      <c r="N524">
        <v>-274135</v>
      </c>
      <c r="P524">
        <v>-420870</v>
      </c>
    </row>
    <row r="525" spans="13:16" x14ac:dyDescent="0.3">
      <c r="M525">
        <v>523</v>
      </c>
      <c r="N525">
        <v>-345238</v>
      </c>
      <c r="P525">
        <v>164628</v>
      </c>
    </row>
    <row r="526" spans="13:16" x14ac:dyDescent="0.3">
      <c r="M526">
        <v>524</v>
      </c>
      <c r="N526">
        <v>122730</v>
      </c>
      <c r="P526">
        <v>-298968</v>
      </c>
    </row>
    <row r="527" spans="13:16" x14ac:dyDescent="0.3">
      <c r="M527">
        <v>525</v>
      </c>
      <c r="N527">
        <v>33131</v>
      </c>
      <c r="P527">
        <v>-466866</v>
      </c>
    </row>
    <row r="528" spans="13:16" x14ac:dyDescent="0.3">
      <c r="M528">
        <v>526</v>
      </c>
      <c r="N528">
        <v>401826</v>
      </c>
      <c r="P528">
        <v>707819</v>
      </c>
    </row>
    <row r="529" spans="13:16" x14ac:dyDescent="0.3">
      <c r="M529">
        <v>527</v>
      </c>
      <c r="N529">
        <v>-791453</v>
      </c>
      <c r="P529">
        <v>-171432</v>
      </c>
    </row>
    <row r="530" spans="13:16" x14ac:dyDescent="0.3">
      <c r="M530">
        <v>528</v>
      </c>
      <c r="N530">
        <v>214484</v>
      </c>
      <c r="P530">
        <v>290552</v>
      </c>
    </row>
    <row r="531" spans="13:16" x14ac:dyDescent="0.3">
      <c r="M531">
        <v>529</v>
      </c>
      <c r="N531">
        <v>862940</v>
      </c>
      <c r="P531">
        <v>-44099</v>
      </c>
    </row>
    <row r="532" spans="13:16" x14ac:dyDescent="0.3">
      <c r="M532">
        <v>530</v>
      </c>
      <c r="N532">
        <v>40460</v>
      </c>
      <c r="P532">
        <v>-662727</v>
      </c>
    </row>
    <row r="533" spans="13:16" x14ac:dyDescent="0.3">
      <c r="M533">
        <v>531</v>
      </c>
      <c r="N533">
        <v>-272190</v>
      </c>
      <c r="P533">
        <v>-386945</v>
      </c>
    </row>
    <row r="534" spans="13:16" x14ac:dyDescent="0.3">
      <c r="M534">
        <v>532</v>
      </c>
      <c r="N534">
        <v>817512</v>
      </c>
      <c r="P534">
        <v>-111824</v>
      </c>
    </row>
    <row r="535" spans="13:16" x14ac:dyDescent="0.3">
      <c r="M535">
        <v>533</v>
      </c>
      <c r="N535">
        <v>626958</v>
      </c>
      <c r="P535">
        <v>-208764</v>
      </c>
    </row>
    <row r="536" spans="13:16" x14ac:dyDescent="0.3">
      <c r="M536">
        <v>534</v>
      </c>
      <c r="N536">
        <v>235068</v>
      </c>
      <c r="P536">
        <v>-300598</v>
      </c>
    </row>
    <row r="537" spans="13:16" x14ac:dyDescent="0.3">
      <c r="M537">
        <v>535</v>
      </c>
      <c r="N537">
        <v>-562309</v>
      </c>
      <c r="P537">
        <v>-336915</v>
      </c>
    </row>
    <row r="538" spans="13:16" x14ac:dyDescent="0.3">
      <c r="M538">
        <v>536</v>
      </c>
      <c r="N538">
        <v>-457334</v>
      </c>
      <c r="P538">
        <v>-158293</v>
      </c>
    </row>
    <row r="539" spans="13:16" x14ac:dyDescent="0.3">
      <c r="M539">
        <v>537</v>
      </c>
      <c r="N539">
        <v>459065</v>
      </c>
      <c r="P539">
        <v>376070</v>
      </c>
    </row>
    <row r="540" spans="13:16" x14ac:dyDescent="0.3">
      <c r="M540">
        <v>538</v>
      </c>
      <c r="N540">
        <v>-37575</v>
      </c>
      <c r="P540">
        <v>729568</v>
      </c>
    </row>
    <row r="541" spans="13:16" x14ac:dyDescent="0.3">
      <c r="M541">
        <v>539</v>
      </c>
      <c r="N541">
        <v>-97731</v>
      </c>
      <c r="P541">
        <v>-335413</v>
      </c>
    </row>
    <row r="542" spans="13:16" x14ac:dyDescent="0.3">
      <c r="M542">
        <v>540</v>
      </c>
      <c r="N542">
        <v>401004</v>
      </c>
      <c r="P542">
        <v>451289</v>
      </c>
    </row>
    <row r="543" spans="13:16" x14ac:dyDescent="0.3">
      <c r="M543">
        <v>541</v>
      </c>
      <c r="N543">
        <v>-243718</v>
      </c>
      <c r="P543">
        <v>-535657</v>
      </c>
    </row>
    <row r="544" spans="13:16" x14ac:dyDescent="0.3">
      <c r="M544">
        <v>542</v>
      </c>
      <c r="N544">
        <v>675958</v>
      </c>
      <c r="P544">
        <v>-572954</v>
      </c>
    </row>
    <row r="545" spans="13:16" x14ac:dyDescent="0.3">
      <c r="M545">
        <v>543</v>
      </c>
      <c r="N545">
        <v>446953</v>
      </c>
      <c r="P545">
        <v>-845891</v>
      </c>
    </row>
    <row r="546" spans="13:16" x14ac:dyDescent="0.3">
      <c r="M546">
        <v>544</v>
      </c>
      <c r="N546">
        <v>-222389</v>
      </c>
      <c r="P546">
        <v>-100882</v>
      </c>
    </row>
    <row r="547" spans="13:16" x14ac:dyDescent="0.3">
      <c r="M547">
        <v>545</v>
      </c>
      <c r="N547">
        <v>-2447</v>
      </c>
      <c r="P547">
        <v>-167940</v>
      </c>
    </row>
    <row r="548" spans="13:16" x14ac:dyDescent="0.3">
      <c r="M548">
        <v>546</v>
      </c>
      <c r="N548">
        <v>-457250</v>
      </c>
      <c r="P548">
        <v>-368048</v>
      </c>
    </row>
    <row r="549" spans="13:16" x14ac:dyDescent="0.3">
      <c r="M549">
        <v>547</v>
      </c>
      <c r="N549">
        <v>-315826</v>
      </c>
      <c r="P549">
        <v>-434906</v>
      </c>
    </row>
    <row r="550" spans="13:16" x14ac:dyDescent="0.3">
      <c r="M550">
        <v>548</v>
      </c>
      <c r="N550">
        <v>196732</v>
      </c>
      <c r="P550">
        <v>-12057</v>
      </c>
    </row>
    <row r="551" spans="13:16" x14ac:dyDescent="0.3">
      <c r="M551">
        <v>549</v>
      </c>
      <c r="N551">
        <v>-420927</v>
      </c>
      <c r="P551">
        <v>-593083</v>
      </c>
    </row>
    <row r="552" spans="13:16" x14ac:dyDescent="0.3">
      <c r="M552">
        <v>550</v>
      </c>
      <c r="N552">
        <v>-512426</v>
      </c>
      <c r="P552">
        <v>80915</v>
      </c>
    </row>
    <row r="553" spans="13:16" x14ac:dyDescent="0.3">
      <c r="M553">
        <v>551</v>
      </c>
      <c r="N553">
        <v>-488471</v>
      </c>
      <c r="P553">
        <v>300504</v>
      </c>
    </row>
    <row r="554" spans="13:16" x14ac:dyDescent="0.3">
      <c r="M554">
        <v>552</v>
      </c>
      <c r="N554">
        <v>269927</v>
      </c>
      <c r="P554">
        <v>-553731</v>
      </c>
    </row>
    <row r="555" spans="13:16" x14ac:dyDescent="0.3">
      <c r="M555">
        <v>553</v>
      </c>
      <c r="N555">
        <v>24701</v>
      </c>
      <c r="P555">
        <v>-420427</v>
      </c>
    </row>
    <row r="556" spans="13:16" x14ac:dyDescent="0.3">
      <c r="M556">
        <v>554</v>
      </c>
      <c r="N556">
        <v>-343803</v>
      </c>
      <c r="P556">
        <v>557763</v>
      </c>
    </row>
    <row r="557" spans="13:16" x14ac:dyDescent="0.3">
      <c r="M557">
        <v>555</v>
      </c>
      <c r="N557">
        <v>340499</v>
      </c>
      <c r="P557">
        <v>396502</v>
      </c>
    </row>
    <row r="558" spans="13:16" x14ac:dyDescent="0.3">
      <c r="M558">
        <v>556</v>
      </c>
      <c r="N558">
        <v>-460107</v>
      </c>
      <c r="P558">
        <v>-239250</v>
      </c>
    </row>
    <row r="559" spans="13:16" x14ac:dyDescent="0.3">
      <c r="M559">
        <v>557</v>
      </c>
      <c r="N559">
        <v>289503</v>
      </c>
      <c r="P559">
        <v>-571607</v>
      </c>
    </row>
    <row r="560" spans="13:16" x14ac:dyDescent="0.3">
      <c r="M560">
        <v>558</v>
      </c>
      <c r="N560">
        <v>-349445</v>
      </c>
      <c r="P560">
        <v>163749</v>
      </c>
    </row>
    <row r="561" spans="13:16" x14ac:dyDescent="0.3">
      <c r="M561">
        <v>559</v>
      </c>
      <c r="N561">
        <v>-445130</v>
      </c>
      <c r="P561">
        <v>-573864</v>
      </c>
    </row>
    <row r="562" spans="13:16" x14ac:dyDescent="0.3">
      <c r="M562">
        <v>560</v>
      </c>
      <c r="N562">
        <v>-375266</v>
      </c>
      <c r="P562">
        <v>-492980</v>
      </c>
    </row>
    <row r="563" spans="13:16" x14ac:dyDescent="0.3">
      <c r="M563">
        <v>561</v>
      </c>
      <c r="N563">
        <v>113907</v>
      </c>
      <c r="P563">
        <v>236034</v>
      </c>
    </row>
    <row r="564" spans="13:16" x14ac:dyDescent="0.3">
      <c r="M564">
        <v>562</v>
      </c>
      <c r="N564">
        <v>405323</v>
      </c>
      <c r="P564">
        <v>-173900</v>
      </c>
    </row>
    <row r="565" spans="13:16" x14ac:dyDescent="0.3">
      <c r="M565">
        <v>563</v>
      </c>
      <c r="N565">
        <v>-191315</v>
      </c>
      <c r="P565">
        <v>811656</v>
      </c>
    </row>
    <row r="566" spans="13:16" x14ac:dyDescent="0.3">
      <c r="M566">
        <v>564</v>
      </c>
      <c r="N566">
        <v>125835</v>
      </c>
      <c r="P566">
        <v>-457024</v>
      </c>
    </row>
    <row r="567" spans="13:16" x14ac:dyDescent="0.3">
      <c r="M567">
        <v>565</v>
      </c>
      <c r="N567">
        <v>-173750</v>
      </c>
      <c r="P567">
        <v>-834867</v>
      </c>
    </row>
    <row r="568" spans="13:16" x14ac:dyDescent="0.3">
      <c r="M568">
        <v>566</v>
      </c>
      <c r="N568">
        <v>418480</v>
      </c>
      <c r="P568">
        <v>760719</v>
      </c>
    </row>
    <row r="569" spans="13:16" x14ac:dyDescent="0.3">
      <c r="M569">
        <v>567</v>
      </c>
      <c r="N569">
        <v>677907</v>
      </c>
      <c r="P569">
        <v>80768</v>
      </c>
    </row>
    <row r="570" spans="13:16" x14ac:dyDescent="0.3">
      <c r="M570">
        <v>568</v>
      </c>
      <c r="N570">
        <v>-892975</v>
      </c>
      <c r="P570">
        <v>962889</v>
      </c>
    </row>
    <row r="571" spans="13:16" x14ac:dyDescent="0.3">
      <c r="M571">
        <v>569</v>
      </c>
      <c r="N571">
        <v>512006</v>
      </c>
      <c r="P571">
        <v>884291</v>
      </c>
    </row>
    <row r="572" spans="13:16" x14ac:dyDescent="0.3">
      <c r="M572">
        <v>570</v>
      </c>
      <c r="N572">
        <v>-78776</v>
      </c>
      <c r="P572">
        <v>-49118</v>
      </c>
    </row>
    <row r="573" spans="13:16" x14ac:dyDescent="0.3">
      <c r="M573">
        <v>571</v>
      </c>
      <c r="N573">
        <v>428403</v>
      </c>
      <c r="P573">
        <v>-560007</v>
      </c>
    </row>
    <row r="574" spans="13:16" x14ac:dyDescent="0.3">
      <c r="M574">
        <v>572</v>
      </c>
      <c r="N574">
        <v>598347</v>
      </c>
      <c r="P574">
        <v>-414407</v>
      </c>
    </row>
    <row r="575" spans="13:16" x14ac:dyDescent="0.3">
      <c r="M575">
        <v>573</v>
      </c>
      <c r="N575">
        <v>-181174</v>
      </c>
      <c r="P575">
        <v>-362343</v>
      </c>
    </row>
    <row r="576" spans="13:16" x14ac:dyDescent="0.3">
      <c r="M576">
        <v>574</v>
      </c>
      <c r="N576">
        <v>-563779</v>
      </c>
      <c r="P576">
        <v>-179665</v>
      </c>
    </row>
    <row r="577" spans="13:16" x14ac:dyDescent="0.3">
      <c r="M577">
        <v>575</v>
      </c>
      <c r="N577">
        <v>-373587</v>
      </c>
      <c r="P577">
        <v>-450554</v>
      </c>
    </row>
    <row r="578" spans="13:16" x14ac:dyDescent="0.3">
      <c r="M578">
        <v>576</v>
      </c>
      <c r="N578">
        <v>752251</v>
      </c>
      <c r="P578">
        <v>-119833</v>
      </c>
    </row>
    <row r="579" spans="13:16" x14ac:dyDescent="0.3">
      <c r="M579">
        <v>577</v>
      </c>
      <c r="N579">
        <v>155803</v>
      </c>
      <c r="P579">
        <v>349283</v>
      </c>
    </row>
    <row r="580" spans="13:16" x14ac:dyDescent="0.3">
      <c r="M580">
        <v>578</v>
      </c>
      <c r="N580">
        <v>-410089</v>
      </c>
      <c r="P580">
        <v>1082428</v>
      </c>
    </row>
    <row r="581" spans="13:16" x14ac:dyDescent="0.3">
      <c r="M581">
        <v>579</v>
      </c>
      <c r="N581">
        <v>244209</v>
      </c>
      <c r="P581">
        <v>-718735</v>
      </c>
    </row>
    <row r="582" spans="13:16" x14ac:dyDescent="0.3">
      <c r="M582">
        <v>580</v>
      </c>
      <c r="N582">
        <v>-117953</v>
      </c>
      <c r="P582">
        <v>329847</v>
      </c>
    </row>
    <row r="583" spans="13:16" x14ac:dyDescent="0.3">
      <c r="M583">
        <v>581</v>
      </c>
      <c r="N583">
        <v>-479352</v>
      </c>
      <c r="P583">
        <v>4571</v>
      </c>
    </row>
    <row r="584" spans="13:16" x14ac:dyDescent="0.3">
      <c r="M584">
        <v>582</v>
      </c>
      <c r="N584">
        <v>-682762</v>
      </c>
      <c r="P584">
        <v>-295483</v>
      </c>
    </row>
    <row r="585" spans="13:16" x14ac:dyDescent="0.3">
      <c r="M585">
        <v>583</v>
      </c>
      <c r="N585">
        <v>369405</v>
      </c>
      <c r="P585">
        <v>-157228</v>
      </c>
    </row>
    <row r="586" spans="13:16" x14ac:dyDescent="0.3">
      <c r="M586">
        <v>584</v>
      </c>
      <c r="N586">
        <v>165610</v>
      </c>
      <c r="P586">
        <v>-234407</v>
      </c>
    </row>
    <row r="587" spans="13:16" x14ac:dyDescent="0.3">
      <c r="M587">
        <v>585</v>
      </c>
      <c r="N587">
        <v>158152</v>
      </c>
      <c r="P587">
        <v>214895</v>
      </c>
    </row>
    <row r="588" spans="13:16" x14ac:dyDescent="0.3">
      <c r="M588">
        <v>586</v>
      </c>
      <c r="N588">
        <v>248037</v>
      </c>
      <c r="P588">
        <v>25072</v>
      </c>
    </row>
    <row r="589" spans="13:16" x14ac:dyDescent="0.3">
      <c r="M589">
        <v>587</v>
      </c>
      <c r="N589">
        <v>-247235</v>
      </c>
      <c r="P589">
        <v>-716143</v>
      </c>
    </row>
    <row r="590" spans="13:16" x14ac:dyDescent="0.3">
      <c r="M590">
        <v>588</v>
      </c>
      <c r="N590">
        <v>398894</v>
      </c>
      <c r="P590">
        <v>-404993</v>
      </c>
    </row>
    <row r="591" spans="13:16" x14ac:dyDescent="0.3">
      <c r="M591">
        <v>589</v>
      </c>
      <c r="N591">
        <v>-457730</v>
      </c>
      <c r="P591">
        <v>1019574</v>
      </c>
    </row>
    <row r="592" spans="13:16" x14ac:dyDescent="0.3">
      <c r="M592">
        <v>590</v>
      </c>
      <c r="N592">
        <v>-435522</v>
      </c>
      <c r="P592">
        <v>766707</v>
      </c>
    </row>
    <row r="593" spans="13:16" x14ac:dyDescent="0.3">
      <c r="M593">
        <v>591</v>
      </c>
      <c r="N593">
        <v>190486</v>
      </c>
      <c r="P593">
        <v>467331</v>
      </c>
    </row>
    <row r="594" spans="13:16" x14ac:dyDescent="0.3">
      <c r="M594">
        <v>592</v>
      </c>
      <c r="N594">
        <v>33087</v>
      </c>
      <c r="P594">
        <v>-253463</v>
      </c>
    </row>
    <row r="595" spans="13:16" x14ac:dyDescent="0.3">
      <c r="M595">
        <v>593</v>
      </c>
      <c r="N595">
        <v>23564</v>
      </c>
      <c r="P595">
        <v>252438</v>
      </c>
    </row>
    <row r="596" spans="13:16" x14ac:dyDescent="0.3">
      <c r="M596">
        <v>594</v>
      </c>
      <c r="N596">
        <v>-572687</v>
      </c>
      <c r="P596">
        <v>327112</v>
      </c>
    </row>
    <row r="597" spans="13:16" x14ac:dyDescent="0.3">
      <c r="M597">
        <v>595</v>
      </c>
      <c r="N597">
        <v>-444658</v>
      </c>
      <c r="P597">
        <v>-256133</v>
      </c>
    </row>
    <row r="598" spans="13:16" x14ac:dyDescent="0.3">
      <c r="M598">
        <v>596</v>
      </c>
      <c r="N598">
        <v>260660</v>
      </c>
      <c r="P598">
        <v>-188353</v>
      </c>
    </row>
    <row r="599" spans="13:16" x14ac:dyDescent="0.3">
      <c r="M599">
        <v>597</v>
      </c>
      <c r="N599">
        <v>385984</v>
      </c>
      <c r="P599">
        <v>-446271</v>
      </c>
    </row>
    <row r="600" spans="13:16" x14ac:dyDescent="0.3">
      <c r="M600">
        <v>598</v>
      </c>
      <c r="N600">
        <v>109640</v>
      </c>
      <c r="P600">
        <v>442291</v>
      </c>
    </row>
    <row r="601" spans="13:16" x14ac:dyDescent="0.3">
      <c r="M601">
        <v>599</v>
      </c>
      <c r="N601">
        <v>165104</v>
      </c>
      <c r="P601">
        <v>-466471</v>
      </c>
    </row>
    <row r="602" spans="13:16" x14ac:dyDescent="0.3">
      <c r="M602">
        <v>600</v>
      </c>
      <c r="N602">
        <v>-468299</v>
      </c>
      <c r="P602">
        <v>-608154</v>
      </c>
    </row>
    <row r="603" spans="13:16" x14ac:dyDescent="0.3">
      <c r="M603">
        <v>601</v>
      </c>
      <c r="N603">
        <v>362671</v>
      </c>
      <c r="P603">
        <v>207120</v>
      </c>
    </row>
    <row r="604" spans="13:16" x14ac:dyDescent="0.3">
      <c r="M604">
        <v>602</v>
      </c>
      <c r="N604">
        <v>-344772</v>
      </c>
      <c r="P604">
        <v>97112</v>
      </c>
    </row>
    <row r="605" spans="13:16" x14ac:dyDescent="0.3">
      <c r="M605">
        <v>603</v>
      </c>
      <c r="N605">
        <v>783323</v>
      </c>
      <c r="P605">
        <v>229195</v>
      </c>
    </row>
    <row r="606" spans="13:16" x14ac:dyDescent="0.3">
      <c r="M606">
        <v>604</v>
      </c>
      <c r="N606">
        <v>480674</v>
      </c>
      <c r="P606">
        <v>-211377</v>
      </c>
    </row>
    <row r="607" spans="13:16" x14ac:dyDescent="0.3">
      <c r="M607">
        <v>605</v>
      </c>
      <c r="N607">
        <v>-486070</v>
      </c>
      <c r="P607">
        <v>898362</v>
      </c>
    </row>
    <row r="608" spans="13:16" x14ac:dyDescent="0.3">
      <c r="M608">
        <v>606</v>
      </c>
      <c r="N608">
        <v>-429333</v>
      </c>
      <c r="P608">
        <v>616519</v>
      </c>
    </row>
    <row r="609" spans="13:16" x14ac:dyDescent="0.3">
      <c r="M609">
        <v>607</v>
      </c>
      <c r="N609">
        <v>27565</v>
      </c>
      <c r="P609">
        <v>433033</v>
      </c>
    </row>
    <row r="610" spans="13:16" x14ac:dyDescent="0.3">
      <c r="M610">
        <v>608</v>
      </c>
      <c r="N610">
        <v>689722</v>
      </c>
      <c r="P610">
        <v>68846</v>
      </c>
    </row>
    <row r="611" spans="13:16" x14ac:dyDescent="0.3">
      <c r="M611">
        <v>609</v>
      </c>
      <c r="N611">
        <v>674870</v>
      </c>
      <c r="P611">
        <v>36778</v>
      </c>
    </row>
    <row r="612" spans="13:16" x14ac:dyDescent="0.3">
      <c r="M612">
        <v>610</v>
      </c>
      <c r="N612">
        <v>299620</v>
      </c>
      <c r="P612">
        <v>204220</v>
      </c>
    </row>
    <row r="613" spans="13:16" x14ac:dyDescent="0.3">
      <c r="M613">
        <v>611</v>
      </c>
      <c r="N613">
        <v>542343</v>
      </c>
      <c r="P613">
        <v>-121069</v>
      </c>
    </row>
    <row r="614" spans="13:16" x14ac:dyDescent="0.3">
      <c r="M614">
        <v>612</v>
      </c>
      <c r="N614">
        <v>816446</v>
      </c>
      <c r="P614">
        <v>-257065</v>
      </c>
    </row>
    <row r="615" spans="13:16" x14ac:dyDescent="0.3">
      <c r="M615">
        <v>613</v>
      </c>
      <c r="N615">
        <v>806406</v>
      </c>
      <c r="P615">
        <v>-362939</v>
      </c>
    </row>
    <row r="616" spans="13:16" x14ac:dyDescent="0.3">
      <c r="M616">
        <v>614</v>
      </c>
      <c r="N616">
        <v>-109268</v>
      </c>
      <c r="P616">
        <v>-402547</v>
      </c>
    </row>
    <row r="617" spans="13:16" x14ac:dyDescent="0.3">
      <c r="M617">
        <v>615</v>
      </c>
      <c r="N617">
        <v>-18663</v>
      </c>
      <c r="P617">
        <v>216340</v>
      </c>
    </row>
    <row r="618" spans="13:16" x14ac:dyDescent="0.3">
      <c r="M618">
        <v>616</v>
      </c>
      <c r="N618">
        <v>-229645</v>
      </c>
      <c r="P618">
        <v>-790476</v>
      </c>
    </row>
    <row r="619" spans="13:16" x14ac:dyDescent="0.3">
      <c r="M619">
        <v>617</v>
      </c>
      <c r="N619">
        <v>-383526</v>
      </c>
      <c r="P619">
        <v>151698</v>
      </c>
    </row>
    <row r="620" spans="13:16" x14ac:dyDescent="0.3">
      <c r="M620">
        <v>618</v>
      </c>
      <c r="N620">
        <v>-108122</v>
      </c>
      <c r="P620">
        <v>71151</v>
      </c>
    </row>
    <row r="621" spans="13:16" x14ac:dyDescent="0.3">
      <c r="M621">
        <v>619</v>
      </c>
      <c r="N621">
        <v>190917</v>
      </c>
      <c r="P621">
        <v>277075</v>
      </c>
    </row>
    <row r="622" spans="13:16" x14ac:dyDescent="0.3">
      <c r="M622">
        <v>620</v>
      </c>
      <c r="N622">
        <v>-382278</v>
      </c>
      <c r="P622">
        <v>-55630</v>
      </c>
    </row>
    <row r="623" spans="13:16" x14ac:dyDescent="0.3">
      <c r="M623">
        <v>621</v>
      </c>
      <c r="N623">
        <v>-313369</v>
      </c>
      <c r="P623">
        <v>-314919</v>
      </c>
    </row>
    <row r="624" spans="13:16" x14ac:dyDescent="0.3">
      <c r="M624">
        <v>622</v>
      </c>
      <c r="N624">
        <v>16132</v>
      </c>
      <c r="P624">
        <v>72266</v>
      </c>
    </row>
    <row r="625" spans="13:16" x14ac:dyDescent="0.3">
      <c r="M625">
        <v>623</v>
      </c>
      <c r="N625">
        <v>204934</v>
      </c>
      <c r="P625">
        <v>-137700</v>
      </c>
    </row>
    <row r="626" spans="13:16" x14ac:dyDescent="0.3">
      <c r="M626">
        <v>624</v>
      </c>
      <c r="N626">
        <v>594159</v>
      </c>
      <c r="P626">
        <v>-600780</v>
      </c>
    </row>
    <row r="627" spans="13:16" x14ac:dyDescent="0.3">
      <c r="M627">
        <v>625</v>
      </c>
      <c r="N627">
        <v>-737521</v>
      </c>
      <c r="P627">
        <v>171268</v>
      </c>
    </row>
    <row r="628" spans="13:16" x14ac:dyDescent="0.3">
      <c r="M628">
        <v>626</v>
      </c>
      <c r="N628">
        <v>-168059</v>
      </c>
      <c r="P628">
        <v>357996</v>
      </c>
    </row>
    <row r="629" spans="13:16" x14ac:dyDescent="0.3">
      <c r="M629">
        <v>627</v>
      </c>
      <c r="N629">
        <v>120929</v>
      </c>
      <c r="P629">
        <v>-416280</v>
      </c>
    </row>
    <row r="630" spans="13:16" x14ac:dyDescent="0.3">
      <c r="M630">
        <v>628</v>
      </c>
      <c r="N630">
        <v>681061</v>
      </c>
      <c r="P630">
        <v>-186109</v>
      </c>
    </row>
    <row r="631" spans="13:16" x14ac:dyDescent="0.3">
      <c r="M631">
        <v>629</v>
      </c>
      <c r="N631">
        <v>89636</v>
      </c>
      <c r="P631">
        <v>309499</v>
      </c>
    </row>
    <row r="632" spans="13:16" x14ac:dyDescent="0.3">
      <c r="M632">
        <v>630</v>
      </c>
      <c r="N632">
        <v>-193619</v>
      </c>
      <c r="P632">
        <v>-7688</v>
      </c>
    </row>
    <row r="633" spans="13:16" x14ac:dyDescent="0.3">
      <c r="M633">
        <v>631</v>
      </c>
      <c r="N633">
        <v>-830709</v>
      </c>
      <c r="P633">
        <v>444571</v>
      </c>
    </row>
    <row r="634" spans="13:16" x14ac:dyDescent="0.3">
      <c r="M634">
        <v>632</v>
      </c>
      <c r="N634">
        <v>884466</v>
      </c>
      <c r="P634">
        <v>390986</v>
      </c>
    </row>
    <row r="635" spans="13:16" x14ac:dyDescent="0.3">
      <c r="M635">
        <v>633</v>
      </c>
      <c r="N635">
        <v>409883</v>
      </c>
      <c r="P635">
        <v>122042</v>
      </c>
    </row>
    <row r="636" spans="13:16" x14ac:dyDescent="0.3">
      <c r="M636">
        <v>634</v>
      </c>
      <c r="N636">
        <v>472244</v>
      </c>
      <c r="P636">
        <v>19032</v>
      </c>
    </row>
    <row r="637" spans="13:16" x14ac:dyDescent="0.3">
      <c r="M637">
        <v>635</v>
      </c>
      <c r="N637">
        <v>288573</v>
      </c>
      <c r="P637">
        <v>191664</v>
      </c>
    </row>
    <row r="638" spans="13:16" x14ac:dyDescent="0.3">
      <c r="M638">
        <v>636</v>
      </c>
      <c r="N638">
        <v>384358</v>
      </c>
      <c r="P638">
        <v>338411</v>
      </c>
    </row>
    <row r="639" spans="13:16" x14ac:dyDescent="0.3">
      <c r="M639">
        <v>637</v>
      </c>
      <c r="N639">
        <v>140175</v>
      </c>
      <c r="P639">
        <v>667319</v>
      </c>
    </row>
    <row r="640" spans="13:16" x14ac:dyDescent="0.3">
      <c r="M640">
        <v>638</v>
      </c>
      <c r="N640">
        <v>107232</v>
      </c>
      <c r="P640">
        <v>-65976</v>
      </c>
    </row>
    <row r="641" spans="13:16" x14ac:dyDescent="0.3">
      <c r="M641">
        <v>639</v>
      </c>
      <c r="N641">
        <v>2827</v>
      </c>
      <c r="P641">
        <v>102161</v>
      </c>
    </row>
    <row r="642" spans="13:16" x14ac:dyDescent="0.3">
      <c r="M642">
        <v>640</v>
      </c>
      <c r="N642">
        <v>-1358</v>
      </c>
      <c r="P642">
        <v>-451665</v>
      </c>
    </row>
    <row r="643" spans="13:16" x14ac:dyDescent="0.3">
      <c r="M643">
        <v>641</v>
      </c>
      <c r="N643">
        <v>-595686</v>
      </c>
      <c r="P643">
        <v>-619116</v>
      </c>
    </row>
    <row r="644" spans="13:16" x14ac:dyDescent="0.3">
      <c r="M644">
        <v>642</v>
      </c>
      <c r="N644">
        <v>-641979</v>
      </c>
      <c r="P644">
        <v>754376</v>
      </c>
    </row>
    <row r="645" spans="13:16" x14ac:dyDescent="0.3">
      <c r="M645">
        <v>643</v>
      </c>
      <c r="N645">
        <v>192444</v>
      </c>
      <c r="P645">
        <v>-189764</v>
      </c>
    </row>
    <row r="646" spans="13:16" x14ac:dyDescent="0.3">
      <c r="M646">
        <v>644</v>
      </c>
      <c r="N646">
        <v>315716</v>
      </c>
      <c r="P646">
        <v>578528</v>
      </c>
    </row>
    <row r="647" spans="13:16" x14ac:dyDescent="0.3">
      <c r="M647">
        <v>645</v>
      </c>
      <c r="N647">
        <v>710277</v>
      </c>
      <c r="P647">
        <v>229095</v>
      </c>
    </row>
    <row r="648" spans="13:16" x14ac:dyDescent="0.3">
      <c r="M648">
        <v>646</v>
      </c>
      <c r="N648">
        <v>538482</v>
      </c>
      <c r="P648">
        <v>-284121</v>
      </c>
    </row>
    <row r="649" spans="13:16" x14ac:dyDescent="0.3">
      <c r="M649">
        <v>647</v>
      </c>
      <c r="N649">
        <v>101264</v>
      </c>
      <c r="P649">
        <v>589776</v>
      </c>
    </row>
    <row r="650" spans="13:16" x14ac:dyDescent="0.3">
      <c r="M650">
        <v>648</v>
      </c>
      <c r="N650">
        <v>518222</v>
      </c>
      <c r="P650">
        <v>106374</v>
      </c>
    </row>
    <row r="651" spans="13:16" x14ac:dyDescent="0.3">
      <c r="M651">
        <v>649</v>
      </c>
      <c r="N651">
        <v>-41545</v>
      </c>
      <c r="P651">
        <v>463089</v>
      </c>
    </row>
    <row r="652" spans="13:16" x14ac:dyDescent="0.3">
      <c r="M652">
        <v>650</v>
      </c>
      <c r="N652">
        <v>435105</v>
      </c>
      <c r="P652">
        <v>194555</v>
      </c>
    </row>
    <row r="653" spans="13:16" x14ac:dyDescent="0.3">
      <c r="M653">
        <v>651</v>
      </c>
      <c r="N653">
        <v>-392374</v>
      </c>
      <c r="P653">
        <v>-76546</v>
      </c>
    </row>
    <row r="654" spans="13:16" x14ac:dyDescent="0.3">
      <c r="M654">
        <v>652</v>
      </c>
      <c r="N654">
        <v>-360951</v>
      </c>
      <c r="P654">
        <v>26640</v>
      </c>
    </row>
    <row r="655" spans="13:16" x14ac:dyDescent="0.3">
      <c r="M655">
        <v>653</v>
      </c>
      <c r="N655">
        <v>646984</v>
      </c>
      <c r="P655">
        <v>-381852</v>
      </c>
    </row>
    <row r="656" spans="13:16" x14ac:dyDescent="0.3">
      <c r="M656">
        <v>654</v>
      </c>
      <c r="N656">
        <v>272170</v>
      </c>
      <c r="P656">
        <v>-215572</v>
      </c>
    </row>
    <row r="657" spans="13:16" x14ac:dyDescent="0.3">
      <c r="M657">
        <v>655</v>
      </c>
      <c r="N657">
        <v>350872</v>
      </c>
      <c r="P657">
        <v>-33682</v>
      </c>
    </row>
    <row r="658" spans="13:16" x14ac:dyDescent="0.3">
      <c r="M658">
        <v>656</v>
      </c>
      <c r="N658">
        <v>795702</v>
      </c>
      <c r="P658">
        <v>696012</v>
      </c>
    </row>
    <row r="659" spans="13:16" x14ac:dyDescent="0.3">
      <c r="M659">
        <v>657</v>
      </c>
      <c r="N659">
        <v>733507</v>
      </c>
      <c r="P659">
        <v>979428</v>
      </c>
    </row>
    <row r="660" spans="13:16" x14ac:dyDescent="0.3">
      <c r="M660">
        <v>658</v>
      </c>
      <c r="N660">
        <v>1054710</v>
      </c>
      <c r="P660">
        <v>-71769</v>
      </c>
    </row>
    <row r="661" spans="13:16" x14ac:dyDescent="0.3">
      <c r="M661">
        <v>659</v>
      </c>
      <c r="N661">
        <v>367716</v>
      </c>
      <c r="P661">
        <v>-387169</v>
      </c>
    </row>
    <row r="662" spans="13:16" x14ac:dyDescent="0.3">
      <c r="M662">
        <v>660</v>
      </c>
      <c r="N662">
        <v>-414597</v>
      </c>
      <c r="P662">
        <v>-210192</v>
      </c>
    </row>
    <row r="663" spans="13:16" x14ac:dyDescent="0.3">
      <c r="M663">
        <v>661</v>
      </c>
      <c r="N663">
        <v>-335525</v>
      </c>
      <c r="P663">
        <v>538527</v>
      </c>
    </row>
    <row r="664" spans="13:16" x14ac:dyDescent="0.3">
      <c r="M664">
        <v>662</v>
      </c>
      <c r="N664">
        <v>563317</v>
      </c>
      <c r="P664">
        <v>383405</v>
      </c>
    </row>
    <row r="665" spans="13:16" x14ac:dyDescent="0.3">
      <c r="M665">
        <v>663</v>
      </c>
      <c r="N665">
        <v>-670040</v>
      </c>
      <c r="P665">
        <v>31044</v>
      </c>
    </row>
    <row r="666" spans="13:16" x14ac:dyDescent="0.3">
      <c r="M666">
        <v>664</v>
      </c>
      <c r="N666">
        <v>49826</v>
      </c>
      <c r="P666">
        <v>-275187</v>
      </c>
    </row>
    <row r="667" spans="13:16" x14ac:dyDescent="0.3">
      <c r="M667">
        <v>665</v>
      </c>
      <c r="N667">
        <v>341056</v>
      </c>
      <c r="P667">
        <v>754376</v>
      </c>
    </row>
    <row r="668" spans="13:16" x14ac:dyDescent="0.3">
      <c r="M668">
        <v>666</v>
      </c>
      <c r="N668">
        <v>929803</v>
      </c>
      <c r="P668">
        <v>-559590</v>
      </c>
    </row>
    <row r="669" spans="13:16" x14ac:dyDescent="0.3">
      <c r="M669">
        <v>667</v>
      </c>
      <c r="N669">
        <v>584101</v>
      </c>
      <c r="P669">
        <v>-78078</v>
      </c>
    </row>
    <row r="670" spans="13:16" x14ac:dyDescent="0.3">
      <c r="M670">
        <v>668</v>
      </c>
      <c r="N670">
        <v>-427127</v>
      </c>
      <c r="P670">
        <v>544251</v>
      </c>
    </row>
    <row r="671" spans="13:16" x14ac:dyDescent="0.3">
      <c r="M671">
        <v>669</v>
      </c>
      <c r="N671">
        <v>620321</v>
      </c>
      <c r="P671">
        <v>-48267</v>
      </c>
    </row>
    <row r="672" spans="13:16" x14ac:dyDescent="0.3">
      <c r="M672">
        <v>670</v>
      </c>
      <c r="N672">
        <v>733530</v>
      </c>
      <c r="P672">
        <v>182660</v>
      </c>
    </row>
    <row r="673" spans="13:16" x14ac:dyDescent="0.3">
      <c r="M673">
        <v>671</v>
      </c>
      <c r="N673">
        <v>-328038</v>
      </c>
      <c r="P673">
        <v>-462152</v>
      </c>
    </row>
    <row r="674" spans="13:16" x14ac:dyDescent="0.3">
      <c r="M674">
        <v>672</v>
      </c>
      <c r="N674">
        <v>-482568</v>
      </c>
      <c r="P674">
        <v>9928</v>
      </c>
    </row>
    <row r="675" spans="13:16" x14ac:dyDescent="0.3">
      <c r="M675">
        <v>673</v>
      </c>
      <c r="N675">
        <v>-295011</v>
      </c>
      <c r="P675">
        <v>219118</v>
      </c>
    </row>
    <row r="676" spans="13:16" x14ac:dyDescent="0.3">
      <c r="M676">
        <v>674</v>
      </c>
      <c r="N676">
        <v>380946</v>
      </c>
      <c r="P676">
        <v>602218</v>
      </c>
    </row>
    <row r="677" spans="13:16" x14ac:dyDescent="0.3">
      <c r="M677">
        <v>675</v>
      </c>
      <c r="N677">
        <v>827794</v>
      </c>
      <c r="P677">
        <v>830720</v>
      </c>
    </row>
    <row r="678" spans="13:16" x14ac:dyDescent="0.3">
      <c r="M678">
        <v>676</v>
      </c>
      <c r="N678">
        <v>-294320</v>
      </c>
      <c r="P678">
        <v>263630</v>
      </c>
    </row>
    <row r="679" spans="13:16" x14ac:dyDescent="0.3">
      <c r="M679">
        <v>677</v>
      </c>
      <c r="N679">
        <v>-65842</v>
      </c>
      <c r="P679">
        <v>-286281</v>
      </c>
    </row>
    <row r="680" spans="13:16" x14ac:dyDescent="0.3">
      <c r="M680">
        <v>678</v>
      </c>
      <c r="N680">
        <v>280601</v>
      </c>
      <c r="P680">
        <v>932304</v>
      </c>
    </row>
    <row r="681" spans="13:16" x14ac:dyDescent="0.3">
      <c r="M681">
        <v>679</v>
      </c>
      <c r="N681">
        <v>-587629</v>
      </c>
      <c r="P681">
        <v>-456807</v>
      </c>
    </row>
    <row r="682" spans="13:16" x14ac:dyDescent="0.3">
      <c r="M682">
        <v>680</v>
      </c>
      <c r="N682">
        <v>740002</v>
      </c>
      <c r="P682">
        <v>564916</v>
      </c>
    </row>
    <row r="683" spans="13:16" x14ac:dyDescent="0.3">
      <c r="M683">
        <v>681</v>
      </c>
      <c r="N683">
        <v>1003078</v>
      </c>
      <c r="P683">
        <v>-292769</v>
      </c>
    </row>
    <row r="684" spans="13:16" x14ac:dyDescent="0.3">
      <c r="M684">
        <v>682</v>
      </c>
      <c r="N684">
        <v>775363</v>
      </c>
      <c r="P684">
        <v>12655</v>
      </c>
    </row>
    <row r="685" spans="13:16" x14ac:dyDescent="0.3">
      <c r="M685">
        <v>683</v>
      </c>
      <c r="N685">
        <v>117015</v>
      </c>
      <c r="P685">
        <v>-121967</v>
      </c>
    </row>
    <row r="686" spans="13:16" x14ac:dyDescent="0.3">
      <c r="M686">
        <v>684</v>
      </c>
      <c r="N686">
        <v>-419346</v>
      </c>
      <c r="P686">
        <v>469002</v>
      </c>
    </row>
    <row r="687" spans="13:16" x14ac:dyDescent="0.3">
      <c r="M687">
        <v>685</v>
      </c>
      <c r="N687">
        <v>106129</v>
      </c>
      <c r="P687">
        <v>-470957</v>
      </c>
    </row>
    <row r="688" spans="13:16" x14ac:dyDescent="0.3">
      <c r="M688">
        <v>686</v>
      </c>
      <c r="N688">
        <v>1015244</v>
      </c>
      <c r="P688">
        <v>-217079</v>
      </c>
    </row>
    <row r="689" spans="13:16" x14ac:dyDescent="0.3">
      <c r="M689">
        <v>687</v>
      </c>
      <c r="N689">
        <v>871634</v>
      </c>
      <c r="P689">
        <v>774960</v>
      </c>
    </row>
    <row r="690" spans="13:16" x14ac:dyDescent="0.3">
      <c r="M690">
        <v>688</v>
      </c>
      <c r="N690">
        <v>228853</v>
      </c>
      <c r="P690">
        <v>875008</v>
      </c>
    </row>
    <row r="691" spans="13:16" x14ac:dyDescent="0.3">
      <c r="M691">
        <v>689</v>
      </c>
      <c r="N691">
        <v>-383617</v>
      </c>
      <c r="P691">
        <v>-359945</v>
      </c>
    </row>
    <row r="692" spans="13:16" x14ac:dyDescent="0.3">
      <c r="M692">
        <v>690</v>
      </c>
      <c r="N692">
        <v>-82159</v>
      </c>
      <c r="P692">
        <v>425700</v>
      </c>
    </row>
    <row r="693" spans="13:16" x14ac:dyDescent="0.3">
      <c r="M693">
        <v>691</v>
      </c>
      <c r="N693">
        <v>348562</v>
      </c>
      <c r="P693">
        <v>504276</v>
      </c>
    </row>
    <row r="694" spans="13:16" x14ac:dyDescent="0.3">
      <c r="M694">
        <v>692</v>
      </c>
      <c r="N694">
        <v>199331</v>
      </c>
      <c r="P694">
        <v>-172911</v>
      </c>
    </row>
    <row r="695" spans="13:16" x14ac:dyDescent="0.3">
      <c r="M695">
        <v>693</v>
      </c>
      <c r="N695">
        <v>-808097</v>
      </c>
      <c r="P695">
        <v>-615787</v>
      </c>
    </row>
    <row r="696" spans="13:16" x14ac:dyDescent="0.3">
      <c r="M696">
        <v>694</v>
      </c>
      <c r="N696">
        <v>-287574</v>
      </c>
      <c r="P696">
        <v>-305512</v>
      </c>
    </row>
    <row r="697" spans="13:16" x14ac:dyDescent="0.3">
      <c r="M697">
        <v>695</v>
      </c>
      <c r="N697">
        <v>1015123</v>
      </c>
      <c r="P697">
        <v>118815</v>
      </c>
    </row>
    <row r="698" spans="13:16" x14ac:dyDescent="0.3">
      <c r="M698">
        <v>696</v>
      </c>
      <c r="N698">
        <v>640460</v>
      </c>
      <c r="P698">
        <v>-461687</v>
      </c>
    </row>
    <row r="699" spans="13:16" x14ac:dyDescent="0.3">
      <c r="M699">
        <v>697</v>
      </c>
      <c r="N699">
        <v>-715091</v>
      </c>
      <c r="P699">
        <v>948856</v>
      </c>
    </row>
    <row r="700" spans="13:16" x14ac:dyDescent="0.3">
      <c r="M700">
        <v>698</v>
      </c>
      <c r="N700">
        <v>-80516</v>
      </c>
      <c r="P700">
        <v>422061</v>
      </c>
    </row>
    <row r="701" spans="13:16" x14ac:dyDescent="0.3">
      <c r="M701">
        <v>699</v>
      </c>
      <c r="N701">
        <v>-381016</v>
      </c>
      <c r="P701">
        <v>70665</v>
      </c>
    </row>
    <row r="702" spans="13:16" x14ac:dyDescent="0.3">
      <c r="M702">
        <v>700</v>
      </c>
      <c r="N702">
        <v>-164068</v>
      </c>
      <c r="P702">
        <v>-582688</v>
      </c>
    </row>
    <row r="703" spans="13:16" x14ac:dyDescent="0.3">
      <c r="M703">
        <v>701</v>
      </c>
      <c r="N703">
        <v>369677</v>
      </c>
      <c r="P703">
        <v>473921</v>
      </c>
    </row>
    <row r="704" spans="13:16" x14ac:dyDescent="0.3">
      <c r="M704">
        <v>702</v>
      </c>
      <c r="N704">
        <v>589472</v>
      </c>
      <c r="P704">
        <v>437820</v>
      </c>
    </row>
    <row r="705" spans="13:16" x14ac:dyDescent="0.3">
      <c r="M705">
        <v>703</v>
      </c>
      <c r="N705">
        <v>-203829</v>
      </c>
      <c r="P705">
        <v>685225</v>
      </c>
    </row>
    <row r="706" spans="13:16" x14ac:dyDescent="0.3">
      <c r="M706">
        <v>704</v>
      </c>
      <c r="N706">
        <v>442313</v>
      </c>
      <c r="P706">
        <v>-791702</v>
      </c>
    </row>
    <row r="707" spans="13:16" x14ac:dyDescent="0.3">
      <c r="M707">
        <v>705</v>
      </c>
      <c r="N707">
        <v>-609824</v>
      </c>
      <c r="P707">
        <v>392508</v>
      </c>
    </row>
    <row r="708" spans="13:16" x14ac:dyDescent="0.3">
      <c r="M708">
        <v>706</v>
      </c>
      <c r="N708">
        <v>153627</v>
      </c>
      <c r="P708">
        <v>-356624</v>
      </c>
    </row>
    <row r="709" spans="13:16" x14ac:dyDescent="0.3">
      <c r="M709">
        <v>707</v>
      </c>
      <c r="N709">
        <v>-358962</v>
      </c>
      <c r="P709">
        <v>-167465</v>
      </c>
    </row>
    <row r="710" spans="13:16" x14ac:dyDescent="0.3">
      <c r="M710">
        <v>708</v>
      </c>
      <c r="N710">
        <v>169748</v>
      </c>
      <c r="P710">
        <v>-169233</v>
      </c>
    </row>
    <row r="711" spans="13:16" x14ac:dyDescent="0.3">
      <c r="M711">
        <v>709</v>
      </c>
      <c r="N711">
        <v>-28321</v>
      </c>
      <c r="P711">
        <v>-197984</v>
      </c>
    </row>
    <row r="712" spans="13:16" x14ac:dyDescent="0.3">
      <c r="M712">
        <v>710</v>
      </c>
      <c r="N712">
        <v>-135337</v>
      </c>
      <c r="P712">
        <v>181455</v>
      </c>
    </row>
    <row r="713" spans="13:16" x14ac:dyDescent="0.3">
      <c r="M713">
        <v>711</v>
      </c>
      <c r="N713">
        <v>474799</v>
      </c>
      <c r="P713">
        <v>-70762</v>
      </c>
    </row>
    <row r="714" spans="13:16" x14ac:dyDescent="0.3">
      <c r="M714">
        <v>712</v>
      </c>
      <c r="N714">
        <v>-457824</v>
      </c>
      <c r="P714">
        <v>829930</v>
      </c>
    </row>
    <row r="715" spans="13:16" x14ac:dyDescent="0.3">
      <c r="M715">
        <v>713</v>
      </c>
      <c r="N715">
        <v>387955</v>
      </c>
      <c r="P715">
        <v>217687</v>
      </c>
    </row>
    <row r="716" spans="13:16" x14ac:dyDescent="0.3">
      <c r="M716">
        <v>714</v>
      </c>
      <c r="N716">
        <v>264820</v>
      </c>
      <c r="P716">
        <v>-155861</v>
      </c>
    </row>
    <row r="717" spans="13:16" x14ac:dyDescent="0.3">
      <c r="M717">
        <v>715</v>
      </c>
      <c r="N717">
        <v>629647</v>
      </c>
      <c r="P717">
        <v>365076</v>
      </c>
    </row>
    <row r="718" spans="13:16" x14ac:dyDescent="0.3">
      <c r="M718">
        <v>716</v>
      </c>
      <c r="N718">
        <v>527556</v>
      </c>
      <c r="P718">
        <v>143937</v>
      </c>
    </row>
    <row r="719" spans="13:16" x14ac:dyDescent="0.3">
      <c r="M719">
        <v>717</v>
      </c>
      <c r="N719">
        <v>325444</v>
      </c>
      <c r="P719">
        <v>-354327</v>
      </c>
    </row>
    <row r="720" spans="13:16" x14ac:dyDescent="0.3">
      <c r="M720">
        <v>718</v>
      </c>
      <c r="N720">
        <v>288418</v>
      </c>
      <c r="P720">
        <v>560226</v>
      </c>
    </row>
    <row r="721" spans="13:16" x14ac:dyDescent="0.3">
      <c r="M721">
        <v>719</v>
      </c>
      <c r="N721">
        <v>411032</v>
      </c>
      <c r="P721">
        <v>-150021</v>
      </c>
    </row>
    <row r="722" spans="13:16" x14ac:dyDescent="0.3">
      <c r="M722">
        <v>720</v>
      </c>
      <c r="N722">
        <v>-701317</v>
      </c>
      <c r="P722">
        <v>671537</v>
      </c>
    </row>
    <row r="723" spans="13:16" x14ac:dyDescent="0.3">
      <c r="M723">
        <v>721</v>
      </c>
      <c r="N723">
        <v>-435099</v>
      </c>
      <c r="P723">
        <v>644117</v>
      </c>
    </row>
    <row r="724" spans="13:16" x14ac:dyDescent="0.3">
      <c r="M724">
        <v>722</v>
      </c>
      <c r="N724">
        <v>-390793</v>
      </c>
      <c r="P724">
        <v>-211276</v>
      </c>
    </row>
    <row r="725" spans="13:16" x14ac:dyDescent="0.3">
      <c r="M725">
        <v>723</v>
      </c>
      <c r="N725">
        <v>386544</v>
      </c>
      <c r="P725">
        <v>-85318</v>
      </c>
    </row>
    <row r="726" spans="13:16" x14ac:dyDescent="0.3">
      <c r="M726">
        <v>724</v>
      </c>
      <c r="N726">
        <v>530634</v>
      </c>
      <c r="P726">
        <v>500479</v>
      </c>
    </row>
    <row r="727" spans="13:16" x14ac:dyDescent="0.3">
      <c r="M727">
        <v>725</v>
      </c>
      <c r="N727">
        <v>-236354</v>
      </c>
      <c r="P727">
        <v>-735151</v>
      </c>
    </row>
    <row r="728" spans="13:16" x14ac:dyDescent="0.3">
      <c r="M728">
        <v>726</v>
      </c>
      <c r="N728">
        <v>517319</v>
      </c>
      <c r="P728">
        <v>-225591</v>
      </c>
    </row>
    <row r="729" spans="13:16" x14ac:dyDescent="0.3">
      <c r="M729">
        <v>727</v>
      </c>
      <c r="N729">
        <v>-432188</v>
      </c>
      <c r="P729">
        <v>619892</v>
      </c>
    </row>
    <row r="730" spans="13:16" x14ac:dyDescent="0.3">
      <c r="M730">
        <v>728</v>
      </c>
      <c r="N730">
        <v>839649</v>
      </c>
      <c r="P730">
        <v>-435664</v>
      </c>
    </row>
    <row r="731" spans="13:16" x14ac:dyDescent="0.3">
      <c r="M731">
        <v>729</v>
      </c>
      <c r="N731">
        <v>182742</v>
      </c>
      <c r="P731">
        <v>-544210</v>
      </c>
    </row>
    <row r="732" spans="13:16" x14ac:dyDescent="0.3">
      <c r="M732">
        <v>730</v>
      </c>
      <c r="N732">
        <v>-91702</v>
      </c>
      <c r="P732">
        <v>945867</v>
      </c>
    </row>
    <row r="733" spans="13:16" x14ac:dyDescent="0.3">
      <c r="M733">
        <v>731</v>
      </c>
      <c r="N733">
        <v>-455322</v>
      </c>
      <c r="P733">
        <v>-481440</v>
      </c>
    </row>
    <row r="734" spans="13:16" x14ac:dyDescent="0.3">
      <c r="M734">
        <v>732</v>
      </c>
      <c r="N734">
        <v>659254</v>
      </c>
      <c r="P734">
        <v>-77968</v>
      </c>
    </row>
    <row r="735" spans="13:16" x14ac:dyDescent="0.3">
      <c r="M735">
        <v>733</v>
      </c>
      <c r="N735">
        <v>-177790</v>
      </c>
      <c r="P735">
        <v>90133</v>
      </c>
    </row>
    <row r="736" spans="13:16" x14ac:dyDescent="0.3">
      <c r="M736">
        <v>734</v>
      </c>
      <c r="N736">
        <v>256509</v>
      </c>
      <c r="P736">
        <v>455903</v>
      </c>
    </row>
    <row r="737" spans="13:16" x14ac:dyDescent="0.3">
      <c r="M737">
        <v>735</v>
      </c>
      <c r="N737">
        <v>523669</v>
      </c>
      <c r="P737">
        <v>311584</v>
      </c>
    </row>
    <row r="738" spans="13:16" x14ac:dyDescent="0.3">
      <c r="M738">
        <v>736</v>
      </c>
      <c r="N738">
        <v>958185</v>
      </c>
      <c r="P738">
        <v>-426764</v>
      </c>
    </row>
    <row r="739" spans="13:16" x14ac:dyDescent="0.3">
      <c r="M739">
        <v>737</v>
      </c>
      <c r="N739">
        <v>-155093</v>
      </c>
      <c r="P739">
        <v>216033</v>
      </c>
    </row>
    <row r="740" spans="13:16" x14ac:dyDescent="0.3">
      <c r="M740">
        <v>738</v>
      </c>
      <c r="N740">
        <v>-94434</v>
      </c>
      <c r="P740">
        <v>-80665</v>
      </c>
    </row>
    <row r="741" spans="13:16" x14ac:dyDescent="0.3">
      <c r="M741">
        <v>739</v>
      </c>
      <c r="N741">
        <v>-175092</v>
      </c>
      <c r="P741">
        <v>-170363</v>
      </c>
    </row>
    <row r="742" spans="13:16" x14ac:dyDescent="0.3">
      <c r="M742">
        <v>740</v>
      </c>
      <c r="N742">
        <v>267389</v>
      </c>
      <c r="P742">
        <v>-6773</v>
      </c>
    </row>
    <row r="743" spans="13:16" x14ac:dyDescent="0.3">
      <c r="M743">
        <v>741</v>
      </c>
      <c r="N743">
        <v>419196</v>
      </c>
      <c r="P743">
        <v>-140528</v>
      </c>
    </row>
    <row r="744" spans="13:16" x14ac:dyDescent="0.3">
      <c r="M744">
        <v>742</v>
      </c>
      <c r="N744">
        <v>852801</v>
      </c>
      <c r="P744">
        <v>-544268</v>
      </c>
    </row>
    <row r="745" spans="13:16" x14ac:dyDescent="0.3">
      <c r="M745">
        <v>743</v>
      </c>
      <c r="N745">
        <v>-462723</v>
      </c>
      <c r="P745">
        <v>-383621</v>
      </c>
    </row>
    <row r="746" spans="13:16" x14ac:dyDescent="0.3">
      <c r="M746">
        <v>744</v>
      </c>
      <c r="N746">
        <v>273474</v>
      </c>
      <c r="P746">
        <v>337344</v>
      </c>
    </row>
    <row r="747" spans="13:16" x14ac:dyDescent="0.3">
      <c r="M747">
        <v>745</v>
      </c>
      <c r="N747">
        <v>528866</v>
      </c>
      <c r="P747">
        <v>198361</v>
      </c>
    </row>
    <row r="748" spans="13:16" x14ac:dyDescent="0.3">
      <c r="M748">
        <v>746</v>
      </c>
      <c r="N748">
        <v>-325118</v>
      </c>
      <c r="P748">
        <v>-629018</v>
      </c>
    </row>
    <row r="749" spans="13:16" x14ac:dyDescent="0.3">
      <c r="M749">
        <v>747</v>
      </c>
      <c r="N749">
        <v>-29276</v>
      </c>
      <c r="P749">
        <v>656013</v>
      </c>
    </row>
    <row r="750" spans="13:16" x14ac:dyDescent="0.3">
      <c r="M750">
        <v>748</v>
      </c>
      <c r="N750">
        <v>12023</v>
      </c>
      <c r="P750">
        <v>523119</v>
      </c>
    </row>
    <row r="751" spans="13:16" x14ac:dyDescent="0.3">
      <c r="M751">
        <v>749</v>
      </c>
      <c r="N751">
        <v>478627</v>
      </c>
      <c r="P751">
        <v>-124089</v>
      </c>
    </row>
    <row r="752" spans="13:16" x14ac:dyDescent="0.3">
      <c r="M752">
        <v>750</v>
      </c>
      <c r="N752">
        <v>-281559</v>
      </c>
      <c r="P752">
        <v>376844</v>
      </c>
    </row>
    <row r="753" spans="13:16" x14ac:dyDescent="0.3">
      <c r="M753">
        <v>751</v>
      </c>
      <c r="N753">
        <v>60338</v>
      </c>
      <c r="P753">
        <v>814878</v>
      </c>
    </row>
    <row r="754" spans="13:16" x14ac:dyDescent="0.3">
      <c r="M754">
        <v>752</v>
      </c>
      <c r="N754">
        <v>1015048</v>
      </c>
      <c r="P754">
        <v>-445643</v>
      </c>
    </row>
    <row r="755" spans="13:16" x14ac:dyDescent="0.3">
      <c r="M755">
        <v>753</v>
      </c>
      <c r="N755">
        <v>444492</v>
      </c>
      <c r="P755">
        <v>743688</v>
      </c>
    </row>
    <row r="756" spans="13:16" x14ac:dyDescent="0.3">
      <c r="M756">
        <v>754</v>
      </c>
      <c r="N756">
        <v>492007</v>
      </c>
      <c r="P756">
        <v>-304258</v>
      </c>
    </row>
    <row r="757" spans="13:16" x14ac:dyDescent="0.3">
      <c r="M757">
        <v>755</v>
      </c>
      <c r="N757">
        <v>496157</v>
      </c>
      <c r="P757">
        <v>-220627</v>
      </c>
    </row>
    <row r="758" spans="13:16" x14ac:dyDescent="0.3">
      <c r="M758">
        <v>756</v>
      </c>
      <c r="N758">
        <v>122269</v>
      </c>
      <c r="P758">
        <v>-311955</v>
      </c>
    </row>
    <row r="759" spans="13:16" x14ac:dyDescent="0.3">
      <c r="M759">
        <v>757</v>
      </c>
      <c r="N759">
        <v>-167606</v>
      </c>
      <c r="P759">
        <v>-388709</v>
      </c>
    </row>
    <row r="760" spans="13:16" x14ac:dyDescent="0.3">
      <c r="M760">
        <v>758</v>
      </c>
      <c r="N760">
        <v>615304</v>
      </c>
      <c r="P760">
        <v>284007</v>
      </c>
    </row>
    <row r="761" spans="13:16" x14ac:dyDescent="0.3">
      <c r="M761">
        <v>759</v>
      </c>
      <c r="N761">
        <v>-545204</v>
      </c>
      <c r="P761">
        <v>230963</v>
      </c>
    </row>
    <row r="762" spans="13:16" x14ac:dyDescent="0.3">
      <c r="M762">
        <v>760</v>
      </c>
      <c r="N762">
        <v>-686389</v>
      </c>
      <c r="P762">
        <v>-367945</v>
      </c>
    </row>
    <row r="763" spans="13:16" x14ac:dyDescent="0.3">
      <c r="M763">
        <v>761</v>
      </c>
      <c r="N763">
        <v>497830</v>
      </c>
      <c r="P763">
        <v>-239684</v>
      </c>
    </row>
    <row r="764" spans="13:16" x14ac:dyDescent="0.3">
      <c r="M764">
        <v>762</v>
      </c>
      <c r="N764">
        <v>-670647</v>
      </c>
      <c r="P764">
        <v>300219</v>
      </c>
    </row>
    <row r="765" spans="13:16" x14ac:dyDescent="0.3">
      <c r="M765">
        <v>763</v>
      </c>
      <c r="N765">
        <v>78207</v>
      </c>
      <c r="P765">
        <v>-141062</v>
      </c>
    </row>
    <row r="766" spans="13:16" x14ac:dyDescent="0.3">
      <c r="M766">
        <v>764</v>
      </c>
      <c r="N766">
        <v>396903</v>
      </c>
      <c r="P766">
        <v>614533</v>
      </c>
    </row>
    <row r="767" spans="13:16" x14ac:dyDescent="0.3">
      <c r="M767">
        <v>765</v>
      </c>
      <c r="N767">
        <v>-578088</v>
      </c>
      <c r="P767">
        <v>-289043</v>
      </c>
    </row>
    <row r="768" spans="13:16" x14ac:dyDescent="0.3">
      <c r="M768">
        <v>766</v>
      </c>
      <c r="N768">
        <v>-264746</v>
      </c>
      <c r="P768">
        <v>388566</v>
      </c>
    </row>
    <row r="769" spans="13:16" x14ac:dyDescent="0.3">
      <c r="M769">
        <v>767</v>
      </c>
      <c r="N769">
        <v>-300346</v>
      </c>
      <c r="P769">
        <v>-685496</v>
      </c>
    </row>
    <row r="770" spans="13:16" x14ac:dyDescent="0.3">
      <c r="M770">
        <v>768</v>
      </c>
      <c r="N770">
        <v>-645220</v>
      </c>
      <c r="P770">
        <v>-443202</v>
      </c>
    </row>
    <row r="771" spans="13:16" x14ac:dyDescent="0.3">
      <c r="M771">
        <v>769</v>
      </c>
      <c r="N771">
        <v>-648245</v>
      </c>
      <c r="P771">
        <v>-390560</v>
      </c>
    </row>
    <row r="772" spans="13:16" x14ac:dyDescent="0.3">
      <c r="M772">
        <v>770</v>
      </c>
      <c r="N772">
        <v>-30826</v>
      </c>
      <c r="P772">
        <v>65356</v>
      </c>
    </row>
    <row r="773" spans="13:16" x14ac:dyDescent="0.3">
      <c r="M773">
        <v>771</v>
      </c>
      <c r="N773">
        <v>567323</v>
      </c>
      <c r="P773">
        <v>444212</v>
      </c>
    </row>
    <row r="774" spans="13:16" x14ac:dyDescent="0.3">
      <c r="M774">
        <v>772</v>
      </c>
      <c r="N774">
        <v>-604658</v>
      </c>
      <c r="P774">
        <v>564955</v>
      </c>
    </row>
    <row r="775" spans="13:16" x14ac:dyDescent="0.3">
      <c r="M775">
        <v>773</v>
      </c>
      <c r="N775">
        <v>330434</v>
      </c>
      <c r="P775">
        <v>-30157</v>
      </c>
    </row>
    <row r="776" spans="13:16" x14ac:dyDescent="0.3">
      <c r="M776">
        <v>774</v>
      </c>
      <c r="N776">
        <v>-135323</v>
      </c>
      <c r="P776">
        <v>149916</v>
      </c>
    </row>
    <row r="777" spans="13:16" x14ac:dyDescent="0.3">
      <c r="M777">
        <v>775</v>
      </c>
      <c r="N777">
        <v>58900</v>
      </c>
      <c r="P777">
        <v>984079</v>
      </c>
    </row>
    <row r="778" spans="13:16" x14ac:dyDescent="0.3">
      <c r="M778">
        <v>776</v>
      </c>
      <c r="N778">
        <v>8361</v>
      </c>
      <c r="P778">
        <v>98007</v>
      </c>
    </row>
    <row r="779" spans="13:16" x14ac:dyDescent="0.3">
      <c r="M779">
        <v>777</v>
      </c>
      <c r="N779">
        <v>-190816</v>
      </c>
      <c r="P779">
        <v>403079</v>
      </c>
    </row>
    <row r="780" spans="13:16" x14ac:dyDescent="0.3">
      <c r="M780">
        <v>778</v>
      </c>
      <c r="N780">
        <v>145093</v>
      </c>
      <c r="P780">
        <v>378588</v>
      </c>
    </row>
    <row r="781" spans="13:16" x14ac:dyDescent="0.3">
      <c r="M781">
        <v>779</v>
      </c>
      <c r="N781">
        <v>-675955</v>
      </c>
      <c r="P781">
        <v>753364</v>
      </c>
    </row>
    <row r="782" spans="13:16" x14ac:dyDescent="0.3">
      <c r="M782">
        <v>780</v>
      </c>
      <c r="N782">
        <v>167441</v>
      </c>
      <c r="P782">
        <v>481839</v>
      </c>
    </row>
    <row r="783" spans="13:16" x14ac:dyDescent="0.3">
      <c r="M783">
        <v>781</v>
      </c>
      <c r="N783">
        <v>220513</v>
      </c>
      <c r="P783">
        <v>-164894</v>
      </c>
    </row>
    <row r="784" spans="13:16" x14ac:dyDescent="0.3">
      <c r="M784">
        <v>782</v>
      </c>
      <c r="N784">
        <v>63935</v>
      </c>
      <c r="P784">
        <v>936972</v>
      </c>
    </row>
    <row r="785" spans="13:16" x14ac:dyDescent="0.3">
      <c r="M785">
        <v>783</v>
      </c>
      <c r="N785">
        <v>169665</v>
      </c>
      <c r="P785">
        <v>680184</v>
      </c>
    </row>
    <row r="786" spans="13:16" x14ac:dyDescent="0.3">
      <c r="M786">
        <v>784</v>
      </c>
      <c r="N786">
        <v>587873</v>
      </c>
      <c r="P786">
        <v>-191562</v>
      </c>
    </row>
    <row r="787" spans="13:16" x14ac:dyDescent="0.3">
      <c r="M787">
        <v>785</v>
      </c>
      <c r="N787">
        <v>355831</v>
      </c>
      <c r="P787">
        <v>-5405</v>
      </c>
    </row>
    <row r="788" spans="13:16" x14ac:dyDescent="0.3">
      <c r="M788">
        <v>786</v>
      </c>
      <c r="N788">
        <v>131767</v>
      </c>
      <c r="P788">
        <v>81267</v>
      </c>
    </row>
    <row r="789" spans="13:16" x14ac:dyDescent="0.3">
      <c r="M789">
        <v>787</v>
      </c>
      <c r="N789">
        <v>-35016</v>
      </c>
      <c r="P789">
        <v>-126778</v>
      </c>
    </row>
    <row r="790" spans="13:16" x14ac:dyDescent="0.3">
      <c r="M790">
        <v>788</v>
      </c>
      <c r="N790">
        <v>-580726</v>
      </c>
      <c r="P790">
        <v>-604964</v>
      </c>
    </row>
    <row r="791" spans="13:16" x14ac:dyDescent="0.3">
      <c r="M791">
        <v>789</v>
      </c>
      <c r="N791">
        <v>782570</v>
      </c>
      <c r="P791">
        <v>-478456</v>
      </c>
    </row>
    <row r="792" spans="13:16" x14ac:dyDescent="0.3">
      <c r="M792">
        <v>790</v>
      </c>
      <c r="N792">
        <v>-348242</v>
      </c>
      <c r="P792">
        <v>659203</v>
      </c>
    </row>
    <row r="793" spans="13:16" x14ac:dyDescent="0.3">
      <c r="M793">
        <v>791</v>
      </c>
      <c r="N793">
        <v>289561</v>
      </c>
      <c r="P793">
        <v>697883</v>
      </c>
    </row>
    <row r="794" spans="13:16" x14ac:dyDescent="0.3">
      <c r="M794">
        <v>792</v>
      </c>
      <c r="N794">
        <v>-97846</v>
      </c>
      <c r="P794">
        <v>98691</v>
      </c>
    </row>
    <row r="795" spans="13:16" x14ac:dyDescent="0.3">
      <c r="M795">
        <v>793</v>
      </c>
      <c r="N795">
        <v>-506809</v>
      </c>
      <c r="P795">
        <v>170931</v>
      </c>
    </row>
    <row r="796" spans="13:16" x14ac:dyDescent="0.3">
      <c r="M796">
        <v>794</v>
      </c>
      <c r="N796">
        <v>178141</v>
      </c>
      <c r="P796">
        <v>-509647</v>
      </c>
    </row>
    <row r="797" spans="13:16" x14ac:dyDescent="0.3">
      <c r="M797">
        <v>795</v>
      </c>
      <c r="N797">
        <v>-111362</v>
      </c>
      <c r="P797">
        <v>-257140</v>
      </c>
    </row>
    <row r="798" spans="13:16" x14ac:dyDescent="0.3">
      <c r="M798">
        <v>796</v>
      </c>
      <c r="N798">
        <v>642421</v>
      </c>
      <c r="P798">
        <v>-490460</v>
      </c>
    </row>
    <row r="799" spans="13:16" x14ac:dyDescent="0.3">
      <c r="M799">
        <v>797</v>
      </c>
      <c r="N799">
        <v>26434</v>
      </c>
      <c r="P799">
        <v>735901</v>
      </c>
    </row>
    <row r="800" spans="13:16" x14ac:dyDescent="0.3">
      <c r="M800">
        <v>798</v>
      </c>
      <c r="N800">
        <v>572686</v>
      </c>
      <c r="P800">
        <v>-559025</v>
      </c>
    </row>
    <row r="801" spans="13:16" x14ac:dyDescent="0.3">
      <c r="M801">
        <v>799</v>
      </c>
      <c r="N801">
        <v>-218056</v>
      </c>
      <c r="P801">
        <v>628697</v>
      </c>
    </row>
    <row r="802" spans="13:16" x14ac:dyDescent="0.3">
      <c r="M802">
        <v>800</v>
      </c>
      <c r="N802">
        <v>-539540</v>
      </c>
      <c r="P802">
        <v>265600</v>
      </c>
    </row>
    <row r="803" spans="13:16" x14ac:dyDescent="0.3">
      <c r="M803">
        <v>801</v>
      </c>
      <c r="N803">
        <v>224635</v>
      </c>
      <c r="P803">
        <v>80317</v>
      </c>
    </row>
    <row r="804" spans="13:16" x14ac:dyDescent="0.3">
      <c r="M804">
        <v>802</v>
      </c>
      <c r="N804">
        <v>-121936</v>
      </c>
      <c r="P804">
        <v>-393583</v>
      </c>
    </row>
    <row r="805" spans="13:16" x14ac:dyDescent="0.3">
      <c r="M805">
        <v>803</v>
      </c>
      <c r="N805">
        <v>613380</v>
      </c>
      <c r="P805">
        <v>292496</v>
      </c>
    </row>
    <row r="806" spans="13:16" x14ac:dyDescent="0.3">
      <c r="M806">
        <v>804</v>
      </c>
      <c r="N806">
        <v>211164</v>
      </c>
      <c r="P806">
        <v>154912</v>
      </c>
    </row>
    <row r="807" spans="13:16" x14ac:dyDescent="0.3">
      <c r="M807">
        <v>805</v>
      </c>
      <c r="N807">
        <v>608804</v>
      </c>
      <c r="P807">
        <v>498126</v>
      </c>
    </row>
    <row r="808" spans="13:16" x14ac:dyDescent="0.3">
      <c r="M808">
        <v>806</v>
      </c>
      <c r="N808">
        <v>474067</v>
      </c>
      <c r="P808">
        <v>-292961</v>
      </c>
    </row>
    <row r="809" spans="13:16" x14ac:dyDescent="0.3">
      <c r="M809">
        <v>807</v>
      </c>
      <c r="N809">
        <v>-42168</v>
      </c>
      <c r="P809">
        <v>-129637</v>
      </c>
    </row>
    <row r="810" spans="13:16" x14ac:dyDescent="0.3">
      <c r="M810">
        <v>808</v>
      </c>
      <c r="N810">
        <v>-154917</v>
      </c>
      <c r="P810">
        <v>-593665</v>
      </c>
    </row>
    <row r="811" spans="13:16" x14ac:dyDescent="0.3">
      <c r="M811">
        <v>809</v>
      </c>
      <c r="N811">
        <v>370895</v>
      </c>
      <c r="P811">
        <v>-135049</v>
      </c>
    </row>
    <row r="812" spans="13:16" x14ac:dyDescent="0.3">
      <c r="M812">
        <v>810</v>
      </c>
      <c r="N812">
        <v>573443</v>
      </c>
      <c r="P812">
        <v>-545168</v>
      </c>
    </row>
    <row r="813" spans="13:16" x14ac:dyDescent="0.3">
      <c r="M813">
        <v>811</v>
      </c>
      <c r="N813">
        <v>696715</v>
      </c>
      <c r="P813">
        <v>960656</v>
      </c>
    </row>
    <row r="814" spans="13:16" x14ac:dyDescent="0.3">
      <c r="M814">
        <v>812</v>
      </c>
      <c r="N814">
        <v>450595</v>
      </c>
      <c r="P814">
        <v>225159</v>
      </c>
    </row>
    <row r="815" spans="13:16" x14ac:dyDescent="0.3">
      <c r="M815">
        <v>813</v>
      </c>
      <c r="N815">
        <v>-304732</v>
      </c>
      <c r="P815">
        <v>-176205</v>
      </c>
    </row>
    <row r="816" spans="13:16" x14ac:dyDescent="0.3">
      <c r="M816">
        <v>814</v>
      </c>
      <c r="N816">
        <v>-577485</v>
      </c>
      <c r="P816">
        <v>157621</v>
      </c>
    </row>
    <row r="817" spans="13:16" x14ac:dyDescent="0.3">
      <c r="M817">
        <v>815</v>
      </c>
      <c r="N817">
        <v>369682</v>
      </c>
      <c r="P817">
        <v>-582146</v>
      </c>
    </row>
    <row r="818" spans="13:16" x14ac:dyDescent="0.3">
      <c r="M818">
        <v>816</v>
      </c>
      <c r="N818">
        <v>442480</v>
      </c>
      <c r="P818">
        <v>552003</v>
      </c>
    </row>
    <row r="819" spans="13:16" x14ac:dyDescent="0.3">
      <c r="M819">
        <v>817</v>
      </c>
      <c r="N819">
        <v>-257290</v>
      </c>
      <c r="P819">
        <v>-49382</v>
      </c>
    </row>
    <row r="820" spans="13:16" x14ac:dyDescent="0.3">
      <c r="M820">
        <v>818</v>
      </c>
      <c r="N820">
        <v>268080</v>
      </c>
      <c r="P820">
        <v>-394659</v>
      </c>
    </row>
    <row r="821" spans="13:16" x14ac:dyDescent="0.3">
      <c r="M821">
        <v>819</v>
      </c>
      <c r="N821">
        <v>-183030</v>
      </c>
      <c r="P821">
        <v>-243514</v>
      </c>
    </row>
    <row r="822" spans="13:16" x14ac:dyDescent="0.3">
      <c r="M822">
        <v>820</v>
      </c>
      <c r="N822">
        <v>-584418</v>
      </c>
      <c r="P822">
        <v>-353255</v>
      </c>
    </row>
    <row r="823" spans="13:16" x14ac:dyDescent="0.3">
      <c r="M823">
        <v>821</v>
      </c>
      <c r="N823">
        <v>246354</v>
      </c>
      <c r="P823">
        <v>18632</v>
      </c>
    </row>
    <row r="824" spans="13:16" x14ac:dyDescent="0.3">
      <c r="M824">
        <v>822</v>
      </c>
      <c r="N824">
        <v>-579412</v>
      </c>
      <c r="P824">
        <v>183609</v>
      </c>
    </row>
    <row r="825" spans="13:16" x14ac:dyDescent="0.3">
      <c r="M825">
        <v>823</v>
      </c>
      <c r="N825">
        <v>-135513</v>
      </c>
      <c r="P825">
        <v>-431392</v>
      </c>
    </row>
    <row r="826" spans="13:16" x14ac:dyDescent="0.3">
      <c r="M826">
        <v>824</v>
      </c>
      <c r="N826">
        <v>-199285</v>
      </c>
      <c r="P826">
        <v>-623548</v>
      </c>
    </row>
    <row r="827" spans="13:16" x14ac:dyDescent="0.3">
      <c r="M827">
        <v>825</v>
      </c>
      <c r="N827">
        <v>125946</v>
      </c>
      <c r="P827">
        <v>161640</v>
      </c>
    </row>
    <row r="828" spans="13:16" x14ac:dyDescent="0.3">
      <c r="M828">
        <v>826</v>
      </c>
      <c r="N828">
        <v>1068569</v>
      </c>
      <c r="P828">
        <v>20729</v>
      </c>
    </row>
    <row r="829" spans="13:16" x14ac:dyDescent="0.3">
      <c r="M829">
        <v>827</v>
      </c>
      <c r="N829">
        <v>-116442</v>
      </c>
      <c r="P829">
        <v>-484166</v>
      </c>
    </row>
    <row r="830" spans="13:16" x14ac:dyDescent="0.3">
      <c r="M830">
        <v>828</v>
      </c>
      <c r="N830">
        <v>-286024</v>
      </c>
      <c r="P830">
        <v>301855</v>
      </c>
    </row>
    <row r="831" spans="13:16" x14ac:dyDescent="0.3">
      <c r="M831">
        <v>829</v>
      </c>
      <c r="N831">
        <v>-73825</v>
      </c>
      <c r="P831">
        <v>533864</v>
      </c>
    </row>
    <row r="832" spans="13:16" x14ac:dyDescent="0.3">
      <c r="M832">
        <v>830</v>
      </c>
      <c r="N832">
        <v>433831</v>
      </c>
      <c r="P832">
        <v>-46240</v>
      </c>
    </row>
    <row r="833" spans="13:16" x14ac:dyDescent="0.3">
      <c r="M833">
        <v>831</v>
      </c>
      <c r="N833">
        <v>693606</v>
      </c>
      <c r="P833">
        <v>705300</v>
      </c>
    </row>
    <row r="834" spans="13:16" x14ac:dyDescent="0.3">
      <c r="M834">
        <v>832</v>
      </c>
      <c r="N834">
        <v>-317639</v>
      </c>
      <c r="P834">
        <v>-371471</v>
      </c>
    </row>
    <row r="835" spans="13:16" x14ac:dyDescent="0.3">
      <c r="M835">
        <v>833</v>
      </c>
      <c r="N835">
        <v>-46138</v>
      </c>
      <c r="P835">
        <v>-11325</v>
      </c>
    </row>
    <row r="836" spans="13:16" x14ac:dyDescent="0.3">
      <c r="M836">
        <v>834</v>
      </c>
      <c r="N836">
        <v>325186</v>
      </c>
      <c r="P836">
        <v>-146693</v>
      </c>
    </row>
    <row r="837" spans="13:16" x14ac:dyDescent="0.3">
      <c r="M837">
        <v>835</v>
      </c>
      <c r="N837">
        <v>312013</v>
      </c>
      <c r="P837">
        <v>-424576</v>
      </c>
    </row>
    <row r="838" spans="13:16" x14ac:dyDescent="0.3">
      <c r="M838">
        <v>836</v>
      </c>
      <c r="N838">
        <v>843389</v>
      </c>
      <c r="P838">
        <v>-665672</v>
      </c>
    </row>
    <row r="839" spans="13:16" x14ac:dyDescent="0.3">
      <c r="M839">
        <v>837</v>
      </c>
      <c r="N839">
        <v>89226</v>
      </c>
      <c r="P839">
        <v>-267925</v>
      </c>
    </row>
    <row r="840" spans="13:16" x14ac:dyDescent="0.3">
      <c r="M840">
        <v>838</v>
      </c>
      <c r="N840">
        <v>683434</v>
      </c>
      <c r="P840">
        <v>-523700</v>
      </c>
    </row>
    <row r="841" spans="13:16" x14ac:dyDescent="0.3">
      <c r="M841">
        <v>839</v>
      </c>
      <c r="N841">
        <v>88443</v>
      </c>
      <c r="P841">
        <v>432417</v>
      </c>
    </row>
    <row r="842" spans="13:16" x14ac:dyDescent="0.3">
      <c r="M842">
        <v>840</v>
      </c>
      <c r="N842">
        <v>653135</v>
      </c>
      <c r="P842">
        <v>-125687</v>
      </c>
    </row>
    <row r="843" spans="13:16" x14ac:dyDescent="0.3">
      <c r="M843">
        <v>841</v>
      </c>
      <c r="N843">
        <v>-291615</v>
      </c>
      <c r="P843">
        <v>-635028</v>
      </c>
    </row>
    <row r="844" spans="13:16" x14ac:dyDescent="0.3">
      <c r="M844">
        <v>842</v>
      </c>
      <c r="N844">
        <v>1143454</v>
      </c>
      <c r="P844">
        <v>46272</v>
      </c>
    </row>
    <row r="845" spans="13:16" x14ac:dyDescent="0.3">
      <c r="M845">
        <v>843</v>
      </c>
      <c r="N845">
        <v>-187669</v>
      </c>
      <c r="P845">
        <v>-488646</v>
      </c>
    </row>
    <row r="846" spans="13:16" x14ac:dyDescent="0.3">
      <c r="M846">
        <v>844</v>
      </c>
      <c r="N846">
        <v>719325</v>
      </c>
      <c r="P846">
        <v>210786</v>
      </c>
    </row>
    <row r="847" spans="13:16" x14ac:dyDescent="0.3">
      <c r="M847">
        <v>845</v>
      </c>
      <c r="N847">
        <v>351057</v>
      </c>
      <c r="P847">
        <v>-472343</v>
      </c>
    </row>
    <row r="848" spans="13:16" x14ac:dyDescent="0.3">
      <c r="M848">
        <v>846</v>
      </c>
      <c r="N848">
        <v>613850</v>
      </c>
      <c r="P848">
        <v>643914</v>
      </c>
    </row>
    <row r="849" spans="13:16" x14ac:dyDescent="0.3">
      <c r="M849">
        <v>847</v>
      </c>
      <c r="N849">
        <v>350311</v>
      </c>
      <c r="P849">
        <v>88577</v>
      </c>
    </row>
    <row r="850" spans="13:16" x14ac:dyDescent="0.3">
      <c r="M850">
        <v>848</v>
      </c>
      <c r="N850">
        <v>-642890</v>
      </c>
      <c r="P850">
        <v>-163329</v>
      </c>
    </row>
    <row r="851" spans="13:16" x14ac:dyDescent="0.3">
      <c r="M851">
        <v>849</v>
      </c>
      <c r="N851">
        <v>782923</v>
      </c>
      <c r="P851">
        <v>414299</v>
      </c>
    </row>
    <row r="852" spans="13:16" x14ac:dyDescent="0.3">
      <c r="M852">
        <v>850</v>
      </c>
      <c r="N852">
        <v>242889</v>
      </c>
      <c r="P852">
        <v>942600</v>
      </c>
    </row>
    <row r="853" spans="13:16" x14ac:dyDescent="0.3">
      <c r="M853">
        <v>851</v>
      </c>
      <c r="N853">
        <v>639382</v>
      </c>
      <c r="P853">
        <v>-502104</v>
      </c>
    </row>
    <row r="854" spans="13:16" x14ac:dyDescent="0.3">
      <c r="M854">
        <v>852</v>
      </c>
      <c r="N854">
        <v>-485506</v>
      </c>
      <c r="P854">
        <v>766717</v>
      </c>
    </row>
    <row r="855" spans="13:16" x14ac:dyDescent="0.3">
      <c r="M855">
        <v>853</v>
      </c>
      <c r="N855">
        <v>-607021</v>
      </c>
      <c r="P855">
        <v>273070</v>
      </c>
    </row>
    <row r="856" spans="13:16" x14ac:dyDescent="0.3">
      <c r="M856">
        <v>854</v>
      </c>
      <c r="N856">
        <v>691362</v>
      </c>
      <c r="P856">
        <v>-559058</v>
      </c>
    </row>
    <row r="857" spans="13:16" x14ac:dyDescent="0.3">
      <c r="M857">
        <v>855</v>
      </c>
      <c r="N857">
        <v>252146</v>
      </c>
      <c r="P857">
        <v>95985</v>
      </c>
    </row>
    <row r="858" spans="13:16" x14ac:dyDescent="0.3">
      <c r="M858">
        <v>856</v>
      </c>
      <c r="N858">
        <v>222181</v>
      </c>
      <c r="P858">
        <v>559934</v>
      </c>
    </row>
    <row r="859" spans="13:16" x14ac:dyDescent="0.3">
      <c r="M859">
        <v>857</v>
      </c>
      <c r="N859">
        <v>-20809</v>
      </c>
      <c r="P859">
        <v>25734</v>
      </c>
    </row>
    <row r="860" spans="13:16" x14ac:dyDescent="0.3">
      <c r="M860">
        <v>858</v>
      </c>
      <c r="N860">
        <v>-600941</v>
      </c>
      <c r="P860">
        <v>433231</v>
      </c>
    </row>
    <row r="861" spans="13:16" x14ac:dyDescent="0.3">
      <c r="M861">
        <v>859</v>
      </c>
      <c r="N861">
        <v>-184475</v>
      </c>
      <c r="P861">
        <v>300921</v>
      </c>
    </row>
    <row r="862" spans="13:16" x14ac:dyDescent="0.3">
      <c r="M862">
        <v>860</v>
      </c>
      <c r="N862">
        <v>343374</v>
      </c>
      <c r="P862">
        <v>-144488</v>
      </c>
    </row>
    <row r="863" spans="13:16" x14ac:dyDescent="0.3">
      <c r="M863">
        <v>861</v>
      </c>
      <c r="N863">
        <v>820949</v>
      </c>
      <c r="P863">
        <v>189061</v>
      </c>
    </row>
    <row r="864" spans="13:16" x14ac:dyDescent="0.3">
      <c r="M864">
        <v>862</v>
      </c>
      <c r="N864">
        <v>194407</v>
      </c>
      <c r="P864">
        <v>-45883</v>
      </c>
    </row>
    <row r="865" spans="13:16" x14ac:dyDescent="0.3">
      <c r="M865">
        <v>863</v>
      </c>
      <c r="N865">
        <v>-273464</v>
      </c>
      <c r="P865">
        <v>-217046</v>
      </c>
    </row>
    <row r="866" spans="13:16" x14ac:dyDescent="0.3">
      <c r="M866">
        <v>864</v>
      </c>
      <c r="N866">
        <v>75839</v>
      </c>
      <c r="P866">
        <v>-743664</v>
      </c>
    </row>
    <row r="867" spans="13:16" x14ac:dyDescent="0.3">
      <c r="M867">
        <v>865</v>
      </c>
      <c r="N867">
        <v>-612120</v>
      </c>
      <c r="P867">
        <v>498957</v>
      </c>
    </row>
    <row r="868" spans="13:16" x14ac:dyDescent="0.3">
      <c r="M868">
        <v>866</v>
      </c>
      <c r="N868">
        <v>-285402</v>
      </c>
      <c r="P868">
        <v>55040</v>
      </c>
    </row>
    <row r="869" spans="13:16" x14ac:dyDescent="0.3">
      <c r="M869">
        <v>867</v>
      </c>
      <c r="N869">
        <v>2389</v>
      </c>
      <c r="P869">
        <v>-745172</v>
      </c>
    </row>
    <row r="870" spans="13:16" x14ac:dyDescent="0.3">
      <c r="M870">
        <v>868</v>
      </c>
      <c r="N870">
        <v>-153519</v>
      </c>
      <c r="P870">
        <v>-636166</v>
      </c>
    </row>
    <row r="871" spans="13:16" x14ac:dyDescent="0.3">
      <c r="M871">
        <v>869</v>
      </c>
      <c r="N871">
        <v>895335</v>
      </c>
      <c r="P871">
        <v>699225</v>
      </c>
    </row>
    <row r="872" spans="13:16" x14ac:dyDescent="0.3">
      <c r="M872">
        <v>870</v>
      </c>
      <c r="N872">
        <v>416912</v>
      </c>
      <c r="P872">
        <v>633480</v>
      </c>
    </row>
    <row r="873" spans="13:16" x14ac:dyDescent="0.3">
      <c r="M873">
        <v>871</v>
      </c>
      <c r="N873">
        <v>-391507</v>
      </c>
      <c r="P873">
        <v>525407</v>
      </c>
    </row>
    <row r="874" spans="13:16" x14ac:dyDescent="0.3">
      <c r="M874">
        <v>872</v>
      </c>
      <c r="N874">
        <v>273584</v>
      </c>
      <c r="P874">
        <v>-93877</v>
      </c>
    </row>
    <row r="875" spans="13:16" x14ac:dyDescent="0.3">
      <c r="M875">
        <v>873</v>
      </c>
      <c r="N875">
        <v>568908</v>
      </c>
      <c r="P875">
        <v>-11950</v>
      </c>
    </row>
    <row r="876" spans="13:16" x14ac:dyDescent="0.3">
      <c r="M876">
        <v>874</v>
      </c>
      <c r="N876">
        <v>-87114</v>
      </c>
      <c r="P876">
        <v>-445618</v>
      </c>
    </row>
    <row r="877" spans="13:16" x14ac:dyDescent="0.3">
      <c r="M877">
        <v>875</v>
      </c>
      <c r="N877">
        <v>1187140</v>
      </c>
      <c r="P877">
        <v>-462241</v>
      </c>
    </row>
    <row r="878" spans="13:16" x14ac:dyDescent="0.3">
      <c r="M878">
        <v>876</v>
      </c>
      <c r="N878">
        <v>-28743</v>
      </c>
      <c r="P878">
        <v>463824</v>
      </c>
    </row>
    <row r="879" spans="13:16" x14ac:dyDescent="0.3">
      <c r="M879">
        <v>877</v>
      </c>
      <c r="N879">
        <v>-510245</v>
      </c>
      <c r="P879">
        <v>159733</v>
      </c>
    </row>
    <row r="880" spans="13:16" x14ac:dyDescent="0.3">
      <c r="M880">
        <v>878</v>
      </c>
      <c r="N880">
        <v>-301605</v>
      </c>
      <c r="P880">
        <v>251744</v>
      </c>
    </row>
    <row r="881" spans="13:16" x14ac:dyDescent="0.3">
      <c r="M881">
        <v>879</v>
      </c>
      <c r="N881">
        <v>-742795</v>
      </c>
      <c r="P881">
        <v>-491051</v>
      </c>
    </row>
    <row r="882" spans="13:16" x14ac:dyDescent="0.3">
      <c r="M882">
        <v>880</v>
      </c>
      <c r="N882">
        <v>-479643</v>
      </c>
      <c r="P882">
        <v>343843</v>
      </c>
    </row>
    <row r="883" spans="13:16" x14ac:dyDescent="0.3">
      <c r="M883">
        <v>881</v>
      </c>
      <c r="N883">
        <v>-584929</v>
      </c>
      <c r="P883">
        <v>-105227</v>
      </c>
    </row>
    <row r="884" spans="13:16" x14ac:dyDescent="0.3">
      <c r="M884">
        <v>882</v>
      </c>
      <c r="N884">
        <v>51260</v>
      </c>
      <c r="P884">
        <v>-173164</v>
      </c>
    </row>
    <row r="885" spans="13:16" x14ac:dyDescent="0.3">
      <c r="M885">
        <v>883</v>
      </c>
      <c r="N885">
        <v>-109534</v>
      </c>
      <c r="P885">
        <v>22643</v>
      </c>
    </row>
    <row r="886" spans="13:16" x14ac:dyDescent="0.3">
      <c r="M886">
        <v>884</v>
      </c>
      <c r="N886">
        <v>135549</v>
      </c>
      <c r="P886">
        <v>681536</v>
      </c>
    </row>
    <row r="887" spans="13:16" x14ac:dyDescent="0.3">
      <c r="M887">
        <v>885</v>
      </c>
      <c r="N887">
        <v>13371</v>
      </c>
      <c r="P887">
        <v>-129255</v>
      </c>
    </row>
    <row r="888" spans="13:16" x14ac:dyDescent="0.3">
      <c r="M888">
        <v>886</v>
      </c>
      <c r="N888">
        <v>106240</v>
      </c>
      <c r="P888">
        <v>216504</v>
      </c>
    </row>
    <row r="889" spans="13:16" x14ac:dyDescent="0.3">
      <c r="M889">
        <v>887</v>
      </c>
      <c r="N889">
        <v>-481875</v>
      </c>
      <c r="P889">
        <v>-570341</v>
      </c>
    </row>
    <row r="890" spans="13:16" x14ac:dyDescent="0.3">
      <c r="M890">
        <v>888</v>
      </c>
      <c r="N890">
        <v>-235494</v>
      </c>
      <c r="P890">
        <v>-212220</v>
      </c>
    </row>
    <row r="891" spans="13:16" x14ac:dyDescent="0.3">
      <c r="M891">
        <v>889</v>
      </c>
      <c r="N891">
        <v>-717239</v>
      </c>
      <c r="P891">
        <v>-107511</v>
      </c>
    </row>
    <row r="892" spans="13:16" x14ac:dyDescent="0.3">
      <c r="M892">
        <v>890</v>
      </c>
      <c r="N892">
        <v>-578238</v>
      </c>
      <c r="P892">
        <v>-142330</v>
      </c>
    </row>
    <row r="893" spans="13:16" x14ac:dyDescent="0.3">
      <c r="M893">
        <v>891</v>
      </c>
      <c r="N893">
        <v>284172</v>
      </c>
      <c r="P893">
        <v>-519692</v>
      </c>
    </row>
    <row r="894" spans="13:16" x14ac:dyDescent="0.3">
      <c r="M894">
        <v>892</v>
      </c>
      <c r="N894">
        <v>535708</v>
      </c>
      <c r="P894">
        <v>631425</v>
      </c>
    </row>
    <row r="895" spans="13:16" x14ac:dyDescent="0.3">
      <c r="M895">
        <v>893</v>
      </c>
      <c r="N895">
        <v>442240</v>
      </c>
      <c r="P895">
        <v>-199258</v>
      </c>
    </row>
    <row r="896" spans="13:16" x14ac:dyDescent="0.3">
      <c r="M896">
        <v>894</v>
      </c>
      <c r="N896">
        <v>-40145</v>
      </c>
      <c r="P896">
        <v>-302080</v>
      </c>
    </row>
    <row r="897" spans="13:16" x14ac:dyDescent="0.3">
      <c r="M897">
        <v>895</v>
      </c>
      <c r="N897">
        <v>148871</v>
      </c>
      <c r="P897">
        <v>-407760</v>
      </c>
    </row>
    <row r="898" spans="13:16" x14ac:dyDescent="0.3">
      <c r="M898">
        <v>896</v>
      </c>
      <c r="N898">
        <v>275811</v>
      </c>
      <c r="P898">
        <v>-26146</v>
      </c>
    </row>
    <row r="899" spans="13:16" x14ac:dyDescent="0.3">
      <c r="M899">
        <v>897</v>
      </c>
      <c r="N899">
        <v>-478448</v>
      </c>
      <c r="P899">
        <v>-795134</v>
      </c>
    </row>
    <row r="900" spans="13:16" x14ac:dyDescent="0.3">
      <c r="M900">
        <v>898</v>
      </c>
      <c r="N900">
        <v>-316209</v>
      </c>
      <c r="P900">
        <v>-736381</v>
      </c>
    </row>
    <row r="901" spans="13:16" x14ac:dyDescent="0.3">
      <c r="M901">
        <v>899</v>
      </c>
      <c r="N901">
        <v>-13101</v>
      </c>
      <c r="P901">
        <v>-655584</v>
      </c>
    </row>
    <row r="902" spans="13:16" x14ac:dyDescent="0.3">
      <c r="M902">
        <v>900</v>
      </c>
      <c r="N902">
        <v>-420722</v>
      </c>
      <c r="P902">
        <v>-413143</v>
      </c>
    </row>
    <row r="903" spans="13:16" x14ac:dyDescent="0.3">
      <c r="M903">
        <v>901</v>
      </c>
      <c r="N903">
        <v>-81188</v>
      </c>
      <c r="P903">
        <v>572153</v>
      </c>
    </row>
    <row r="904" spans="13:16" x14ac:dyDescent="0.3">
      <c r="M904">
        <v>902</v>
      </c>
      <c r="N904">
        <v>-139478</v>
      </c>
      <c r="P904">
        <v>248241</v>
      </c>
    </row>
    <row r="905" spans="13:16" x14ac:dyDescent="0.3">
      <c r="M905">
        <v>903</v>
      </c>
      <c r="N905">
        <v>338680</v>
      </c>
      <c r="P905">
        <v>538730</v>
      </c>
    </row>
    <row r="906" spans="13:16" x14ac:dyDescent="0.3">
      <c r="M906">
        <v>904</v>
      </c>
      <c r="N906">
        <v>286153</v>
      </c>
      <c r="P906">
        <v>-519037</v>
      </c>
    </row>
    <row r="907" spans="13:16" x14ac:dyDescent="0.3">
      <c r="M907">
        <v>905</v>
      </c>
      <c r="N907">
        <v>-332603</v>
      </c>
      <c r="P907">
        <v>-230130</v>
      </c>
    </row>
    <row r="908" spans="13:16" x14ac:dyDescent="0.3">
      <c r="M908">
        <v>906</v>
      </c>
      <c r="N908">
        <v>213271</v>
      </c>
      <c r="P908">
        <v>176911</v>
      </c>
    </row>
    <row r="909" spans="13:16" x14ac:dyDescent="0.3">
      <c r="M909">
        <v>907</v>
      </c>
      <c r="N909">
        <v>-315765</v>
      </c>
      <c r="P909">
        <v>-359050</v>
      </c>
    </row>
    <row r="910" spans="13:16" x14ac:dyDescent="0.3">
      <c r="M910">
        <v>908</v>
      </c>
      <c r="N910">
        <v>-147310</v>
      </c>
      <c r="P910">
        <v>307109</v>
      </c>
    </row>
    <row r="911" spans="13:16" x14ac:dyDescent="0.3">
      <c r="M911">
        <v>909</v>
      </c>
      <c r="N911">
        <v>348169</v>
      </c>
      <c r="P911">
        <v>-175662</v>
      </c>
    </row>
    <row r="912" spans="13:16" x14ac:dyDescent="0.3">
      <c r="M912">
        <v>910</v>
      </c>
      <c r="N912">
        <v>-442415</v>
      </c>
      <c r="P912">
        <v>581903</v>
      </c>
    </row>
    <row r="913" spans="13:16" x14ac:dyDescent="0.3">
      <c r="M913">
        <v>911</v>
      </c>
      <c r="N913">
        <v>702572</v>
      </c>
      <c r="P913">
        <v>414192</v>
      </c>
    </row>
    <row r="914" spans="13:16" x14ac:dyDescent="0.3">
      <c r="M914">
        <v>912</v>
      </c>
      <c r="N914">
        <v>476521</v>
      </c>
      <c r="P914">
        <v>186711</v>
      </c>
    </row>
    <row r="915" spans="13:16" x14ac:dyDescent="0.3">
      <c r="M915">
        <v>913</v>
      </c>
      <c r="N915">
        <v>-92434</v>
      </c>
      <c r="P915">
        <v>-568591</v>
      </c>
    </row>
    <row r="916" spans="13:16" x14ac:dyDescent="0.3">
      <c r="M916">
        <v>914</v>
      </c>
      <c r="N916">
        <v>-26913</v>
      </c>
      <c r="P916">
        <v>-105472</v>
      </c>
    </row>
    <row r="917" spans="13:16" x14ac:dyDescent="0.3">
      <c r="M917">
        <v>915</v>
      </c>
      <c r="N917">
        <v>379443</v>
      </c>
      <c r="P917">
        <v>-156216</v>
      </c>
    </row>
    <row r="918" spans="13:16" x14ac:dyDescent="0.3">
      <c r="M918">
        <v>916</v>
      </c>
      <c r="N918">
        <v>495092</v>
      </c>
      <c r="P918">
        <v>-282703</v>
      </c>
    </row>
    <row r="919" spans="13:16" x14ac:dyDescent="0.3">
      <c r="M919">
        <v>917</v>
      </c>
      <c r="N919">
        <v>-562883</v>
      </c>
      <c r="P919">
        <v>-178069</v>
      </c>
    </row>
    <row r="920" spans="13:16" x14ac:dyDescent="0.3">
      <c r="M920">
        <v>918</v>
      </c>
      <c r="N920">
        <v>-419075</v>
      </c>
      <c r="P920">
        <v>138686</v>
      </c>
    </row>
    <row r="921" spans="13:16" x14ac:dyDescent="0.3">
      <c r="M921">
        <v>919</v>
      </c>
      <c r="N921">
        <v>-327378</v>
      </c>
      <c r="P921">
        <v>545775</v>
      </c>
    </row>
    <row r="922" spans="13:16" x14ac:dyDescent="0.3">
      <c r="M922">
        <v>920</v>
      </c>
      <c r="N922">
        <v>406600</v>
      </c>
      <c r="P922">
        <v>-19249</v>
      </c>
    </row>
    <row r="923" spans="13:16" x14ac:dyDescent="0.3">
      <c r="M923">
        <v>921</v>
      </c>
      <c r="N923">
        <v>727834</v>
      </c>
      <c r="P923">
        <v>-435869</v>
      </c>
    </row>
    <row r="924" spans="13:16" x14ac:dyDescent="0.3">
      <c r="M924">
        <v>922</v>
      </c>
      <c r="N924">
        <v>-11295</v>
      </c>
      <c r="P924">
        <v>-682614</v>
      </c>
    </row>
    <row r="925" spans="13:16" x14ac:dyDescent="0.3">
      <c r="M925">
        <v>923</v>
      </c>
      <c r="N925">
        <v>5791</v>
      </c>
      <c r="P925">
        <v>267230</v>
      </c>
    </row>
    <row r="926" spans="13:16" x14ac:dyDescent="0.3">
      <c r="M926">
        <v>924</v>
      </c>
      <c r="N926">
        <v>-487118</v>
      </c>
      <c r="P926">
        <v>783412</v>
      </c>
    </row>
    <row r="927" spans="13:16" x14ac:dyDescent="0.3">
      <c r="M927">
        <v>925</v>
      </c>
      <c r="N927">
        <v>172757</v>
      </c>
      <c r="P927">
        <v>165062</v>
      </c>
    </row>
    <row r="928" spans="13:16" x14ac:dyDescent="0.3">
      <c r="M928">
        <v>926</v>
      </c>
      <c r="N928">
        <v>350756</v>
      </c>
      <c r="P928">
        <v>-187027</v>
      </c>
    </row>
    <row r="929" spans="13:16" x14ac:dyDescent="0.3">
      <c r="M929">
        <v>927</v>
      </c>
      <c r="N929">
        <v>66042</v>
      </c>
      <c r="P929">
        <v>-649059</v>
      </c>
    </row>
    <row r="930" spans="13:16" x14ac:dyDescent="0.3">
      <c r="M930">
        <v>928</v>
      </c>
      <c r="N930">
        <v>-464886</v>
      </c>
      <c r="P930">
        <v>-2042</v>
      </c>
    </row>
    <row r="931" spans="13:16" x14ac:dyDescent="0.3">
      <c r="M931">
        <v>929</v>
      </c>
      <c r="N931">
        <v>543459</v>
      </c>
      <c r="P931">
        <v>8001</v>
      </c>
    </row>
    <row r="932" spans="13:16" x14ac:dyDescent="0.3">
      <c r="M932">
        <v>930</v>
      </c>
      <c r="N932">
        <v>515079</v>
      </c>
      <c r="P932">
        <v>149115</v>
      </c>
    </row>
    <row r="933" spans="13:16" x14ac:dyDescent="0.3">
      <c r="M933">
        <v>931</v>
      </c>
      <c r="N933">
        <v>-546106</v>
      </c>
      <c r="P933">
        <v>343150</v>
      </c>
    </row>
    <row r="934" spans="13:16" x14ac:dyDescent="0.3">
      <c r="M934">
        <v>932</v>
      </c>
      <c r="N934">
        <v>-100709</v>
      </c>
      <c r="P934">
        <v>802185</v>
      </c>
    </row>
    <row r="935" spans="13:16" x14ac:dyDescent="0.3">
      <c r="M935">
        <v>933</v>
      </c>
      <c r="N935">
        <v>437511</v>
      </c>
      <c r="P935">
        <v>37651</v>
      </c>
    </row>
    <row r="936" spans="13:16" x14ac:dyDescent="0.3">
      <c r="M936">
        <v>934</v>
      </c>
      <c r="N936">
        <v>-260275</v>
      </c>
      <c r="P936">
        <v>779174</v>
      </c>
    </row>
    <row r="937" spans="13:16" x14ac:dyDescent="0.3">
      <c r="M937">
        <v>935</v>
      </c>
      <c r="N937">
        <v>722424</v>
      </c>
      <c r="P937">
        <v>1123638</v>
      </c>
    </row>
    <row r="938" spans="13:16" x14ac:dyDescent="0.3">
      <c r="M938">
        <v>936</v>
      </c>
      <c r="N938">
        <v>410000</v>
      </c>
      <c r="P938">
        <v>98642</v>
      </c>
    </row>
    <row r="939" spans="13:16" x14ac:dyDescent="0.3">
      <c r="M939">
        <v>937</v>
      </c>
      <c r="N939">
        <v>-413157</v>
      </c>
      <c r="P939">
        <v>-405572</v>
      </c>
    </row>
    <row r="940" spans="13:16" x14ac:dyDescent="0.3">
      <c r="M940">
        <v>938</v>
      </c>
      <c r="N940">
        <v>-641602</v>
      </c>
      <c r="P940">
        <v>-492427</v>
      </c>
    </row>
    <row r="941" spans="13:16" x14ac:dyDescent="0.3">
      <c r="M941">
        <v>939</v>
      </c>
      <c r="N941">
        <v>248430</v>
      </c>
      <c r="P941">
        <v>153174</v>
      </c>
    </row>
    <row r="942" spans="13:16" x14ac:dyDescent="0.3">
      <c r="M942">
        <v>940</v>
      </c>
      <c r="N942">
        <v>-144758</v>
      </c>
      <c r="P942">
        <v>559688</v>
      </c>
    </row>
    <row r="943" spans="13:16" x14ac:dyDescent="0.3">
      <c r="M943">
        <v>941</v>
      </c>
      <c r="N943">
        <v>-470819</v>
      </c>
      <c r="P943">
        <v>292668</v>
      </c>
    </row>
    <row r="944" spans="13:16" x14ac:dyDescent="0.3">
      <c r="M944">
        <v>942</v>
      </c>
      <c r="N944">
        <v>688200</v>
      </c>
      <c r="P944">
        <v>-134562</v>
      </c>
    </row>
    <row r="945" spans="13:16" x14ac:dyDescent="0.3">
      <c r="M945">
        <v>943</v>
      </c>
      <c r="N945">
        <v>-412227</v>
      </c>
      <c r="P945">
        <v>395304</v>
      </c>
    </row>
    <row r="946" spans="13:16" x14ac:dyDescent="0.3">
      <c r="M946">
        <v>944</v>
      </c>
      <c r="N946">
        <v>-464574</v>
      </c>
      <c r="P946">
        <v>499038</v>
      </c>
    </row>
    <row r="947" spans="13:16" x14ac:dyDescent="0.3">
      <c r="M947">
        <v>945</v>
      </c>
      <c r="N947">
        <v>731237</v>
      </c>
      <c r="P947">
        <v>-631572</v>
      </c>
    </row>
    <row r="948" spans="13:16" x14ac:dyDescent="0.3">
      <c r="M948">
        <v>946</v>
      </c>
      <c r="N948">
        <v>869977</v>
      </c>
      <c r="P948">
        <v>246536</v>
      </c>
    </row>
    <row r="949" spans="13:16" x14ac:dyDescent="0.3">
      <c r="M949">
        <v>947</v>
      </c>
      <c r="N949">
        <v>392657</v>
      </c>
      <c r="P949">
        <v>-155368</v>
      </c>
    </row>
    <row r="950" spans="13:16" x14ac:dyDescent="0.3">
      <c r="M950">
        <v>948</v>
      </c>
      <c r="N950">
        <v>-403171</v>
      </c>
      <c r="P950">
        <v>112731</v>
      </c>
    </row>
    <row r="951" spans="13:16" x14ac:dyDescent="0.3">
      <c r="M951">
        <v>949</v>
      </c>
      <c r="N951">
        <v>352769</v>
      </c>
      <c r="P951">
        <v>17713</v>
      </c>
    </row>
    <row r="952" spans="13:16" x14ac:dyDescent="0.3">
      <c r="M952">
        <v>950</v>
      </c>
      <c r="N952">
        <v>-338539</v>
      </c>
      <c r="P952">
        <v>-788497</v>
      </c>
    </row>
    <row r="953" spans="13:16" x14ac:dyDescent="0.3">
      <c r="M953">
        <v>951</v>
      </c>
      <c r="N953">
        <v>642614</v>
      </c>
      <c r="P953">
        <v>378773</v>
      </c>
    </row>
    <row r="954" spans="13:16" x14ac:dyDescent="0.3">
      <c r="M954">
        <v>952</v>
      </c>
      <c r="N954">
        <v>177540</v>
      </c>
      <c r="P954">
        <v>462218</v>
      </c>
    </row>
    <row r="955" spans="13:16" x14ac:dyDescent="0.3">
      <c r="M955">
        <v>953</v>
      </c>
      <c r="N955">
        <v>-265269</v>
      </c>
      <c r="P955">
        <v>-263716</v>
      </c>
    </row>
    <row r="956" spans="13:16" x14ac:dyDescent="0.3">
      <c r="M956">
        <v>954</v>
      </c>
      <c r="N956">
        <v>-318225</v>
      </c>
      <c r="P956">
        <v>-87795</v>
      </c>
    </row>
    <row r="957" spans="13:16" x14ac:dyDescent="0.3">
      <c r="M957">
        <v>955</v>
      </c>
      <c r="N957">
        <v>-664917</v>
      </c>
      <c r="P957">
        <v>-130863</v>
      </c>
    </row>
    <row r="958" spans="13:16" x14ac:dyDescent="0.3">
      <c r="M958">
        <v>956</v>
      </c>
      <c r="N958">
        <v>170813</v>
      </c>
      <c r="P958">
        <v>617292</v>
      </c>
    </row>
    <row r="959" spans="13:16" x14ac:dyDescent="0.3">
      <c r="M959">
        <v>957</v>
      </c>
      <c r="N959">
        <v>440451</v>
      </c>
      <c r="P959">
        <v>-356730</v>
      </c>
    </row>
    <row r="960" spans="13:16" x14ac:dyDescent="0.3">
      <c r="M960">
        <v>958</v>
      </c>
      <c r="N960">
        <v>-149959</v>
      </c>
      <c r="P960">
        <v>884132</v>
      </c>
    </row>
    <row r="961" spans="13:16" x14ac:dyDescent="0.3">
      <c r="M961">
        <v>959</v>
      </c>
      <c r="N961">
        <v>-509703</v>
      </c>
      <c r="P961">
        <v>-210407</v>
      </c>
    </row>
    <row r="962" spans="13:16" x14ac:dyDescent="0.3">
      <c r="M962">
        <v>960</v>
      </c>
      <c r="N962">
        <v>406061</v>
      </c>
      <c r="P962">
        <v>-65167</v>
      </c>
    </row>
    <row r="963" spans="13:16" x14ac:dyDescent="0.3">
      <c r="M963">
        <v>961</v>
      </c>
      <c r="N963">
        <v>-42105</v>
      </c>
      <c r="P963">
        <v>489525</v>
      </c>
    </row>
    <row r="964" spans="13:16" x14ac:dyDescent="0.3">
      <c r="M964">
        <v>962</v>
      </c>
      <c r="N964">
        <v>-367784</v>
      </c>
      <c r="P964">
        <v>140526</v>
      </c>
    </row>
    <row r="965" spans="13:16" x14ac:dyDescent="0.3">
      <c r="M965">
        <v>963</v>
      </c>
      <c r="N965">
        <v>381532</v>
      </c>
      <c r="P965">
        <v>-363263</v>
      </c>
    </row>
    <row r="966" spans="13:16" x14ac:dyDescent="0.3">
      <c r="M966">
        <v>964</v>
      </c>
      <c r="N966">
        <v>-286539</v>
      </c>
      <c r="P966">
        <v>-51513</v>
      </c>
    </row>
    <row r="967" spans="13:16" x14ac:dyDescent="0.3">
      <c r="M967">
        <v>965</v>
      </c>
      <c r="N967">
        <v>612889</v>
      </c>
      <c r="P967">
        <v>725319</v>
      </c>
    </row>
    <row r="968" spans="13:16" x14ac:dyDescent="0.3">
      <c r="M968">
        <v>966</v>
      </c>
      <c r="N968">
        <v>-388906</v>
      </c>
      <c r="P968">
        <v>101316</v>
      </c>
    </row>
    <row r="969" spans="13:16" x14ac:dyDescent="0.3">
      <c r="M969">
        <v>967</v>
      </c>
      <c r="N969">
        <v>-274114</v>
      </c>
      <c r="P969">
        <v>972004</v>
      </c>
    </row>
    <row r="970" spans="13:16" x14ac:dyDescent="0.3">
      <c r="M970">
        <v>968</v>
      </c>
      <c r="N970">
        <v>-382567</v>
      </c>
      <c r="P970">
        <v>-867900</v>
      </c>
    </row>
    <row r="971" spans="13:16" x14ac:dyDescent="0.3">
      <c r="M971">
        <v>969</v>
      </c>
      <c r="N971">
        <v>421696</v>
      </c>
      <c r="P971">
        <v>-209709</v>
      </c>
    </row>
    <row r="972" spans="13:16" x14ac:dyDescent="0.3">
      <c r="M972">
        <v>970</v>
      </c>
      <c r="N972">
        <v>828578</v>
      </c>
      <c r="P972">
        <v>924407</v>
      </c>
    </row>
    <row r="973" spans="13:16" x14ac:dyDescent="0.3">
      <c r="M973">
        <v>971</v>
      </c>
      <c r="N973">
        <v>-566087</v>
      </c>
      <c r="P973">
        <v>-459575</v>
      </c>
    </row>
    <row r="974" spans="13:16" x14ac:dyDescent="0.3">
      <c r="M974">
        <v>972</v>
      </c>
      <c r="N974">
        <v>-390919</v>
      </c>
      <c r="P974">
        <v>565211</v>
      </c>
    </row>
    <row r="975" spans="13:16" x14ac:dyDescent="0.3">
      <c r="M975">
        <v>973</v>
      </c>
      <c r="N975">
        <v>738493</v>
      </c>
      <c r="P975">
        <v>279104</v>
      </c>
    </row>
    <row r="976" spans="13:16" x14ac:dyDescent="0.3">
      <c r="M976">
        <v>974</v>
      </c>
      <c r="N976">
        <v>68234</v>
      </c>
      <c r="P976">
        <v>128683</v>
      </c>
    </row>
    <row r="977" spans="13:16" x14ac:dyDescent="0.3">
      <c r="M977">
        <v>975</v>
      </c>
      <c r="N977">
        <v>256829</v>
      </c>
      <c r="P977">
        <v>-147392</v>
      </c>
    </row>
    <row r="978" spans="13:16" x14ac:dyDescent="0.3">
      <c r="M978">
        <v>976</v>
      </c>
      <c r="N978">
        <v>-637977</v>
      </c>
      <c r="P978">
        <v>74469</v>
      </c>
    </row>
    <row r="979" spans="13:16" x14ac:dyDescent="0.3">
      <c r="M979">
        <v>977</v>
      </c>
      <c r="N979">
        <v>548918</v>
      </c>
      <c r="P979">
        <v>256942</v>
      </c>
    </row>
    <row r="980" spans="13:16" x14ac:dyDescent="0.3">
      <c r="M980">
        <v>978</v>
      </c>
      <c r="N980">
        <v>-428634</v>
      </c>
      <c r="P980">
        <v>33583</v>
      </c>
    </row>
    <row r="981" spans="13:16" x14ac:dyDescent="0.3">
      <c r="M981">
        <v>979</v>
      </c>
      <c r="N981">
        <v>-281755</v>
      </c>
      <c r="P981">
        <v>-180829</v>
      </c>
    </row>
    <row r="982" spans="13:16" x14ac:dyDescent="0.3">
      <c r="M982">
        <v>980</v>
      </c>
      <c r="N982">
        <v>-110085</v>
      </c>
      <c r="P982">
        <v>-101409</v>
      </c>
    </row>
    <row r="983" spans="13:16" x14ac:dyDescent="0.3">
      <c r="M983">
        <v>981</v>
      </c>
      <c r="N983">
        <v>244462</v>
      </c>
      <c r="P983">
        <v>-19500</v>
      </c>
    </row>
    <row r="984" spans="13:16" x14ac:dyDescent="0.3">
      <c r="M984">
        <v>982</v>
      </c>
      <c r="N984">
        <v>-296538</v>
      </c>
      <c r="P984">
        <v>-573711</v>
      </c>
    </row>
    <row r="985" spans="13:16" x14ac:dyDescent="0.3">
      <c r="M985">
        <v>983</v>
      </c>
      <c r="N985">
        <v>-687101</v>
      </c>
      <c r="P985">
        <v>-430950</v>
      </c>
    </row>
    <row r="986" spans="13:16" x14ac:dyDescent="0.3">
      <c r="M986">
        <v>984</v>
      </c>
      <c r="N986">
        <v>483629</v>
      </c>
      <c r="P986">
        <v>355576</v>
      </c>
    </row>
    <row r="987" spans="13:16" x14ac:dyDescent="0.3">
      <c r="M987">
        <v>985</v>
      </c>
      <c r="N987">
        <v>486563</v>
      </c>
      <c r="P987">
        <v>836372</v>
      </c>
    </row>
    <row r="988" spans="13:16" x14ac:dyDescent="0.3">
      <c r="M988">
        <v>986</v>
      </c>
      <c r="N988">
        <v>-611161</v>
      </c>
      <c r="P988">
        <v>324337</v>
      </c>
    </row>
    <row r="989" spans="13:16" x14ac:dyDescent="0.3">
      <c r="M989">
        <v>987</v>
      </c>
      <c r="N989">
        <v>-60541</v>
      </c>
      <c r="P989">
        <v>536103</v>
      </c>
    </row>
    <row r="990" spans="13:16" x14ac:dyDescent="0.3">
      <c r="M990">
        <v>988</v>
      </c>
      <c r="N990">
        <v>-270524</v>
      </c>
      <c r="P990">
        <v>106696</v>
      </c>
    </row>
    <row r="991" spans="13:16" x14ac:dyDescent="0.3">
      <c r="M991">
        <v>989</v>
      </c>
      <c r="N991">
        <v>134082</v>
      </c>
      <c r="P991">
        <v>-465775</v>
      </c>
    </row>
    <row r="992" spans="13:16" x14ac:dyDescent="0.3">
      <c r="M992">
        <v>990</v>
      </c>
      <c r="N992">
        <v>158925</v>
      </c>
      <c r="P992">
        <v>-44758</v>
      </c>
    </row>
    <row r="993" spans="13:16" x14ac:dyDescent="0.3">
      <c r="M993">
        <v>991</v>
      </c>
      <c r="N993">
        <v>39470</v>
      </c>
      <c r="P993">
        <v>426450</v>
      </c>
    </row>
    <row r="994" spans="13:16" x14ac:dyDescent="0.3">
      <c r="M994">
        <v>992</v>
      </c>
      <c r="N994">
        <v>-371005</v>
      </c>
      <c r="P994">
        <v>-468646</v>
      </c>
    </row>
    <row r="995" spans="13:16" x14ac:dyDescent="0.3">
      <c r="M995">
        <v>993</v>
      </c>
      <c r="N995">
        <v>552991</v>
      </c>
      <c r="P995">
        <v>485393</v>
      </c>
    </row>
    <row r="996" spans="13:16" x14ac:dyDescent="0.3">
      <c r="M996">
        <v>994</v>
      </c>
      <c r="N996">
        <v>-62665</v>
      </c>
      <c r="P996">
        <v>-540596</v>
      </c>
    </row>
    <row r="997" spans="13:16" x14ac:dyDescent="0.3">
      <c r="M997">
        <v>995</v>
      </c>
      <c r="N997">
        <v>134378</v>
      </c>
      <c r="P997">
        <v>-284176</v>
      </c>
    </row>
    <row r="998" spans="13:16" x14ac:dyDescent="0.3">
      <c r="M998">
        <v>996</v>
      </c>
      <c r="N998">
        <v>540978</v>
      </c>
      <c r="P998">
        <v>104991</v>
      </c>
    </row>
    <row r="999" spans="13:16" x14ac:dyDescent="0.3">
      <c r="M999">
        <v>997</v>
      </c>
      <c r="N999">
        <v>538932</v>
      </c>
      <c r="P999">
        <v>-181023</v>
      </c>
    </row>
    <row r="1000" spans="13:16" x14ac:dyDescent="0.3">
      <c r="M1000">
        <v>998</v>
      </c>
      <c r="N1000">
        <v>-501123</v>
      </c>
      <c r="P1000">
        <v>-142579</v>
      </c>
    </row>
    <row r="1001" spans="13:16" x14ac:dyDescent="0.3">
      <c r="M1001">
        <v>999</v>
      </c>
      <c r="N1001">
        <v>407505</v>
      </c>
      <c r="P1001">
        <v>462328</v>
      </c>
    </row>
    <row r="1002" spans="13:16" x14ac:dyDescent="0.3">
      <c r="M1002">
        <v>1000</v>
      </c>
      <c r="N1002">
        <v>831272</v>
      </c>
      <c r="P1002">
        <v>897283</v>
      </c>
    </row>
    <row r="1003" spans="13:16" x14ac:dyDescent="0.3">
      <c r="M1003">
        <v>1001</v>
      </c>
      <c r="N1003">
        <v>-94383</v>
      </c>
      <c r="P1003">
        <v>-257602</v>
      </c>
    </row>
    <row r="1004" spans="13:16" x14ac:dyDescent="0.3">
      <c r="M1004">
        <v>1002</v>
      </c>
      <c r="N1004">
        <v>590312</v>
      </c>
      <c r="P1004">
        <v>328350</v>
      </c>
    </row>
    <row r="1005" spans="13:16" x14ac:dyDescent="0.3">
      <c r="M1005">
        <v>1003</v>
      </c>
      <c r="N1005">
        <v>-135753</v>
      </c>
      <c r="P1005">
        <v>213245</v>
      </c>
    </row>
    <row r="1006" spans="13:16" x14ac:dyDescent="0.3">
      <c r="M1006">
        <v>1004</v>
      </c>
      <c r="N1006">
        <v>372093</v>
      </c>
      <c r="P1006">
        <v>520579</v>
      </c>
    </row>
    <row r="1007" spans="13:16" x14ac:dyDescent="0.3">
      <c r="M1007">
        <v>1005</v>
      </c>
      <c r="N1007">
        <v>531436</v>
      </c>
      <c r="P1007">
        <v>-483179</v>
      </c>
    </row>
    <row r="1008" spans="13:16" x14ac:dyDescent="0.3">
      <c r="M1008">
        <v>1006</v>
      </c>
      <c r="N1008">
        <v>165893</v>
      </c>
      <c r="P1008">
        <v>391911</v>
      </c>
    </row>
    <row r="1009" spans="13:16" x14ac:dyDescent="0.3">
      <c r="M1009">
        <v>1007</v>
      </c>
      <c r="N1009">
        <v>-41278</v>
      </c>
      <c r="P1009">
        <v>-376035</v>
      </c>
    </row>
    <row r="1010" spans="13:16" x14ac:dyDescent="0.3">
      <c r="M1010">
        <v>1008</v>
      </c>
      <c r="N1010">
        <v>216868</v>
      </c>
      <c r="P1010">
        <v>287914</v>
      </c>
    </row>
    <row r="1011" spans="13:16" x14ac:dyDescent="0.3">
      <c r="M1011">
        <v>1009</v>
      </c>
      <c r="N1011">
        <v>454367</v>
      </c>
      <c r="P1011">
        <v>-238480</v>
      </c>
    </row>
    <row r="1012" spans="13:16" x14ac:dyDescent="0.3">
      <c r="M1012">
        <v>1010</v>
      </c>
      <c r="N1012">
        <v>-518194</v>
      </c>
      <c r="P1012">
        <v>119244</v>
      </c>
    </row>
    <row r="1013" spans="13:16" x14ac:dyDescent="0.3">
      <c r="M1013">
        <v>1011</v>
      </c>
      <c r="N1013">
        <v>415151</v>
      </c>
      <c r="P1013">
        <v>-582568</v>
      </c>
    </row>
    <row r="1014" spans="13:16" x14ac:dyDescent="0.3">
      <c r="M1014">
        <v>1012</v>
      </c>
      <c r="N1014">
        <v>347742</v>
      </c>
      <c r="P1014">
        <v>282823</v>
      </c>
    </row>
    <row r="1015" spans="13:16" x14ac:dyDescent="0.3">
      <c r="M1015">
        <v>1013</v>
      </c>
      <c r="N1015">
        <v>23412</v>
      </c>
      <c r="P1015">
        <v>-622174</v>
      </c>
    </row>
    <row r="1016" spans="13:16" x14ac:dyDescent="0.3">
      <c r="M1016">
        <v>1014</v>
      </c>
      <c r="N1016">
        <v>-89474</v>
      </c>
      <c r="P1016">
        <v>-566299</v>
      </c>
    </row>
    <row r="1017" spans="13:16" x14ac:dyDescent="0.3">
      <c r="M1017">
        <v>1015</v>
      </c>
      <c r="N1017">
        <v>-710527</v>
      </c>
      <c r="P1017">
        <v>-176516</v>
      </c>
    </row>
    <row r="1018" spans="13:16" x14ac:dyDescent="0.3">
      <c r="M1018">
        <v>1016</v>
      </c>
      <c r="N1018">
        <v>-281160</v>
      </c>
      <c r="P1018">
        <v>-749363</v>
      </c>
    </row>
    <row r="1019" spans="13:16" x14ac:dyDescent="0.3">
      <c r="M1019">
        <v>1017</v>
      </c>
      <c r="N1019">
        <v>-705074</v>
      </c>
      <c r="P1019">
        <v>276007</v>
      </c>
    </row>
    <row r="1020" spans="13:16" x14ac:dyDescent="0.3">
      <c r="M1020">
        <v>1018</v>
      </c>
      <c r="N1020">
        <v>650833</v>
      </c>
      <c r="P1020">
        <v>455017</v>
      </c>
    </row>
    <row r="1021" spans="13:16" x14ac:dyDescent="0.3">
      <c r="M1021">
        <v>1019</v>
      </c>
      <c r="N1021">
        <v>-57402</v>
      </c>
      <c r="P1021">
        <v>738721</v>
      </c>
    </row>
    <row r="1022" spans="13:16" x14ac:dyDescent="0.3">
      <c r="M1022">
        <v>1020</v>
      </c>
      <c r="N1022">
        <v>-250080</v>
      </c>
      <c r="P1022">
        <v>-389848</v>
      </c>
    </row>
    <row r="1023" spans="13:16" x14ac:dyDescent="0.3">
      <c r="M1023">
        <v>1021</v>
      </c>
      <c r="N1023">
        <v>-344991</v>
      </c>
      <c r="P1023">
        <v>751617</v>
      </c>
    </row>
    <row r="1024" spans="13:16" x14ac:dyDescent="0.3">
      <c r="M1024">
        <v>1022</v>
      </c>
      <c r="N1024">
        <v>-769427</v>
      </c>
      <c r="P1024">
        <v>-621233</v>
      </c>
    </row>
    <row r="1025" spans="13:16" x14ac:dyDescent="0.3">
      <c r="M1025">
        <v>1023</v>
      </c>
      <c r="N1025">
        <v>-527194</v>
      </c>
      <c r="P1025">
        <v>-84731</v>
      </c>
    </row>
    <row r="1026" spans="13:16" x14ac:dyDescent="0.3">
      <c r="M1026">
        <v>1024</v>
      </c>
      <c r="N1026">
        <v>410982</v>
      </c>
      <c r="P1026">
        <v>860503</v>
      </c>
    </row>
    <row r="1027" spans="13:16" x14ac:dyDescent="0.3">
      <c r="M1027">
        <v>1025</v>
      </c>
      <c r="N1027">
        <v>-185387</v>
      </c>
      <c r="P1027">
        <v>5198</v>
      </c>
    </row>
    <row r="1028" spans="13:16" x14ac:dyDescent="0.3">
      <c r="M1028">
        <v>1026</v>
      </c>
      <c r="N1028">
        <v>-307152</v>
      </c>
      <c r="P1028">
        <v>-444666</v>
      </c>
    </row>
    <row r="1029" spans="13:16" x14ac:dyDescent="0.3">
      <c r="M1029">
        <v>1027</v>
      </c>
      <c r="N1029">
        <v>118620</v>
      </c>
      <c r="P1029">
        <v>-31417</v>
      </c>
    </row>
    <row r="1030" spans="13:16" x14ac:dyDescent="0.3">
      <c r="M1030">
        <v>1028</v>
      </c>
      <c r="N1030">
        <v>123775</v>
      </c>
      <c r="P1030">
        <v>509430</v>
      </c>
    </row>
    <row r="1031" spans="13:16" x14ac:dyDescent="0.3">
      <c r="M1031">
        <v>1029</v>
      </c>
      <c r="N1031">
        <v>241593</v>
      </c>
      <c r="P1031">
        <v>174511</v>
      </c>
    </row>
    <row r="1032" spans="13:16" x14ac:dyDescent="0.3">
      <c r="M1032">
        <v>1030</v>
      </c>
      <c r="N1032">
        <v>234297</v>
      </c>
      <c r="P1032">
        <v>219992</v>
      </c>
    </row>
    <row r="1033" spans="13:16" x14ac:dyDescent="0.3">
      <c r="M1033">
        <v>1031</v>
      </c>
      <c r="N1033">
        <v>193658</v>
      </c>
      <c r="P1033">
        <v>574235</v>
      </c>
    </row>
    <row r="1034" spans="13:16" x14ac:dyDescent="0.3">
      <c r="M1034">
        <v>1032</v>
      </c>
      <c r="N1034">
        <v>-138140</v>
      </c>
      <c r="P1034">
        <v>701727</v>
      </c>
    </row>
    <row r="1035" spans="13:16" x14ac:dyDescent="0.3">
      <c r="M1035">
        <v>1033</v>
      </c>
      <c r="N1035">
        <v>631149</v>
      </c>
      <c r="P1035">
        <v>-849183</v>
      </c>
    </row>
    <row r="1036" spans="13:16" x14ac:dyDescent="0.3">
      <c r="M1036">
        <v>1034</v>
      </c>
      <c r="N1036">
        <v>-632934</v>
      </c>
      <c r="P1036">
        <v>-298991</v>
      </c>
    </row>
    <row r="1037" spans="13:16" x14ac:dyDescent="0.3">
      <c r="M1037">
        <v>1035</v>
      </c>
      <c r="N1037">
        <v>-539621</v>
      </c>
      <c r="P1037">
        <v>-110632</v>
      </c>
    </row>
    <row r="1038" spans="13:16" x14ac:dyDescent="0.3">
      <c r="M1038">
        <v>1036</v>
      </c>
      <c r="N1038">
        <v>745415</v>
      </c>
      <c r="P1038">
        <v>796972</v>
      </c>
    </row>
    <row r="1039" spans="13:16" x14ac:dyDescent="0.3">
      <c r="M1039">
        <v>1037</v>
      </c>
      <c r="N1039">
        <v>130611</v>
      </c>
      <c r="P1039">
        <v>-188119</v>
      </c>
    </row>
    <row r="1040" spans="13:16" x14ac:dyDescent="0.3">
      <c r="M1040">
        <v>1038</v>
      </c>
      <c r="N1040">
        <v>337307</v>
      </c>
      <c r="P1040">
        <v>-454384</v>
      </c>
    </row>
    <row r="1041" spans="13:16" x14ac:dyDescent="0.3">
      <c r="M1041">
        <v>1039</v>
      </c>
      <c r="N1041">
        <v>-77120</v>
      </c>
      <c r="P1041">
        <v>-252174</v>
      </c>
    </row>
    <row r="1042" spans="13:16" x14ac:dyDescent="0.3">
      <c r="M1042">
        <v>1040</v>
      </c>
      <c r="N1042">
        <v>154642</v>
      </c>
      <c r="P1042">
        <v>624561</v>
      </c>
    </row>
    <row r="1043" spans="13:16" x14ac:dyDescent="0.3">
      <c r="M1043">
        <v>1041</v>
      </c>
      <c r="N1043">
        <v>-460715</v>
      </c>
      <c r="P1043">
        <v>2026</v>
      </c>
    </row>
    <row r="1044" spans="13:16" x14ac:dyDescent="0.3">
      <c r="M1044">
        <v>1042</v>
      </c>
      <c r="N1044">
        <v>-69860</v>
      </c>
      <c r="P1044">
        <v>-299613</v>
      </c>
    </row>
    <row r="1045" spans="13:16" x14ac:dyDescent="0.3">
      <c r="M1045">
        <v>1043</v>
      </c>
      <c r="N1045">
        <v>-235379</v>
      </c>
      <c r="P1045">
        <v>-676390</v>
      </c>
    </row>
    <row r="1046" spans="13:16" x14ac:dyDescent="0.3">
      <c r="M1046">
        <v>1044</v>
      </c>
      <c r="N1046">
        <v>660882</v>
      </c>
      <c r="P1046">
        <v>83407</v>
      </c>
    </row>
    <row r="1047" spans="13:16" x14ac:dyDescent="0.3">
      <c r="M1047">
        <v>1045</v>
      </c>
      <c r="N1047">
        <v>152907</v>
      </c>
      <c r="P1047">
        <v>232045</v>
      </c>
    </row>
    <row r="1048" spans="13:16" x14ac:dyDescent="0.3">
      <c r="M1048">
        <v>1046</v>
      </c>
      <c r="N1048">
        <v>277613</v>
      </c>
      <c r="P1048">
        <v>570121</v>
      </c>
    </row>
    <row r="1049" spans="13:16" x14ac:dyDescent="0.3">
      <c r="M1049">
        <v>1047</v>
      </c>
      <c r="N1049">
        <v>28039</v>
      </c>
      <c r="P1049">
        <v>49671</v>
      </c>
    </row>
    <row r="1050" spans="13:16" x14ac:dyDescent="0.3">
      <c r="M1050">
        <v>1048</v>
      </c>
      <c r="N1050">
        <v>-268869</v>
      </c>
      <c r="P1050">
        <v>508727</v>
      </c>
    </row>
    <row r="1051" spans="13:16" x14ac:dyDescent="0.3">
      <c r="M1051">
        <v>1049</v>
      </c>
      <c r="N1051">
        <v>525378</v>
      </c>
      <c r="P1051">
        <v>296780</v>
      </c>
    </row>
    <row r="1052" spans="13:16" x14ac:dyDescent="0.3">
      <c r="M1052">
        <v>1050</v>
      </c>
      <c r="N1052">
        <v>-358830</v>
      </c>
      <c r="P1052">
        <v>-467935</v>
      </c>
    </row>
    <row r="1053" spans="13:16" x14ac:dyDescent="0.3">
      <c r="M1053">
        <v>1051</v>
      </c>
      <c r="N1053">
        <v>-44376</v>
      </c>
      <c r="P1053">
        <v>523714</v>
      </c>
    </row>
    <row r="1054" spans="13:16" x14ac:dyDescent="0.3">
      <c r="M1054">
        <v>1052</v>
      </c>
      <c r="N1054">
        <v>-387429</v>
      </c>
      <c r="P1054">
        <v>-236278</v>
      </c>
    </row>
    <row r="1055" spans="13:16" x14ac:dyDescent="0.3">
      <c r="M1055">
        <v>1053</v>
      </c>
      <c r="N1055">
        <v>-269649</v>
      </c>
      <c r="P1055">
        <v>298899</v>
      </c>
    </row>
    <row r="1056" spans="13:16" x14ac:dyDescent="0.3">
      <c r="M1056">
        <v>1054</v>
      </c>
      <c r="N1056">
        <v>326322</v>
      </c>
      <c r="P1056">
        <v>394730</v>
      </c>
    </row>
    <row r="1057" spans="13:16" x14ac:dyDescent="0.3">
      <c r="M1057">
        <v>1055</v>
      </c>
      <c r="N1057">
        <v>678694</v>
      </c>
      <c r="P1057">
        <v>202500</v>
      </c>
    </row>
    <row r="1058" spans="13:16" x14ac:dyDescent="0.3">
      <c r="M1058">
        <v>1056</v>
      </c>
      <c r="N1058">
        <v>-97940</v>
      </c>
      <c r="P1058">
        <v>428613</v>
      </c>
    </row>
    <row r="1059" spans="13:16" x14ac:dyDescent="0.3">
      <c r="M1059">
        <v>1057</v>
      </c>
      <c r="N1059">
        <v>177571</v>
      </c>
      <c r="P1059">
        <v>475443</v>
      </c>
    </row>
    <row r="1060" spans="13:16" x14ac:dyDescent="0.3">
      <c r="M1060">
        <v>1058</v>
      </c>
      <c r="N1060">
        <v>-301305</v>
      </c>
      <c r="P1060">
        <v>196302</v>
      </c>
    </row>
    <row r="1061" spans="13:16" x14ac:dyDescent="0.3">
      <c r="M1061">
        <v>1059</v>
      </c>
      <c r="N1061">
        <v>-581237</v>
      </c>
      <c r="P1061">
        <v>501714</v>
      </c>
    </row>
    <row r="1062" spans="13:16" x14ac:dyDescent="0.3">
      <c r="M1062">
        <v>1060</v>
      </c>
      <c r="N1062">
        <v>298526</v>
      </c>
      <c r="P1062">
        <v>278162</v>
      </c>
    </row>
    <row r="1063" spans="13:16" x14ac:dyDescent="0.3">
      <c r="M1063">
        <v>1061</v>
      </c>
      <c r="N1063">
        <v>-117939</v>
      </c>
      <c r="P1063">
        <v>319979</v>
      </c>
    </row>
    <row r="1064" spans="13:16" x14ac:dyDescent="0.3">
      <c r="M1064">
        <v>1062</v>
      </c>
      <c r="N1064">
        <v>33933</v>
      </c>
      <c r="P1064">
        <v>191088</v>
      </c>
    </row>
    <row r="1065" spans="13:16" x14ac:dyDescent="0.3">
      <c r="M1065">
        <v>1063</v>
      </c>
      <c r="N1065">
        <v>772063</v>
      </c>
      <c r="P1065">
        <v>422941</v>
      </c>
    </row>
    <row r="1066" spans="13:16" x14ac:dyDescent="0.3">
      <c r="M1066">
        <v>1064</v>
      </c>
      <c r="N1066">
        <v>629601</v>
      </c>
      <c r="P1066">
        <v>-614972</v>
      </c>
    </row>
    <row r="1067" spans="13:16" x14ac:dyDescent="0.3">
      <c r="M1067">
        <v>1065</v>
      </c>
      <c r="N1067">
        <v>623616</v>
      </c>
      <c r="P1067">
        <v>542510</v>
      </c>
    </row>
    <row r="1068" spans="13:16" x14ac:dyDescent="0.3">
      <c r="M1068">
        <v>1066</v>
      </c>
      <c r="N1068">
        <v>809241</v>
      </c>
      <c r="P1068">
        <v>62810</v>
      </c>
    </row>
    <row r="1069" spans="13:16" x14ac:dyDescent="0.3">
      <c r="M1069">
        <v>1067</v>
      </c>
      <c r="N1069">
        <v>-692994</v>
      </c>
      <c r="P1069">
        <v>752623</v>
      </c>
    </row>
    <row r="1070" spans="13:16" x14ac:dyDescent="0.3">
      <c r="M1070">
        <v>1068</v>
      </c>
      <c r="N1070">
        <v>204515</v>
      </c>
      <c r="P1070">
        <v>103682</v>
      </c>
    </row>
    <row r="1071" spans="13:16" x14ac:dyDescent="0.3">
      <c r="M1071">
        <v>1069</v>
      </c>
      <c r="N1071">
        <v>-253121</v>
      </c>
      <c r="P1071">
        <v>-135095</v>
      </c>
    </row>
    <row r="1072" spans="13:16" x14ac:dyDescent="0.3">
      <c r="M1072">
        <v>1070</v>
      </c>
      <c r="N1072">
        <v>-116381</v>
      </c>
      <c r="P1072">
        <v>-17571</v>
      </c>
    </row>
    <row r="1073" spans="13:16" x14ac:dyDescent="0.3">
      <c r="M1073">
        <v>1071</v>
      </c>
      <c r="N1073">
        <v>-840320</v>
      </c>
      <c r="P1073">
        <v>13784</v>
      </c>
    </row>
    <row r="1074" spans="13:16" x14ac:dyDescent="0.3">
      <c r="M1074">
        <v>1072</v>
      </c>
      <c r="N1074">
        <v>-283559</v>
      </c>
      <c r="P1074">
        <v>-476181</v>
      </c>
    </row>
    <row r="1075" spans="13:16" x14ac:dyDescent="0.3">
      <c r="M1075">
        <v>1073</v>
      </c>
      <c r="N1075">
        <v>-435586</v>
      </c>
      <c r="P1075">
        <v>-491019</v>
      </c>
    </row>
    <row r="1076" spans="13:16" x14ac:dyDescent="0.3">
      <c r="M1076">
        <v>1074</v>
      </c>
      <c r="N1076">
        <v>472905</v>
      </c>
      <c r="P1076">
        <v>77381</v>
      </c>
    </row>
    <row r="1077" spans="13:16" x14ac:dyDescent="0.3">
      <c r="M1077">
        <v>1075</v>
      </c>
      <c r="N1077">
        <v>88849</v>
      </c>
      <c r="P1077">
        <v>111675</v>
      </c>
    </row>
    <row r="1078" spans="13:16" x14ac:dyDescent="0.3">
      <c r="M1078">
        <v>1076</v>
      </c>
      <c r="N1078">
        <v>304214</v>
      </c>
      <c r="P1078">
        <v>480723</v>
      </c>
    </row>
    <row r="1079" spans="13:16" x14ac:dyDescent="0.3">
      <c r="M1079">
        <v>1077</v>
      </c>
      <c r="N1079">
        <v>-36618</v>
      </c>
      <c r="P1079">
        <v>299543</v>
      </c>
    </row>
    <row r="1080" spans="13:16" x14ac:dyDescent="0.3">
      <c r="M1080">
        <v>1078</v>
      </c>
      <c r="N1080">
        <v>59013</v>
      </c>
      <c r="P1080">
        <v>152919</v>
      </c>
    </row>
    <row r="1081" spans="13:16" x14ac:dyDescent="0.3">
      <c r="M1081">
        <v>1079</v>
      </c>
      <c r="N1081">
        <v>-269158</v>
      </c>
      <c r="P1081">
        <v>-338160</v>
      </c>
    </row>
    <row r="1082" spans="13:16" x14ac:dyDescent="0.3">
      <c r="M1082">
        <v>1080</v>
      </c>
      <c r="N1082">
        <v>-505285</v>
      </c>
      <c r="P1082">
        <v>-628852</v>
      </c>
    </row>
    <row r="1083" spans="13:16" x14ac:dyDescent="0.3">
      <c r="M1083">
        <v>1081</v>
      </c>
      <c r="N1083">
        <v>-624191</v>
      </c>
      <c r="P1083">
        <v>361818</v>
      </c>
    </row>
    <row r="1084" spans="13:16" x14ac:dyDescent="0.3">
      <c r="M1084">
        <v>1082</v>
      </c>
      <c r="N1084">
        <v>-180236</v>
      </c>
      <c r="P1084">
        <v>561445</v>
      </c>
    </row>
    <row r="1085" spans="13:16" x14ac:dyDescent="0.3">
      <c r="M1085">
        <v>1083</v>
      </c>
      <c r="N1085">
        <v>144446</v>
      </c>
      <c r="P1085">
        <v>283223</v>
      </c>
    </row>
    <row r="1086" spans="13:16" x14ac:dyDescent="0.3">
      <c r="M1086">
        <v>1084</v>
      </c>
      <c r="N1086">
        <v>215885</v>
      </c>
      <c r="P1086">
        <v>497248</v>
      </c>
    </row>
    <row r="1087" spans="13:16" x14ac:dyDescent="0.3">
      <c r="M1087">
        <v>1085</v>
      </c>
      <c r="N1087">
        <v>434847</v>
      </c>
      <c r="P1087">
        <v>463022</v>
      </c>
    </row>
    <row r="1088" spans="13:16" x14ac:dyDescent="0.3">
      <c r="M1088">
        <v>1086</v>
      </c>
      <c r="N1088">
        <v>583104</v>
      </c>
      <c r="P1088">
        <v>-108654</v>
      </c>
    </row>
    <row r="1089" spans="13:16" x14ac:dyDescent="0.3">
      <c r="M1089">
        <v>1087</v>
      </c>
      <c r="N1089">
        <v>396271</v>
      </c>
      <c r="P1089">
        <v>-461513</v>
      </c>
    </row>
    <row r="1090" spans="13:16" x14ac:dyDescent="0.3">
      <c r="M1090">
        <v>1088</v>
      </c>
      <c r="N1090">
        <v>-563</v>
      </c>
      <c r="P1090">
        <v>-663684</v>
      </c>
    </row>
    <row r="1091" spans="13:16" x14ac:dyDescent="0.3">
      <c r="M1091">
        <v>1089</v>
      </c>
      <c r="N1091">
        <v>-738093</v>
      </c>
      <c r="P1091">
        <v>1015648</v>
      </c>
    </row>
    <row r="1092" spans="13:16" x14ac:dyDescent="0.3">
      <c r="M1092">
        <v>1090</v>
      </c>
      <c r="N1092">
        <v>403993</v>
      </c>
      <c r="P1092">
        <v>783868</v>
      </c>
    </row>
    <row r="1093" spans="13:16" x14ac:dyDescent="0.3">
      <c r="M1093">
        <v>1091</v>
      </c>
      <c r="N1093">
        <v>-290672</v>
      </c>
      <c r="P1093">
        <v>-382101</v>
      </c>
    </row>
    <row r="1094" spans="13:16" x14ac:dyDescent="0.3">
      <c r="M1094">
        <v>1092</v>
      </c>
      <c r="N1094">
        <v>470318</v>
      </c>
      <c r="P1094">
        <v>-820714</v>
      </c>
    </row>
    <row r="1095" spans="13:16" x14ac:dyDescent="0.3">
      <c r="M1095">
        <v>1093</v>
      </c>
      <c r="N1095">
        <v>834827</v>
      </c>
      <c r="P1095">
        <v>-315164</v>
      </c>
    </row>
    <row r="1096" spans="13:16" x14ac:dyDescent="0.3">
      <c r="M1096">
        <v>1094</v>
      </c>
      <c r="N1096">
        <v>574036</v>
      </c>
      <c r="P1096">
        <v>123861</v>
      </c>
    </row>
    <row r="1097" spans="13:16" x14ac:dyDescent="0.3">
      <c r="M1097">
        <v>1095</v>
      </c>
      <c r="N1097">
        <v>2266</v>
      </c>
      <c r="P1097">
        <v>-61248</v>
      </c>
    </row>
    <row r="1098" spans="13:16" x14ac:dyDescent="0.3">
      <c r="M1098">
        <v>1096</v>
      </c>
      <c r="N1098">
        <v>-807960</v>
      </c>
      <c r="P1098">
        <v>-360861</v>
      </c>
    </row>
    <row r="1099" spans="13:16" x14ac:dyDescent="0.3">
      <c r="M1099">
        <v>1097</v>
      </c>
      <c r="N1099">
        <v>382680</v>
      </c>
      <c r="P1099">
        <v>139698</v>
      </c>
    </row>
    <row r="1100" spans="13:16" x14ac:dyDescent="0.3">
      <c r="M1100">
        <v>1098</v>
      </c>
      <c r="N1100">
        <v>-369998</v>
      </c>
      <c r="P1100">
        <v>-133944</v>
      </c>
    </row>
    <row r="1101" spans="13:16" x14ac:dyDescent="0.3">
      <c r="M1101">
        <v>1099</v>
      </c>
      <c r="N1101">
        <v>525221</v>
      </c>
      <c r="P1101">
        <v>-198326</v>
      </c>
    </row>
    <row r="1102" spans="13:16" x14ac:dyDescent="0.3">
      <c r="M1102">
        <v>1100</v>
      </c>
      <c r="N1102">
        <v>-139945</v>
      </c>
      <c r="P1102">
        <v>236999</v>
      </c>
    </row>
    <row r="1103" spans="13:16" x14ac:dyDescent="0.3">
      <c r="M1103">
        <v>1101</v>
      </c>
      <c r="N1103">
        <v>-44898</v>
      </c>
      <c r="P1103">
        <v>623687</v>
      </c>
    </row>
    <row r="1104" spans="13:16" x14ac:dyDescent="0.3">
      <c r="M1104">
        <v>1102</v>
      </c>
      <c r="N1104">
        <v>-113182</v>
      </c>
      <c r="P1104">
        <v>255803</v>
      </c>
    </row>
    <row r="1105" spans="13:16" x14ac:dyDescent="0.3">
      <c r="M1105">
        <v>1103</v>
      </c>
      <c r="N1105">
        <v>-62501</v>
      </c>
      <c r="P1105">
        <v>-22820</v>
      </c>
    </row>
    <row r="1106" spans="13:16" x14ac:dyDescent="0.3">
      <c r="M1106">
        <v>1104</v>
      </c>
      <c r="N1106">
        <v>-362439</v>
      </c>
      <c r="P1106">
        <v>245542</v>
      </c>
    </row>
    <row r="1107" spans="13:16" x14ac:dyDescent="0.3">
      <c r="M1107">
        <v>1105</v>
      </c>
      <c r="N1107">
        <v>-670822</v>
      </c>
      <c r="P1107">
        <v>-422721</v>
      </c>
    </row>
    <row r="1108" spans="13:16" x14ac:dyDescent="0.3">
      <c r="M1108">
        <v>1106</v>
      </c>
      <c r="N1108">
        <v>-181556</v>
      </c>
      <c r="P1108">
        <v>64189</v>
      </c>
    </row>
    <row r="1109" spans="13:16" x14ac:dyDescent="0.3">
      <c r="M1109">
        <v>1107</v>
      </c>
      <c r="N1109">
        <v>-316872</v>
      </c>
      <c r="P1109">
        <v>681102</v>
      </c>
    </row>
    <row r="1110" spans="13:16" x14ac:dyDescent="0.3">
      <c r="M1110">
        <v>1108</v>
      </c>
      <c r="N1110">
        <v>-558790</v>
      </c>
      <c r="P1110">
        <v>329456</v>
      </c>
    </row>
    <row r="1111" spans="13:16" x14ac:dyDescent="0.3">
      <c r="M1111">
        <v>1109</v>
      </c>
      <c r="N1111">
        <v>-599716</v>
      </c>
      <c r="P1111">
        <v>-454729</v>
      </c>
    </row>
    <row r="1112" spans="13:16" x14ac:dyDescent="0.3">
      <c r="M1112">
        <v>1110</v>
      </c>
      <c r="N1112">
        <v>18353</v>
      </c>
      <c r="P1112">
        <v>180369</v>
      </c>
    </row>
    <row r="1113" spans="13:16" x14ac:dyDescent="0.3">
      <c r="M1113">
        <v>1111</v>
      </c>
      <c r="N1113">
        <v>-329631</v>
      </c>
      <c r="P1113">
        <v>255749</v>
      </c>
    </row>
    <row r="1114" spans="13:16" x14ac:dyDescent="0.3">
      <c r="M1114">
        <v>1112</v>
      </c>
      <c r="N1114">
        <v>1047161</v>
      </c>
      <c r="P1114">
        <v>263453</v>
      </c>
    </row>
    <row r="1115" spans="13:16" x14ac:dyDescent="0.3">
      <c r="M1115">
        <v>1113</v>
      </c>
      <c r="N1115">
        <v>-222368</v>
      </c>
      <c r="P1115">
        <v>-595762</v>
      </c>
    </row>
    <row r="1116" spans="13:16" x14ac:dyDescent="0.3">
      <c r="M1116">
        <v>1114</v>
      </c>
      <c r="N1116">
        <v>-555296</v>
      </c>
      <c r="P1116">
        <v>615778</v>
      </c>
    </row>
    <row r="1117" spans="13:16" x14ac:dyDescent="0.3">
      <c r="M1117">
        <v>1115</v>
      </c>
      <c r="N1117">
        <v>-54586</v>
      </c>
      <c r="P1117">
        <v>369280</v>
      </c>
    </row>
    <row r="1118" spans="13:16" x14ac:dyDescent="0.3">
      <c r="M1118">
        <v>1116</v>
      </c>
      <c r="N1118">
        <v>-382210</v>
      </c>
      <c r="P1118">
        <v>-602305</v>
      </c>
    </row>
    <row r="1119" spans="13:16" x14ac:dyDescent="0.3">
      <c r="M1119">
        <v>1117</v>
      </c>
      <c r="N1119">
        <v>327667</v>
      </c>
      <c r="P1119">
        <v>780151</v>
      </c>
    </row>
    <row r="1120" spans="13:16" x14ac:dyDescent="0.3">
      <c r="M1120">
        <v>1118</v>
      </c>
      <c r="N1120">
        <v>-521835</v>
      </c>
      <c r="P1120">
        <v>322871</v>
      </c>
    </row>
    <row r="1121" spans="13:16" x14ac:dyDescent="0.3">
      <c r="M1121">
        <v>1119</v>
      </c>
      <c r="N1121">
        <v>289564</v>
      </c>
      <c r="P1121">
        <v>462550</v>
      </c>
    </row>
    <row r="1122" spans="13:16" x14ac:dyDescent="0.3">
      <c r="M1122">
        <v>1120</v>
      </c>
      <c r="N1122">
        <v>-252345</v>
      </c>
      <c r="P1122">
        <v>-430075</v>
      </c>
    </row>
    <row r="1123" spans="13:16" x14ac:dyDescent="0.3">
      <c r="M1123">
        <v>1121</v>
      </c>
      <c r="N1123">
        <v>989446</v>
      </c>
      <c r="P1123">
        <v>401353</v>
      </c>
    </row>
    <row r="1124" spans="13:16" x14ac:dyDescent="0.3">
      <c r="M1124">
        <v>1122</v>
      </c>
      <c r="N1124">
        <v>-231607</v>
      </c>
      <c r="P1124">
        <v>356744</v>
      </c>
    </row>
    <row r="1125" spans="13:16" x14ac:dyDescent="0.3">
      <c r="M1125">
        <v>1123</v>
      </c>
      <c r="N1125">
        <v>259597</v>
      </c>
      <c r="P1125">
        <v>303788</v>
      </c>
    </row>
    <row r="1126" spans="13:16" x14ac:dyDescent="0.3">
      <c r="M1126">
        <v>1124</v>
      </c>
      <c r="N1126">
        <v>-115623</v>
      </c>
      <c r="P1126">
        <v>627971</v>
      </c>
    </row>
    <row r="1127" spans="13:16" x14ac:dyDescent="0.3">
      <c r="M1127">
        <v>1125</v>
      </c>
      <c r="N1127">
        <v>-562579</v>
      </c>
      <c r="P1127">
        <v>-448469</v>
      </c>
    </row>
    <row r="1128" spans="13:16" x14ac:dyDescent="0.3">
      <c r="M1128">
        <v>1126</v>
      </c>
      <c r="N1128">
        <v>415943</v>
      </c>
      <c r="P1128">
        <v>-572723</v>
      </c>
    </row>
    <row r="1129" spans="13:16" x14ac:dyDescent="0.3">
      <c r="M1129">
        <v>1127</v>
      </c>
      <c r="N1129">
        <v>207492</v>
      </c>
      <c r="P1129">
        <v>103018</v>
      </c>
    </row>
    <row r="1130" spans="13:16" x14ac:dyDescent="0.3">
      <c r="M1130">
        <v>1128</v>
      </c>
      <c r="N1130">
        <v>-150299</v>
      </c>
      <c r="P1130">
        <v>21211</v>
      </c>
    </row>
    <row r="1131" spans="13:16" x14ac:dyDescent="0.3">
      <c r="M1131">
        <v>1129</v>
      </c>
      <c r="N1131">
        <v>142830</v>
      </c>
      <c r="P1131">
        <v>406507</v>
      </c>
    </row>
    <row r="1132" spans="13:16" x14ac:dyDescent="0.3">
      <c r="M1132">
        <v>1130</v>
      </c>
      <c r="N1132">
        <v>496871</v>
      </c>
      <c r="P1132">
        <v>-324017</v>
      </c>
    </row>
    <row r="1133" spans="13:16" x14ac:dyDescent="0.3">
      <c r="M1133">
        <v>1131</v>
      </c>
      <c r="N1133">
        <v>-5223</v>
      </c>
      <c r="P1133">
        <v>822740</v>
      </c>
    </row>
    <row r="1134" spans="13:16" x14ac:dyDescent="0.3">
      <c r="M1134">
        <v>1132</v>
      </c>
      <c r="N1134">
        <v>-1081</v>
      </c>
      <c r="P1134">
        <v>-269706</v>
      </c>
    </row>
    <row r="1135" spans="13:16" x14ac:dyDescent="0.3">
      <c r="M1135">
        <v>1133</v>
      </c>
      <c r="N1135">
        <v>-110009</v>
      </c>
      <c r="P1135">
        <v>46498</v>
      </c>
    </row>
    <row r="1136" spans="13:16" x14ac:dyDescent="0.3">
      <c r="M1136">
        <v>1134</v>
      </c>
      <c r="N1136">
        <v>212704</v>
      </c>
      <c r="P1136">
        <v>-432447</v>
      </c>
    </row>
    <row r="1137" spans="13:16" x14ac:dyDescent="0.3">
      <c r="M1137">
        <v>1135</v>
      </c>
      <c r="N1137">
        <v>190924</v>
      </c>
      <c r="P1137">
        <v>504942</v>
      </c>
    </row>
    <row r="1138" spans="13:16" x14ac:dyDescent="0.3">
      <c r="M1138">
        <v>1136</v>
      </c>
      <c r="N1138">
        <v>-532841</v>
      </c>
      <c r="P1138">
        <v>508274</v>
      </c>
    </row>
    <row r="1139" spans="13:16" x14ac:dyDescent="0.3">
      <c r="M1139">
        <v>1137</v>
      </c>
      <c r="N1139">
        <v>-15632</v>
      </c>
      <c r="P1139">
        <v>-531549</v>
      </c>
    </row>
    <row r="1140" spans="13:16" x14ac:dyDescent="0.3">
      <c r="M1140">
        <v>1138</v>
      </c>
      <c r="N1140">
        <v>20946</v>
      </c>
      <c r="P1140">
        <v>-169850</v>
      </c>
    </row>
    <row r="1141" spans="13:16" x14ac:dyDescent="0.3">
      <c r="M1141">
        <v>1139</v>
      </c>
      <c r="N1141">
        <v>49533</v>
      </c>
      <c r="P1141">
        <v>42543</v>
      </c>
    </row>
    <row r="1142" spans="13:16" x14ac:dyDescent="0.3">
      <c r="M1142">
        <v>1140</v>
      </c>
      <c r="N1142">
        <v>298332</v>
      </c>
      <c r="P1142">
        <v>-488152</v>
      </c>
    </row>
    <row r="1143" spans="13:16" x14ac:dyDescent="0.3">
      <c r="M1143">
        <v>1141</v>
      </c>
      <c r="N1143">
        <v>-160314</v>
      </c>
      <c r="P1143">
        <v>-467890</v>
      </c>
    </row>
    <row r="1144" spans="13:16" x14ac:dyDescent="0.3">
      <c r="M1144">
        <v>1142</v>
      </c>
      <c r="N1144">
        <v>-149438</v>
      </c>
      <c r="P1144">
        <v>-806529</v>
      </c>
    </row>
    <row r="1145" spans="13:16" x14ac:dyDescent="0.3">
      <c r="M1145">
        <v>1143</v>
      </c>
      <c r="N1145">
        <v>-598710</v>
      </c>
      <c r="P1145">
        <v>-294666</v>
      </c>
    </row>
    <row r="1146" spans="13:16" x14ac:dyDescent="0.3">
      <c r="M1146">
        <v>1144</v>
      </c>
      <c r="N1146">
        <v>-448843</v>
      </c>
      <c r="P1146">
        <v>-624170</v>
      </c>
    </row>
    <row r="1147" spans="13:16" x14ac:dyDescent="0.3">
      <c r="M1147">
        <v>1145</v>
      </c>
      <c r="N1147">
        <v>492097</v>
      </c>
      <c r="P1147">
        <v>-618571</v>
      </c>
    </row>
    <row r="1148" spans="13:16" x14ac:dyDescent="0.3">
      <c r="M1148">
        <v>1146</v>
      </c>
      <c r="N1148">
        <v>-616621</v>
      </c>
      <c r="P1148">
        <v>-614843</v>
      </c>
    </row>
    <row r="1149" spans="13:16" x14ac:dyDescent="0.3">
      <c r="M1149">
        <v>1147</v>
      </c>
      <c r="N1149">
        <v>667924</v>
      </c>
      <c r="P1149">
        <v>1192602</v>
      </c>
    </row>
    <row r="1150" spans="13:16" x14ac:dyDescent="0.3">
      <c r="M1150">
        <v>1148</v>
      </c>
      <c r="N1150">
        <v>181334</v>
      </c>
      <c r="P1150">
        <v>2394</v>
      </c>
    </row>
    <row r="1151" spans="13:16" x14ac:dyDescent="0.3">
      <c r="M1151">
        <v>1149</v>
      </c>
      <c r="N1151">
        <v>43809</v>
      </c>
      <c r="P1151">
        <v>-713179</v>
      </c>
    </row>
    <row r="1152" spans="13:16" x14ac:dyDescent="0.3">
      <c r="M1152">
        <v>1150</v>
      </c>
      <c r="N1152">
        <v>237207</v>
      </c>
      <c r="P1152">
        <v>437518</v>
      </c>
    </row>
    <row r="1153" spans="13:16" x14ac:dyDescent="0.3">
      <c r="M1153">
        <v>1151</v>
      </c>
      <c r="N1153">
        <v>339849</v>
      </c>
      <c r="P1153">
        <v>-781407</v>
      </c>
    </row>
    <row r="1154" spans="13:16" x14ac:dyDescent="0.3">
      <c r="M1154">
        <v>1152</v>
      </c>
      <c r="N1154">
        <v>-369110</v>
      </c>
      <c r="P1154">
        <v>-80135</v>
      </c>
    </row>
    <row r="1155" spans="13:16" x14ac:dyDescent="0.3">
      <c r="M1155">
        <v>1153</v>
      </c>
      <c r="N1155">
        <v>121665</v>
      </c>
      <c r="P1155">
        <v>860771</v>
      </c>
    </row>
    <row r="1156" spans="13:16" x14ac:dyDescent="0.3">
      <c r="M1156">
        <v>1154</v>
      </c>
      <c r="N1156">
        <v>576116</v>
      </c>
      <c r="P1156">
        <v>-252944</v>
      </c>
    </row>
    <row r="1157" spans="13:16" x14ac:dyDescent="0.3">
      <c r="M1157">
        <v>1155</v>
      </c>
      <c r="N1157">
        <v>405168</v>
      </c>
      <c r="P1157">
        <v>372903</v>
      </c>
    </row>
    <row r="1158" spans="13:16" x14ac:dyDescent="0.3">
      <c r="M1158">
        <v>1156</v>
      </c>
      <c r="N1158">
        <v>-637517</v>
      </c>
      <c r="P1158">
        <v>-384961</v>
      </c>
    </row>
    <row r="1159" spans="13:16" x14ac:dyDescent="0.3">
      <c r="M1159">
        <v>1157</v>
      </c>
      <c r="N1159">
        <v>-484341</v>
      </c>
      <c r="P1159">
        <v>-325801</v>
      </c>
    </row>
    <row r="1160" spans="13:16" x14ac:dyDescent="0.3">
      <c r="M1160">
        <v>1158</v>
      </c>
      <c r="N1160">
        <v>-747904</v>
      </c>
      <c r="P1160">
        <v>387511</v>
      </c>
    </row>
    <row r="1161" spans="13:16" x14ac:dyDescent="0.3">
      <c r="M1161">
        <v>1159</v>
      </c>
      <c r="N1161">
        <v>-227883</v>
      </c>
      <c r="P1161">
        <v>-140469</v>
      </c>
    </row>
    <row r="1162" spans="13:16" x14ac:dyDescent="0.3">
      <c r="M1162">
        <v>1160</v>
      </c>
      <c r="N1162">
        <v>-683050</v>
      </c>
      <c r="P1162">
        <v>-316435</v>
      </c>
    </row>
    <row r="1163" spans="13:16" x14ac:dyDescent="0.3">
      <c r="M1163">
        <v>1161</v>
      </c>
      <c r="N1163">
        <v>692289</v>
      </c>
      <c r="P1163">
        <v>40046</v>
      </c>
    </row>
    <row r="1164" spans="13:16" x14ac:dyDescent="0.3">
      <c r="M1164">
        <v>1162</v>
      </c>
      <c r="N1164">
        <v>-682347</v>
      </c>
      <c r="P1164">
        <v>-16171</v>
      </c>
    </row>
    <row r="1165" spans="13:16" x14ac:dyDescent="0.3">
      <c r="M1165">
        <v>1163</v>
      </c>
      <c r="N1165">
        <v>-317862</v>
      </c>
      <c r="P1165">
        <v>947380</v>
      </c>
    </row>
    <row r="1166" spans="13:16" x14ac:dyDescent="0.3">
      <c r="M1166">
        <v>1164</v>
      </c>
      <c r="N1166">
        <v>-479452</v>
      </c>
      <c r="P1166">
        <v>-547711</v>
      </c>
    </row>
    <row r="1167" spans="13:16" x14ac:dyDescent="0.3">
      <c r="M1167">
        <v>1165</v>
      </c>
      <c r="N1167">
        <v>35810</v>
      </c>
      <c r="P1167">
        <v>505645</v>
      </c>
    </row>
    <row r="1168" spans="13:16" x14ac:dyDescent="0.3">
      <c r="M1168">
        <v>1166</v>
      </c>
      <c r="N1168">
        <v>-256640</v>
      </c>
      <c r="P1168">
        <v>-414136</v>
      </c>
    </row>
    <row r="1169" spans="13:16" x14ac:dyDescent="0.3">
      <c r="M1169">
        <v>1167</v>
      </c>
      <c r="N1169">
        <v>202298</v>
      </c>
      <c r="P1169">
        <v>589031</v>
      </c>
    </row>
    <row r="1170" spans="13:16" x14ac:dyDescent="0.3">
      <c r="M1170">
        <v>1168</v>
      </c>
      <c r="N1170">
        <v>25764</v>
      </c>
      <c r="P1170">
        <v>512639</v>
      </c>
    </row>
    <row r="1171" spans="13:16" x14ac:dyDescent="0.3">
      <c r="M1171">
        <v>1169</v>
      </c>
      <c r="N1171">
        <v>-423338</v>
      </c>
      <c r="P1171">
        <v>-448444</v>
      </c>
    </row>
    <row r="1172" spans="13:16" x14ac:dyDescent="0.3">
      <c r="M1172">
        <v>1170</v>
      </c>
      <c r="N1172">
        <v>679452</v>
      </c>
      <c r="P1172">
        <v>-600351</v>
      </c>
    </row>
    <row r="1173" spans="13:16" x14ac:dyDescent="0.3">
      <c r="M1173">
        <v>1171</v>
      </c>
      <c r="N1173">
        <v>-177054</v>
      </c>
      <c r="P1173">
        <v>571141</v>
      </c>
    </row>
    <row r="1174" spans="13:16" x14ac:dyDescent="0.3">
      <c r="M1174">
        <v>1172</v>
      </c>
      <c r="N1174">
        <v>-241073</v>
      </c>
      <c r="P1174">
        <v>-603700</v>
      </c>
    </row>
    <row r="1175" spans="13:16" x14ac:dyDescent="0.3">
      <c r="M1175">
        <v>1173</v>
      </c>
      <c r="N1175">
        <v>-481029</v>
      </c>
      <c r="P1175">
        <v>353187</v>
      </c>
    </row>
    <row r="1176" spans="13:16" x14ac:dyDescent="0.3">
      <c r="M1176">
        <v>1174</v>
      </c>
      <c r="N1176">
        <v>-54532</v>
      </c>
      <c r="P1176">
        <v>-40895</v>
      </c>
    </row>
    <row r="1177" spans="13:16" x14ac:dyDescent="0.3">
      <c r="M1177">
        <v>1175</v>
      </c>
      <c r="N1177">
        <v>-286004</v>
      </c>
      <c r="P1177">
        <v>106813</v>
      </c>
    </row>
    <row r="1178" spans="13:16" x14ac:dyDescent="0.3">
      <c r="M1178">
        <v>1176</v>
      </c>
      <c r="N1178">
        <v>475346</v>
      </c>
      <c r="P1178">
        <v>99383</v>
      </c>
    </row>
    <row r="1179" spans="13:16" x14ac:dyDescent="0.3">
      <c r="M1179">
        <v>1177</v>
      </c>
      <c r="N1179">
        <v>-131390</v>
      </c>
      <c r="P1179">
        <v>619862</v>
      </c>
    </row>
    <row r="1180" spans="13:16" x14ac:dyDescent="0.3">
      <c r="M1180">
        <v>1178</v>
      </c>
      <c r="N1180">
        <v>-427447</v>
      </c>
      <c r="P1180">
        <v>-359785</v>
      </c>
    </row>
    <row r="1181" spans="13:16" x14ac:dyDescent="0.3">
      <c r="M1181">
        <v>1179</v>
      </c>
      <c r="N1181">
        <v>-527072</v>
      </c>
      <c r="P1181">
        <v>-707365</v>
      </c>
    </row>
    <row r="1182" spans="13:16" x14ac:dyDescent="0.3">
      <c r="M1182">
        <v>1180</v>
      </c>
      <c r="N1182">
        <v>124560</v>
      </c>
      <c r="P1182">
        <v>923765</v>
      </c>
    </row>
    <row r="1183" spans="13:16" x14ac:dyDescent="0.3">
      <c r="M1183">
        <v>1181</v>
      </c>
      <c r="N1183">
        <v>634860</v>
      </c>
      <c r="P1183">
        <v>-95645</v>
      </c>
    </row>
    <row r="1184" spans="13:16" x14ac:dyDescent="0.3">
      <c r="M1184">
        <v>1182</v>
      </c>
      <c r="N1184">
        <v>-10313</v>
      </c>
      <c r="P1184">
        <v>-165402</v>
      </c>
    </row>
    <row r="1185" spans="13:16" x14ac:dyDescent="0.3">
      <c r="M1185">
        <v>1183</v>
      </c>
      <c r="N1185">
        <v>-26695</v>
      </c>
      <c r="P1185">
        <v>255987</v>
      </c>
    </row>
    <row r="1186" spans="13:16" x14ac:dyDescent="0.3">
      <c r="M1186">
        <v>1184</v>
      </c>
      <c r="N1186">
        <v>832068</v>
      </c>
      <c r="P1186">
        <v>215326</v>
      </c>
    </row>
    <row r="1187" spans="13:16" x14ac:dyDescent="0.3">
      <c r="M1187">
        <v>1185</v>
      </c>
      <c r="N1187">
        <v>-297343</v>
      </c>
      <c r="P1187">
        <v>-348124</v>
      </c>
    </row>
    <row r="1188" spans="13:16" x14ac:dyDescent="0.3">
      <c r="M1188">
        <v>1186</v>
      </c>
      <c r="N1188">
        <v>-482414</v>
      </c>
      <c r="P1188">
        <v>-239275</v>
      </c>
    </row>
    <row r="1189" spans="13:16" x14ac:dyDescent="0.3">
      <c r="M1189">
        <v>1187</v>
      </c>
      <c r="N1189">
        <v>195875</v>
      </c>
      <c r="P1189">
        <v>20178</v>
      </c>
    </row>
    <row r="1190" spans="13:16" x14ac:dyDescent="0.3">
      <c r="M1190">
        <v>1188</v>
      </c>
      <c r="N1190">
        <v>-47744</v>
      </c>
      <c r="P1190">
        <v>284552</v>
      </c>
    </row>
    <row r="1191" spans="13:16" x14ac:dyDescent="0.3">
      <c r="M1191">
        <v>1189</v>
      </c>
      <c r="N1191">
        <v>-439806</v>
      </c>
      <c r="P1191">
        <v>782599</v>
      </c>
    </row>
    <row r="1192" spans="13:16" x14ac:dyDescent="0.3">
      <c r="M1192">
        <v>1190</v>
      </c>
      <c r="N1192">
        <v>109701</v>
      </c>
      <c r="P1192">
        <v>-418313</v>
      </c>
    </row>
    <row r="1193" spans="13:16" x14ac:dyDescent="0.3">
      <c r="M1193">
        <v>1191</v>
      </c>
      <c r="N1193">
        <v>-461146</v>
      </c>
      <c r="P1193">
        <v>254699</v>
      </c>
    </row>
    <row r="1194" spans="13:16" x14ac:dyDescent="0.3">
      <c r="M1194">
        <v>1192</v>
      </c>
      <c r="N1194">
        <v>-382219</v>
      </c>
      <c r="P1194">
        <v>-428182</v>
      </c>
    </row>
    <row r="1195" spans="13:16" x14ac:dyDescent="0.3">
      <c r="M1195">
        <v>1193</v>
      </c>
      <c r="N1195">
        <v>-428292</v>
      </c>
      <c r="P1195">
        <v>295473</v>
      </c>
    </row>
    <row r="1196" spans="13:16" x14ac:dyDescent="0.3">
      <c r="M1196">
        <v>1194</v>
      </c>
      <c r="N1196">
        <v>-57045</v>
      </c>
      <c r="P1196">
        <v>159205</v>
      </c>
    </row>
    <row r="1197" spans="13:16" x14ac:dyDescent="0.3">
      <c r="M1197">
        <v>1195</v>
      </c>
      <c r="N1197">
        <v>-757981</v>
      </c>
      <c r="P1197">
        <v>-582364</v>
      </c>
    </row>
    <row r="1198" spans="13:16" x14ac:dyDescent="0.3">
      <c r="M1198">
        <v>1196</v>
      </c>
      <c r="N1198">
        <v>-560521</v>
      </c>
      <c r="P1198">
        <v>564502</v>
      </c>
    </row>
    <row r="1199" spans="13:16" x14ac:dyDescent="0.3">
      <c r="M1199">
        <v>1197</v>
      </c>
      <c r="N1199">
        <v>-401325</v>
      </c>
      <c r="P1199">
        <v>172203</v>
      </c>
    </row>
    <row r="1200" spans="13:16" x14ac:dyDescent="0.3">
      <c r="M1200">
        <v>1198</v>
      </c>
      <c r="N1200">
        <v>-420030</v>
      </c>
      <c r="P1200">
        <v>72940</v>
      </c>
    </row>
    <row r="1201" spans="13:16" x14ac:dyDescent="0.3">
      <c r="M1201">
        <v>1199</v>
      </c>
      <c r="N1201">
        <v>346564</v>
      </c>
      <c r="P1201">
        <v>-412399</v>
      </c>
    </row>
    <row r="1202" spans="13:16" x14ac:dyDescent="0.3">
      <c r="M1202">
        <v>1200</v>
      </c>
      <c r="N1202">
        <v>-676807</v>
      </c>
      <c r="P1202">
        <v>-45145</v>
      </c>
    </row>
    <row r="1203" spans="13:16" x14ac:dyDescent="0.3">
      <c r="M1203">
        <v>1201</v>
      </c>
      <c r="N1203">
        <v>965918</v>
      </c>
      <c r="P1203">
        <v>-687280</v>
      </c>
    </row>
    <row r="1204" spans="13:16" x14ac:dyDescent="0.3">
      <c r="M1204">
        <v>1202</v>
      </c>
      <c r="N1204">
        <v>242136</v>
      </c>
      <c r="P1204">
        <v>-651303</v>
      </c>
    </row>
    <row r="1205" spans="13:16" x14ac:dyDescent="0.3">
      <c r="M1205">
        <v>1203</v>
      </c>
      <c r="N1205">
        <v>-290411</v>
      </c>
      <c r="P1205">
        <v>-127228</v>
      </c>
    </row>
    <row r="1206" spans="13:16" x14ac:dyDescent="0.3">
      <c r="M1206">
        <v>1204</v>
      </c>
      <c r="N1206">
        <v>-86717</v>
      </c>
      <c r="P1206">
        <v>684638</v>
      </c>
    </row>
    <row r="1207" spans="13:16" x14ac:dyDescent="0.3">
      <c r="M1207">
        <v>1205</v>
      </c>
      <c r="N1207">
        <v>247887</v>
      </c>
      <c r="P1207">
        <v>568110</v>
      </c>
    </row>
    <row r="1208" spans="13:16" x14ac:dyDescent="0.3">
      <c r="M1208">
        <v>1206</v>
      </c>
      <c r="N1208">
        <v>220493</v>
      </c>
      <c r="P1208">
        <v>-783304</v>
      </c>
    </row>
    <row r="1209" spans="13:16" x14ac:dyDescent="0.3">
      <c r="M1209">
        <v>1207</v>
      </c>
      <c r="N1209">
        <v>555678</v>
      </c>
      <c r="P1209">
        <v>454063</v>
      </c>
    </row>
    <row r="1210" spans="13:16" x14ac:dyDescent="0.3">
      <c r="M1210">
        <v>1208</v>
      </c>
      <c r="N1210">
        <v>-602327</v>
      </c>
      <c r="P1210">
        <v>-108974</v>
      </c>
    </row>
    <row r="1211" spans="13:16" x14ac:dyDescent="0.3">
      <c r="M1211">
        <v>1209</v>
      </c>
      <c r="N1211">
        <v>319997</v>
      </c>
      <c r="P1211">
        <v>243585</v>
      </c>
    </row>
    <row r="1212" spans="13:16" x14ac:dyDescent="0.3">
      <c r="M1212">
        <v>1210</v>
      </c>
      <c r="N1212">
        <v>-649100</v>
      </c>
      <c r="P1212">
        <v>-731127</v>
      </c>
    </row>
    <row r="1213" spans="13:16" x14ac:dyDescent="0.3">
      <c r="M1213">
        <v>1211</v>
      </c>
      <c r="N1213">
        <v>142887</v>
      </c>
      <c r="P1213">
        <v>-138879</v>
      </c>
    </row>
    <row r="1214" spans="13:16" x14ac:dyDescent="0.3">
      <c r="M1214">
        <v>1212</v>
      </c>
      <c r="N1214">
        <v>122522</v>
      </c>
      <c r="P1214">
        <v>945582</v>
      </c>
    </row>
    <row r="1215" spans="13:16" x14ac:dyDescent="0.3">
      <c r="M1215">
        <v>1213</v>
      </c>
      <c r="N1215">
        <v>-1737</v>
      </c>
      <c r="P1215">
        <v>-249873</v>
      </c>
    </row>
    <row r="1216" spans="13:16" x14ac:dyDescent="0.3">
      <c r="M1216">
        <v>1214</v>
      </c>
      <c r="N1216">
        <v>614695</v>
      </c>
      <c r="P1216">
        <v>544437</v>
      </c>
    </row>
    <row r="1217" spans="13:16" x14ac:dyDescent="0.3">
      <c r="M1217">
        <v>1215</v>
      </c>
      <c r="N1217">
        <v>347169</v>
      </c>
      <c r="P1217">
        <v>395708</v>
      </c>
    </row>
    <row r="1218" spans="13:16" x14ac:dyDescent="0.3">
      <c r="M1218">
        <v>1216</v>
      </c>
      <c r="N1218">
        <v>308980</v>
      </c>
      <c r="P1218">
        <v>-723173</v>
      </c>
    </row>
    <row r="1219" spans="13:16" x14ac:dyDescent="0.3">
      <c r="M1219">
        <v>1217</v>
      </c>
      <c r="N1219">
        <v>-269897</v>
      </c>
      <c r="P1219">
        <v>-420975</v>
      </c>
    </row>
    <row r="1220" spans="13:16" x14ac:dyDescent="0.3">
      <c r="M1220">
        <v>1218</v>
      </c>
      <c r="N1220">
        <v>-595210</v>
      </c>
      <c r="P1220">
        <v>133995</v>
      </c>
    </row>
    <row r="1221" spans="13:16" x14ac:dyDescent="0.3">
      <c r="M1221">
        <v>1219</v>
      </c>
      <c r="N1221">
        <v>-190173</v>
      </c>
      <c r="P1221">
        <v>-247445</v>
      </c>
    </row>
    <row r="1222" spans="13:16" x14ac:dyDescent="0.3">
      <c r="M1222">
        <v>1220</v>
      </c>
      <c r="N1222">
        <v>660450</v>
      </c>
      <c r="P1222">
        <v>898444</v>
      </c>
    </row>
    <row r="1223" spans="13:16" x14ac:dyDescent="0.3">
      <c r="M1223">
        <v>1221</v>
      </c>
      <c r="N1223">
        <v>373122</v>
      </c>
      <c r="P1223">
        <v>-522030</v>
      </c>
    </row>
    <row r="1224" spans="13:16" x14ac:dyDescent="0.3">
      <c r="M1224">
        <v>1222</v>
      </c>
      <c r="N1224">
        <v>-456991</v>
      </c>
      <c r="P1224">
        <v>1027969</v>
      </c>
    </row>
    <row r="1225" spans="13:16" x14ac:dyDescent="0.3">
      <c r="M1225">
        <v>1223</v>
      </c>
      <c r="N1225">
        <v>854350</v>
      </c>
      <c r="P1225">
        <v>304655</v>
      </c>
    </row>
    <row r="1226" spans="13:16" x14ac:dyDescent="0.3">
      <c r="M1226">
        <v>1224</v>
      </c>
      <c r="N1226">
        <v>303577</v>
      </c>
      <c r="P1226">
        <v>584924</v>
      </c>
    </row>
    <row r="1227" spans="13:16" x14ac:dyDescent="0.3">
      <c r="M1227">
        <v>1225</v>
      </c>
      <c r="N1227">
        <v>225850</v>
      </c>
      <c r="P1227">
        <v>804673</v>
      </c>
    </row>
    <row r="1228" spans="13:16" x14ac:dyDescent="0.3">
      <c r="M1228">
        <v>1226</v>
      </c>
      <c r="N1228">
        <v>86969</v>
      </c>
      <c r="P1228">
        <v>235684</v>
      </c>
    </row>
    <row r="1229" spans="13:16" x14ac:dyDescent="0.3">
      <c r="M1229">
        <v>1227</v>
      </c>
      <c r="N1229">
        <v>-213316</v>
      </c>
      <c r="P1229">
        <v>386119</v>
      </c>
    </row>
    <row r="1230" spans="13:16" x14ac:dyDescent="0.3">
      <c r="M1230">
        <v>1228</v>
      </c>
      <c r="N1230">
        <v>293110</v>
      </c>
      <c r="P1230">
        <v>-164012</v>
      </c>
    </row>
    <row r="1231" spans="13:16" x14ac:dyDescent="0.3">
      <c r="M1231">
        <v>1229</v>
      </c>
      <c r="N1231">
        <v>20958</v>
      </c>
      <c r="P1231">
        <v>61681</v>
      </c>
    </row>
    <row r="1232" spans="13:16" x14ac:dyDescent="0.3">
      <c r="M1232">
        <v>1230</v>
      </c>
      <c r="N1232">
        <v>357342</v>
      </c>
      <c r="P1232">
        <v>-188281</v>
      </c>
    </row>
    <row r="1233" spans="13:16" x14ac:dyDescent="0.3">
      <c r="M1233">
        <v>1231</v>
      </c>
      <c r="N1233">
        <v>-64271</v>
      </c>
      <c r="P1233">
        <v>607815</v>
      </c>
    </row>
    <row r="1234" spans="13:16" x14ac:dyDescent="0.3">
      <c r="M1234">
        <v>1232</v>
      </c>
      <c r="N1234">
        <v>620764</v>
      </c>
      <c r="P1234">
        <v>-264320</v>
      </c>
    </row>
    <row r="1235" spans="13:16" x14ac:dyDescent="0.3">
      <c r="M1235">
        <v>1233</v>
      </c>
      <c r="N1235">
        <v>192069</v>
      </c>
      <c r="P1235">
        <v>-79396</v>
      </c>
    </row>
    <row r="1236" spans="13:16" x14ac:dyDescent="0.3">
      <c r="M1236">
        <v>1234</v>
      </c>
      <c r="N1236">
        <v>-135020</v>
      </c>
      <c r="P1236">
        <v>-199196</v>
      </c>
    </row>
    <row r="1237" spans="13:16" x14ac:dyDescent="0.3">
      <c r="M1237">
        <v>1235</v>
      </c>
      <c r="N1237">
        <v>276984</v>
      </c>
      <c r="P1237">
        <v>71991</v>
      </c>
    </row>
    <row r="1238" spans="13:16" x14ac:dyDescent="0.3">
      <c r="M1238">
        <v>1236</v>
      </c>
      <c r="N1238">
        <v>-190799</v>
      </c>
      <c r="P1238">
        <v>393866</v>
      </c>
    </row>
    <row r="1239" spans="13:16" x14ac:dyDescent="0.3">
      <c r="M1239">
        <v>1237</v>
      </c>
      <c r="N1239">
        <v>-199460</v>
      </c>
      <c r="P1239">
        <v>450980</v>
      </c>
    </row>
    <row r="1240" spans="13:16" x14ac:dyDescent="0.3">
      <c r="M1240">
        <v>1238</v>
      </c>
      <c r="N1240">
        <v>833852</v>
      </c>
      <c r="P1240">
        <v>89629</v>
      </c>
    </row>
    <row r="1241" spans="13:16" x14ac:dyDescent="0.3">
      <c r="M1241">
        <v>1239</v>
      </c>
      <c r="N1241">
        <v>485848</v>
      </c>
      <c r="P1241">
        <v>-232565</v>
      </c>
    </row>
    <row r="1242" spans="13:16" x14ac:dyDescent="0.3">
      <c r="M1242">
        <v>1240</v>
      </c>
      <c r="N1242">
        <v>-428729</v>
      </c>
      <c r="P1242">
        <v>368957</v>
      </c>
    </row>
    <row r="1243" spans="13:16" x14ac:dyDescent="0.3">
      <c r="M1243">
        <v>1241</v>
      </c>
      <c r="N1243">
        <v>529419</v>
      </c>
      <c r="P1243">
        <v>-852866</v>
      </c>
    </row>
    <row r="1244" spans="13:16" x14ac:dyDescent="0.3">
      <c r="M1244">
        <v>1242</v>
      </c>
      <c r="N1244">
        <v>-418482</v>
      </c>
      <c r="P1244">
        <v>326149</v>
      </c>
    </row>
    <row r="1245" spans="13:16" x14ac:dyDescent="0.3">
      <c r="M1245">
        <v>1243</v>
      </c>
      <c r="N1245">
        <v>-691147</v>
      </c>
      <c r="P1245">
        <v>267784</v>
      </c>
    </row>
    <row r="1246" spans="13:16" x14ac:dyDescent="0.3">
      <c r="M1246">
        <v>1244</v>
      </c>
      <c r="N1246">
        <v>-324364</v>
      </c>
      <c r="P1246">
        <v>-289329</v>
      </c>
    </row>
    <row r="1247" spans="13:16" x14ac:dyDescent="0.3">
      <c r="M1247">
        <v>1245</v>
      </c>
      <c r="N1247">
        <v>438546</v>
      </c>
      <c r="P1247">
        <v>12117</v>
      </c>
    </row>
    <row r="1248" spans="13:16" x14ac:dyDescent="0.3">
      <c r="M1248">
        <v>1246</v>
      </c>
      <c r="N1248">
        <v>-306477</v>
      </c>
      <c r="P1248">
        <v>795257</v>
      </c>
    </row>
    <row r="1249" spans="13:16" x14ac:dyDescent="0.3">
      <c r="M1249">
        <v>1247</v>
      </c>
      <c r="N1249">
        <v>-192600</v>
      </c>
      <c r="P1249">
        <v>-163989</v>
      </c>
    </row>
    <row r="1250" spans="13:16" x14ac:dyDescent="0.3">
      <c r="M1250">
        <v>1248</v>
      </c>
      <c r="N1250">
        <v>852926</v>
      </c>
      <c r="P1250">
        <v>-611116</v>
      </c>
    </row>
    <row r="1251" spans="13:16" x14ac:dyDescent="0.3">
      <c r="M1251">
        <v>1249</v>
      </c>
      <c r="N1251">
        <v>629901</v>
      </c>
      <c r="P1251">
        <v>425261</v>
      </c>
    </row>
    <row r="1252" spans="13:16" x14ac:dyDescent="0.3">
      <c r="M1252">
        <v>1250</v>
      </c>
      <c r="N1252">
        <v>-432999</v>
      </c>
      <c r="P1252">
        <v>-9898</v>
      </c>
    </row>
    <row r="1253" spans="13:16" x14ac:dyDescent="0.3">
      <c r="M1253">
        <v>1251</v>
      </c>
      <c r="N1253">
        <v>246218</v>
      </c>
      <c r="P1253">
        <v>148328</v>
      </c>
    </row>
    <row r="1254" spans="13:16" x14ac:dyDescent="0.3">
      <c r="M1254">
        <v>1252</v>
      </c>
      <c r="N1254">
        <v>803338</v>
      </c>
      <c r="P1254">
        <v>22264</v>
      </c>
    </row>
    <row r="1255" spans="13:16" x14ac:dyDescent="0.3">
      <c r="M1255">
        <v>1253</v>
      </c>
      <c r="N1255">
        <v>-394962</v>
      </c>
      <c r="P1255">
        <v>20998</v>
      </c>
    </row>
    <row r="1256" spans="13:16" x14ac:dyDescent="0.3">
      <c r="M1256">
        <v>1254</v>
      </c>
      <c r="N1256">
        <v>-169813</v>
      </c>
      <c r="P1256">
        <v>532293</v>
      </c>
    </row>
    <row r="1257" spans="13:16" x14ac:dyDescent="0.3">
      <c r="M1257">
        <v>1255</v>
      </c>
      <c r="N1257">
        <v>-237662</v>
      </c>
      <c r="P1257">
        <v>363281</v>
      </c>
    </row>
    <row r="1258" spans="13:16" x14ac:dyDescent="0.3">
      <c r="M1258">
        <v>1256</v>
      </c>
      <c r="N1258">
        <v>-576785</v>
      </c>
      <c r="P1258">
        <v>532688</v>
      </c>
    </row>
    <row r="1259" spans="13:16" x14ac:dyDescent="0.3">
      <c r="M1259">
        <v>1257</v>
      </c>
      <c r="N1259">
        <v>152617</v>
      </c>
      <c r="P1259">
        <v>873925</v>
      </c>
    </row>
    <row r="1260" spans="13:16" x14ac:dyDescent="0.3">
      <c r="M1260">
        <v>1258</v>
      </c>
      <c r="N1260">
        <v>-117578</v>
      </c>
      <c r="P1260">
        <v>982009</v>
      </c>
    </row>
    <row r="1261" spans="13:16" x14ac:dyDescent="0.3">
      <c r="M1261">
        <v>1259</v>
      </c>
      <c r="N1261">
        <v>36313</v>
      </c>
      <c r="P1261">
        <v>-147777</v>
      </c>
    </row>
    <row r="1262" spans="13:16" x14ac:dyDescent="0.3">
      <c r="M1262">
        <v>1260</v>
      </c>
      <c r="N1262">
        <v>-314614</v>
      </c>
      <c r="P1262">
        <v>546476</v>
      </c>
    </row>
    <row r="1263" spans="13:16" x14ac:dyDescent="0.3">
      <c r="M1263">
        <v>1261</v>
      </c>
      <c r="N1263">
        <v>307144</v>
      </c>
      <c r="P1263">
        <v>15705</v>
      </c>
    </row>
    <row r="1264" spans="13:16" x14ac:dyDescent="0.3">
      <c r="M1264">
        <v>1262</v>
      </c>
      <c r="N1264">
        <v>1538</v>
      </c>
      <c r="P1264">
        <v>-803055</v>
      </c>
    </row>
    <row r="1265" spans="13:16" x14ac:dyDescent="0.3">
      <c r="M1265">
        <v>1263</v>
      </c>
      <c r="N1265">
        <v>64272</v>
      </c>
      <c r="P1265">
        <v>-191994</v>
      </c>
    </row>
    <row r="1266" spans="13:16" x14ac:dyDescent="0.3">
      <c r="M1266">
        <v>1264</v>
      </c>
      <c r="N1266">
        <v>7614</v>
      </c>
      <c r="P1266">
        <v>229538</v>
      </c>
    </row>
    <row r="1267" spans="13:16" x14ac:dyDescent="0.3">
      <c r="M1267">
        <v>1265</v>
      </c>
      <c r="N1267">
        <v>-183122</v>
      </c>
      <c r="P1267">
        <v>-329894</v>
      </c>
    </row>
    <row r="1268" spans="13:16" x14ac:dyDescent="0.3">
      <c r="M1268">
        <v>1266</v>
      </c>
      <c r="N1268">
        <v>-291071</v>
      </c>
      <c r="P1268">
        <v>-249684</v>
      </c>
    </row>
    <row r="1269" spans="13:16" x14ac:dyDescent="0.3">
      <c r="M1269">
        <v>1267</v>
      </c>
      <c r="N1269">
        <v>-280765</v>
      </c>
      <c r="P1269">
        <v>-141534</v>
      </c>
    </row>
    <row r="1270" spans="13:16" x14ac:dyDescent="0.3">
      <c r="M1270">
        <v>1268</v>
      </c>
      <c r="N1270">
        <v>170740</v>
      </c>
      <c r="P1270">
        <v>369542</v>
      </c>
    </row>
    <row r="1271" spans="13:16" x14ac:dyDescent="0.3">
      <c r="M1271">
        <v>1269</v>
      </c>
      <c r="N1271">
        <v>201414</v>
      </c>
      <c r="P1271">
        <v>-719999</v>
      </c>
    </row>
    <row r="1272" spans="13:16" x14ac:dyDescent="0.3">
      <c r="M1272">
        <v>1270</v>
      </c>
      <c r="N1272">
        <v>88331</v>
      </c>
      <c r="P1272">
        <v>-46077</v>
      </c>
    </row>
    <row r="1273" spans="13:16" x14ac:dyDescent="0.3">
      <c r="M1273">
        <v>1271</v>
      </c>
      <c r="N1273">
        <v>357496</v>
      </c>
      <c r="P1273">
        <v>-473735</v>
      </c>
    </row>
    <row r="1274" spans="13:16" x14ac:dyDescent="0.3">
      <c r="M1274">
        <v>1272</v>
      </c>
      <c r="N1274">
        <v>1003556</v>
      </c>
      <c r="P1274">
        <v>556818</v>
      </c>
    </row>
    <row r="1275" spans="13:16" x14ac:dyDescent="0.3">
      <c r="M1275">
        <v>1273</v>
      </c>
      <c r="N1275">
        <v>23984</v>
      </c>
      <c r="P1275">
        <v>-356625</v>
      </c>
    </row>
    <row r="1276" spans="13:16" x14ac:dyDescent="0.3">
      <c r="M1276">
        <v>1274</v>
      </c>
      <c r="N1276">
        <v>-484822</v>
      </c>
      <c r="P1276">
        <v>233454</v>
      </c>
    </row>
    <row r="1277" spans="13:16" x14ac:dyDescent="0.3">
      <c r="M1277">
        <v>1275</v>
      </c>
      <c r="N1277">
        <v>-246312</v>
      </c>
      <c r="P1277">
        <v>-511488</v>
      </c>
    </row>
    <row r="1278" spans="13:16" x14ac:dyDescent="0.3">
      <c r="M1278">
        <v>1276</v>
      </c>
      <c r="N1278">
        <v>227522</v>
      </c>
      <c r="P1278">
        <v>52715</v>
      </c>
    </row>
    <row r="1279" spans="13:16" x14ac:dyDescent="0.3">
      <c r="M1279">
        <v>1277</v>
      </c>
      <c r="N1279">
        <v>-313846</v>
      </c>
      <c r="P1279">
        <v>87583</v>
      </c>
    </row>
    <row r="1280" spans="13:16" x14ac:dyDescent="0.3">
      <c r="M1280">
        <v>1278</v>
      </c>
      <c r="N1280">
        <v>-67119</v>
      </c>
      <c r="P1280">
        <v>-459698</v>
      </c>
    </row>
    <row r="1281" spans="13:16" x14ac:dyDescent="0.3">
      <c r="M1281">
        <v>1279</v>
      </c>
      <c r="N1281">
        <v>256443</v>
      </c>
      <c r="P1281">
        <v>515785</v>
      </c>
    </row>
    <row r="1282" spans="13:16" x14ac:dyDescent="0.3">
      <c r="M1282">
        <v>1280</v>
      </c>
      <c r="N1282">
        <v>-102696</v>
      </c>
      <c r="P1282">
        <v>432268</v>
      </c>
    </row>
    <row r="1283" spans="13:16" x14ac:dyDescent="0.3">
      <c r="M1283">
        <v>1281</v>
      </c>
      <c r="N1283">
        <v>304251</v>
      </c>
      <c r="P1283">
        <v>237729</v>
      </c>
    </row>
    <row r="1284" spans="13:16" x14ac:dyDescent="0.3">
      <c r="M1284">
        <v>1282</v>
      </c>
      <c r="N1284">
        <v>417321</v>
      </c>
      <c r="P1284">
        <v>-678392</v>
      </c>
    </row>
    <row r="1285" spans="13:16" x14ac:dyDescent="0.3">
      <c r="M1285">
        <v>1283</v>
      </c>
      <c r="N1285">
        <v>752965</v>
      </c>
      <c r="P1285">
        <v>-447360</v>
      </c>
    </row>
    <row r="1286" spans="13:16" x14ac:dyDescent="0.3">
      <c r="M1286">
        <v>1284</v>
      </c>
      <c r="N1286">
        <v>345550</v>
      </c>
      <c r="P1286">
        <v>123227</v>
      </c>
    </row>
    <row r="1287" spans="13:16" x14ac:dyDescent="0.3">
      <c r="M1287">
        <v>1285</v>
      </c>
      <c r="N1287">
        <v>-435106</v>
      </c>
      <c r="P1287">
        <v>383721</v>
      </c>
    </row>
    <row r="1288" spans="13:16" x14ac:dyDescent="0.3">
      <c r="M1288">
        <v>1286</v>
      </c>
      <c r="N1288">
        <v>23533</v>
      </c>
      <c r="P1288">
        <v>660727</v>
      </c>
    </row>
    <row r="1289" spans="13:16" x14ac:dyDescent="0.3">
      <c r="M1289">
        <v>1287</v>
      </c>
      <c r="N1289">
        <v>798329</v>
      </c>
      <c r="P1289">
        <v>351333</v>
      </c>
    </row>
    <row r="1290" spans="13:16" x14ac:dyDescent="0.3">
      <c r="M1290">
        <v>1288</v>
      </c>
      <c r="N1290">
        <v>-524208</v>
      </c>
      <c r="P1290">
        <v>356428</v>
      </c>
    </row>
    <row r="1291" spans="13:16" x14ac:dyDescent="0.3">
      <c r="M1291">
        <v>1289</v>
      </c>
      <c r="N1291">
        <v>172090</v>
      </c>
      <c r="P1291">
        <v>86915</v>
      </c>
    </row>
    <row r="1292" spans="13:16" x14ac:dyDescent="0.3">
      <c r="M1292">
        <v>1290</v>
      </c>
      <c r="N1292">
        <v>249147</v>
      </c>
      <c r="P1292">
        <v>-587318</v>
      </c>
    </row>
    <row r="1293" spans="13:16" x14ac:dyDescent="0.3">
      <c r="M1293">
        <v>1291</v>
      </c>
      <c r="N1293">
        <v>705431</v>
      </c>
      <c r="P1293">
        <v>-696981</v>
      </c>
    </row>
    <row r="1294" spans="13:16" x14ac:dyDescent="0.3">
      <c r="M1294">
        <v>1292</v>
      </c>
      <c r="N1294">
        <v>-380563</v>
      </c>
      <c r="P1294">
        <v>631910</v>
      </c>
    </row>
    <row r="1295" spans="13:16" x14ac:dyDescent="0.3">
      <c r="M1295">
        <v>1293</v>
      </c>
      <c r="N1295">
        <v>-352313</v>
      </c>
      <c r="P1295">
        <v>-357879</v>
      </c>
    </row>
    <row r="1296" spans="13:16" x14ac:dyDescent="0.3">
      <c r="M1296">
        <v>1294</v>
      </c>
      <c r="N1296">
        <v>150417</v>
      </c>
      <c r="P1296">
        <v>-284509</v>
      </c>
    </row>
    <row r="1297" spans="13:16" x14ac:dyDescent="0.3">
      <c r="M1297">
        <v>1295</v>
      </c>
      <c r="N1297">
        <v>-568998</v>
      </c>
      <c r="P1297">
        <v>-98666</v>
      </c>
    </row>
    <row r="1298" spans="13:16" x14ac:dyDescent="0.3">
      <c r="M1298">
        <v>1296</v>
      </c>
      <c r="N1298">
        <v>-270370</v>
      </c>
      <c r="P1298">
        <v>536565</v>
      </c>
    </row>
    <row r="1299" spans="13:16" x14ac:dyDescent="0.3">
      <c r="M1299">
        <v>1297</v>
      </c>
      <c r="N1299">
        <v>492851</v>
      </c>
      <c r="P1299">
        <v>-92060</v>
      </c>
    </row>
    <row r="1300" spans="13:16" x14ac:dyDescent="0.3">
      <c r="M1300">
        <v>1298</v>
      </c>
      <c r="N1300">
        <v>-370801</v>
      </c>
      <c r="P1300">
        <v>-207527</v>
      </c>
    </row>
    <row r="1301" spans="13:16" x14ac:dyDescent="0.3">
      <c r="M1301">
        <v>1299</v>
      </c>
      <c r="N1301">
        <v>-239028</v>
      </c>
      <c r="P1301">
        <v>-538796</v>
      </c>
    </row>
    <row r="1302" spans="13:16" x14ac:dyDescent="0.3">
      <c r="M1302">
        <v>1300</v>
      </c>
      <c r="N1302">
        <v>346558</v>
      </c>
      <c r="P1302">
        <v>411961</v>
      </c>
    </row>
    <row r="1303" spans="13:16" x14ac:dyDescent="0.3">
      <c r="M1303">
        <v>1301</v>
      </c>
      <c r="N1303">
        <v>-368077</v>
      </c>
      <c r="P1303">
        <v>413710</v>
      </c>
    </row>
    <row r="1304" spans="13:16" x14ac:dyDescent="0.3">
      <c r="M1304">
        <v>1302</v>
      </c>
      <c r="N1304">
        <v>762520</v>
      </c>
      <c r="P1304">
        <v>474518</v>
      </c>
    </row>
    <row r="1305" spans="13:16" x14ac:dyDescent="0.3">
      <c r="M1305">
        <v>1303</v>
      </c>
      <c r="N1305">
        <v>-458317</v>
      </c>
      <c r="P1305">
        <v>-631478</v>
      </c>
    </row>
    <row r="1306" spans="13:16" x14ac:dyDescent="0.3">
      <c r="M1306">
        <v>1304</v>
      </c>
      <c r="N1306">
        <v>-150852</v>
      </c>
      <c r="P1306">
        <v>541294</v>
      </c>
    </row>
    <row r="1307" spans="13:16" x14ac:dyDescent="0.3">
      <c r="M1307">
        <v>1305</v>
      </c>
      <c r="N1307">
        <v>764544</v>
      </c>
      <c r="P1307">
        <v>-776794</v>
      </c>
    </row>
    <row r="1308" spans="13:16" x14ac:dyDescent="0.3">
      <c r="M1308">
        <v>1306</v>
      </c>
      <c r="N1308">
        <v>-763948</v>
      </c>
      <c r="P1308">
        <v>96820</v>
      </c>
    </row>
    <row r="1309" spans="13:16" x14ac:dyDescent="0.3">
      <c r="M1309">
        <v>1307</v>
      </c>
      <c r="N1309">
        <v>-175137</v>
      </c>
      <c r="P1309">
        <v>275645</v>
      </c>
    </row>
    <row r="1310" spans="13:16" x14ac:dyDescent="0.3">
      <c r="M1310">
        <v>1308</v>
      </c>
      <c r="N1310">
        <v>209292</v>
      </c>
      <c r="P1310">
        <v>-149185</v>
      </c>
    </row>
    <row r="1311" spans="13:16" x14ac:dyDescent="0.3">
      <c r="M1311">
        <v>1309</v>
      </c>
      <c r="N1311">
        <v>-177178</v>
      </c>
      <c r="P1311">
        <v>372416</v>
      </c>
    </row>
    <row r="1312" spans="13:16" x14ac:dyDescent="0.3">
      <c r="M1312">
        <v>1310</v>
      </c>
      <c r="N1312">
        <v>235860</v>
      </c>
      <c r="P1312">
        <v>-610976</v>
      </c>
    </row>
    <row r="1313" spans="13:16" x14ac:dyDescent="0.3">
      <c r="M1313">
        <v>1311</v>
      </c>
      <c r="N1313">
        <v>-73296</v>
      </c>
      <c r="P1313">
        <v>-728186</v>
      </c>
    </row>
    <row r="1314" spans="13:16" x14ac:dyDescent="0.3">
      <c r="M1314">
        <v>1312</v>
      </c>
      <c r="N1314">
        <v>174378</v>
      </c>
      <c r="P1314">
        <v>-499499</v>
      </c>
    </row>
    <row r="1315" spans="13:16" x14ac:dyDescent="0.3">
      <c r="M1315">
        <v>1313</v>
      </c>
      <c r="N1315">
        <v>-334851</v>
      </c>
      <c r="P1315">
        <v>-766671</v>
      </c>
    </row>
    <row r="1316" spans="13:16" x14ac:dyDescent="0.3">
      <c r="M1316">
        <v>1314</v>
      </c>
      <c r="N1316">
        <v>-128189</v>
      </c>
      <c r="P1316">
        <v>-350740</v>
      </c>
    </row>
    <row r="1317" spans="13:16" x14ac:dyDescent="0.3">
      <c r="M1317">
        <v>1315</v>
      </c>
      <c r="N1317">
        <v>-10113</v>
      </c>
      <c r="P1317">
        <v>-264433</v>
      </c>
    </row>
    <row r="1318" spans="13:16" x14ac:dyDescent="0.3">
      <c r="M1318">
        <v>1316</v>
      </c>
      <c r="N1318">
        <v>426937</v>
      </c>
      <c r="P1318">
        <v>193103</v>
      </c>
    </row>
    <row r="1319" spans="13:16" x14ac:dyDescent="0.3">
      <c r="M1319">
        <v>1317</v>
      </c>
      <c r="N1319">
        <v>364543</v>
      </c>
      <c r="P1319">
        <v>-517180</v>
      </c>
    </row>
    <row r="1320" spans="13:16" x14ac:dyDescent="0.3">
      <c r="M1320">
        <v>1318</v>
      </c>
      <c r="N1320">
        <v>-328533</v>
      </c>
      <c r="P1320">
        <v>-384566</v>
      </c>
    </row>
    <row r="1321" spans="13:16" x14ac:dyDescent="0.3">
      <c r="M1321">
        <v>1319</v>
      </c>
      <c r="N1321">
        <v>199284</v>
      </c>
      <c r="P1321">
        <v>-455173</v>
      </c>
    </row>
    <row r="1322" spans="13:16" x14ac:dyDescent="0.3">
      <c r="M1322">
        <v>1320</v>
      </c>
      <c r="N1322">
        <v>155782</v>
      </c>
      <c r="P1322">
        <v>-360201</v>
      </c>
    </row>
    <row r="1323" spans="13:16" x14ac:dyDescent="0.3">
      <c r="M1323">
        <v>1321</v>
      </c>
      <c r="N1323">
        <v>169250</v>
      </c>
      <c r="P1323">
        <v>-579255</v>
      </c>
    </row>
    <row r="1324" spans="13:16" x14ac:dyDescent="0.3">
      <c r="M1324">
        <v>1322</v>
      </c>
      <c r="N1324">
        <v>-495363</v>
      </c>
      <c r="P1324">
        <v>379339</v>
      </c>
    </row>
    <row r="1325" spans="13:16" x14ac:dyDescent="0.3">
      <c r="M1325">
        <v>1323</v>
      </c>
      <c r="N1325">
        <v>-530496</v>
      </c>
      <c r="P1325">
        <v>-220211</v>
      </c>
    </row>
    <row r="1326" spans="13:16" x14ac:dyDescent="0.3">
      <c r="M1326">
        <v>1324</v>
      </c>
      <c r="N1326">
        <v>905673</v>
      </c>
      <c r="P1326">
        <v>826490</v>
      </c>
    </row>
    <row r="1327" spans="13:16" x14ac:dyDescent="0.3">
      <c r="M1327">
        <v>1325</v>
      </c>
      <c r="N1327">
        <v>328577</v>
      </c>
      <c r="P1327">
        <v>32267</v>
      </c>
    </row>
    <row r="1328" spans="13:16" x14ac:dyDescent="0.3">
      <c r="M1328">
        <v>1326</v>
      </c>
      <c r="N1328">
        <v>-726287</v>
      </c>
      <c r="P1328">
        <v>170206</v>
      </c>
    </row>
    <row r="1329" spans="13:16" x14ac:dyDescent="0.3">
      <c r="M1329">
        <v>1327</v>
      </c>
      <c r="N1329">
        <v>-331533</v>
      </c>
      <c r="P1329">
        <v>-63556</v>
      </c>
    </row>
    <row r="1330" spans="13:16" x14ac:dyDescent="0.3">
      <c r="M1330">
        <v>1328</v>
      </c>
      <c r="N1330">
        <v>362922</v>
      </c>
      <c r="P1330">
        <v>582022</v>
      </c>
    </row>
    <row r="1331" spans="13:16" x14ac:dyDescent="0.3">
      <c r="M1331">
        <v>1329</v>
      </c>
      <c r="N1331">
        <v>-627115</v>
      </c>
      <c r="P1331">
        <v>536522</v>
      </c>
    </row>
    <row r="1332" spans="13:16" x14ac:dyDescent="0.3">
      <c r="M1332">
        <v>1330</v>
      </c>
      <c r="N1332">
        <v>307398</v>
      </c>
      <c r="P1332">
        <v>-403643</v>
      </c>
    </row>
    <row r="1333" spans="13:16" x14ac:dyDescent="0.3">
      <c r="M1333">
        <v>1331</v>
      </c>
      <c r="N1333">
        <v>-146333</v>
      </c>
      <c r="P1333">
        <v>-80192</v>
      </c>
    </row>
    <row r="1334" spans="13:16" x14ac:dyDescent="0.3">
      <c r="M1334">
        <v>1332</v>
      </c>
      <c r="N1334">
        <v>-336122</v>
      </c>
      <c r="P1334">
        <v>324197</v>
      </c>
    </row>
    <row r="1335" spans="13:16" x14ac:dyDescent="0.3">
      <c r="M1335">
        <v>1333</v>
      </c>
      <c r="N1335">
        <v>-305816</v>
      </c>
      <c r="P1335">
        <v>-269048</v>
      </c>
    </row>
    <row r="1336" spans="13:16" x14ac:dyDescent="0.3">
      <c r="M1336">
        <v>1334</v>
      </c>
      <c r="N1336">
        <v>515628</v>
      </c>
      <c r="P1336">
        <v>-456216</v>
      </c>
    </row>
    <row r="1337" spans="13:16" x14ac:dyDescent="0.3">
      <c r="M1337">
        <v>1335</v>
      </c>
      <c r="N1337">
        <v>-151249</v>
      </c>
      <c r="P1337">
        <v>586806</v>
      </c>
    </row>
    <row r="1338" spans="13:16" x14ac:dyDescent="0.3">
      <c r="M1338">
        <v>1336</v>
      </c>
      <c r="N1338">
        <v>-210648</v>
      </c>
      <c r="P1338">
        <v>-391810</v>
      </c>
    </row>
    <row r="1339" spans="13:16" x14ac:dyDescent="0.3">
      <c r="M1339">
        <v>1337</v>
      </c>
      <c r="N1339">
        <v>-309933</v>
      </c>
      <c r="P1339">
        <v>-148924</v>
      </c>
    </row>
    <row r="1340" spans="13:16" x14ac:dyDescent="0.3">
      <c r="M1340">
        <v>1338</v>
      </c>
      <c r="N1340">
        <v>441926</v>
      </c>
      <c r="P1340">
        <v>652333</v>
      </c>
    </row>
    <row r="1341" spans="13:16" x14ac:dyDescent="0.3">
      <c r="M1341">
        <v>1339</v>
      </c>
      <c r="N1341">
        <v>-296735</v>
      </c>
      <c r="P1341">
        <v>-337141</v>
      </c>
    </row>
    <row r="1342" spans="13:16" x14ac:dyDescent="0.3">
      <c r="M1342">
        <v>1340</v>
      </c>
      <c r="N1342">
        <v>540614</v>
      </c>
      <c r="P1342">
        <v>-255071</v>
      </c>
    </row>
    <row r="1343" spans="13:16" x14ac:dyDescent="0.3">
      <c r="M1343">
        <v>1341</v>
      </c>
      <c r="N1343">
        <v>-230499</v>
      </c>
      <c r="P1343">
        <v>-35848</v>
      </c>
    </row>
    <row r="1344" spans="13:16" x14ac:dyDescent="0.3">
      <c r="M1344">
        <v>1342</v>
      </c>
      <c r="N1344">
        <v>-227051</v>
      </c>
      <c r="P1344">
        <v>16541</v>
      </c>
    </row>
    <row r="1345" spans="13:16" x14ac:dyDescent="0.3">
      <c r="M1345">
        <v>1343</v>
      </c>
      <c r="N1345">
        <v>-560538</v>
      </c>
      <c r="P1345">
        <v>-241829</v>
      </c>
    </row>
    <row r="1346" spans="13:16" x14ac:dyDescent="0.3">
      <c r="M1346">
        <v>1344</v>
      </c>
      <c r="N1346">
        <v>-278383</v>
      </c>
      <c r="P1346">
        <v>-587369</v>
      </c>
    </row>
    <row r="1347" spans="13:16" x14ac:dyDescent="0.3">
      <c r="M1347">
        <v>1345</v>
      </c>
      <c r="N1347">
        <v>287359</v>
      </c>
      <c r="P1347">
        <v>474105</v>
      </c>
    </row>
    <row r="1348" spans="13:16" x14ac:dyDescent="0.3">
      <c r="M1348">
        <v>1346</v>
      </c>
      <c r="N1348">
        <v>-200532</v>
      </c>
      <c r="P1348">
        <v>163304</v>
      </c>
    </row>
    <row r="1349" spans="13:16" x14ac:dyDescent="0.3">
      <c r="M1349">
        <v>1347</v>
      </c>
      <c r="N1349">
        <v>-504111</v>
      </c>
      <c r="P1349">
        <v>590948</v>
      </c>
    </row>
    <row r="1350" spans="13:16" x14ac:dyDescent="0.3">
      <c r="M1350">
        <v>1348</v>
      </c>
      <c r="N1350">
        <v>994955</v>
      </c>
      <c r="P1350">
        <v>256193</v>
      </c>
    </row>
    <row r="1351" spans="13:16" x14ac:dyDescent="0.3">
      <c r="M1351">
        <v>1349</v>
      </c>
      <c r="N1351">
        <v>77148</v>
      </c>
      <c r="P1351">
        <v>285756</v>
      </c>
    </row>
    <row r="1352" spans="13:16" x14ac:dyDescent="0.3">
      <c r="M1352">
        <v>1350</v>
      </c>
      <c r="N1352">
        <v>887658</v>
      </c>
      <c r="P1352">
        <v>-787003</v>
      </c>
    </row>
    <row r="1353" spans="13:16" x14ac:dyDescent="0.3">
      <c r="M1353">
        <v>1351</v>
      </c>
      <c r="N1353">
        <v>50539</v>
      </c>
      <c r="P1353">
        <v>271652</v>
      </c>
    </row>
    <row r="1354" spans="13:16" x14ac:dyDescent="0.3">
      <c r="M1354">
        <v>1352</v>
      </c>
      <c r="N1354">
        <v>105183</v>
      </c>
      <c r="P1354">
        <v>210902</v>
      </c>
    </row>
    <row r="1355" spans="13:16" x14ac:dyDescent="0.3">
      <c r="M1355">
        <v>1353</v>
      </c>
      <c r="N1355">
        <v>268404</v>
      </c>
      <c r="P1355">
        <v>79276</v>
      </c>
    </row>
    <row r="1356" spans="13:16" x14ac:dyDescent="0.3">
      <c r="M1356">
        <v>1354</v>
      </c>
      <c r="N1356">
        <v>94569</v>
      </c>
      <c r="P1356">
        <v>427513</v>
      </c>
    </row>
    <row r="1357" spans="13:16" x14ac:dyDescent="0.3">
      <c r="M1357">
        <v>1355</v>
      </c>
      <c r="N1357">
        <v>590140</v>
      </c>
      <c r="P1357">
        <v>-105827</v>
      </c>
    </row>
    <row r="1358" spans="13:16" x14ac:dyDescent="0.3">
      <c r="M1358">
        <v>1356</v>
      </c>
      <c r="N1358">
        <v>-319533</v>
      </c>
      <c r="P1358">
        <v>-85190</v>
      </c>
    </row>
    <row r="1359" spans="13:16" x14ac:dyDescent="0.3">
      <c r="M1359">
        <v>1357</v>
      </c>
      <c r="N1359">
        <v>280889</v>
      </c>
      <c r="P1359">
        <v>-234097</v>
      </c>
    </row>
    <row r="1360" spans="13:16" x14ac:dyDescent="0.3">
      <c r="M1360">
        <v>1358</v>
      </c>
      <c r="N1360">
        <v>-411429</v>
      </c>
      <c r="P1360">
        <v>-305381</v>
      </c>
    </row>
    <row r="1361" spans="13:16" x14ac:dyDescent="0.3">
      <c r="M1361">
        <v>1359</v>
      </c>
      <c r="N1361">
        <v>-181593</v>
      </c>
      <c r="P1361">
        <v>-488190</v>
      </c>
    </row>
    <row r="1362" spans="13:16" x14ac:dyDescent="0.3">
      <c r="M1362">
        <v>1360</v>
      </c>
      <c r="N1362">
        <v>-111105</v>
      </c>
      <c r="P1362">
        <v>-237955</v>
      </c>
    </row>
    <row r="1363" spans="13:16" x14ac:dyDescent="0.3">
      <c r="M1363">
        <v>1361</v>
      </c>
      <c r="N1363">
        <v>-120695</v>
      </c>
      <c r="P1363">
        <v>-41394</v>
      </c>
    </row>
    <row r="1364" spans="13:16" x14ac:dyDescent="0.3">
      <c r="M1364">
        <v>1362</v>
      </c>
      <c r="N1364">
        <v>-779690</v>
      </c>
      <c r="P1364">
        <v>-398610</v>
      </c>
    </row>
    <row r="1365" spans="13:16" x14ac:dyDescent="0.3">
      <c r="M1365">
        <v>1363</v>
      </c>
      <c r="N1365">
        <v>720435</v>
      </c>
      <c r="P1365">
        <v>-441732</v>
      </c>
    </row>
    <row r="1366" spans="13:16" x14ac:dyDescent="0.3">
      <c r="M1366">
        <v>1364</v>
      </c>
      <c r="N1366">
        <v>410305</v>
      </c>
      <c r="P1366">
        <v>287488</v>
      </c>
    </row>
    <row r="1367" spans="13:16" x14ac:dyDescent="0.3">
      <c r="M1367">
        <v>1365</v>
      </c>
      <c r="N1367">
        <v>-291203</v>
      </c>
      <c r="P1367">
        <v>387922</v>
      </c>
    </row>
    <row r="1368" spans="13:16" x14ac:dyDescent="0.3">
      <c r="M1368">
        <v>1366</v>
      </c>
      <c r="N1368">
        <v>-316394</v>
      </c>
      <c r="P1368">
        <v>-139282</v>
      </c>
    </row>
    <row r="1369" spans="13:16" x14ac:dyDescent="0.3">
      <c r="M1369">
        <v>1367</v>
      </c>
      <c r="N1369">
        <v>329777</v>
      </c>
      <c r="P1369">
        <v>-630825</v>
      </c>
    </row>
    <row r="1370" spans="13:16" x14ac:dyDescent="0.3">
      <c r="M1370">
        <v>1368</v>
      </c>
      <c r="N1370">
        <v>575049</v>
      </c>
      <c r="P1370">
        <v>-304059</v>
      </c>
    </row>
    <row r="1371" spans="13:16" x14ac:dyDescent="0.3">
      <c r="M1371">
        <v>1369</v>
      </c>
      <c r="N1371">
        <v>895317</v>
      </c>
      <c r="P1371">
        <v>-33985</v>
      </c>
    </row>
    <row r="1372" spans="13:16" x14ac:dyDescent="0.3">
      <c r="M1372">
        <v>1370</v>
      </c>
      <c r="N1372">
        <v>822101</v>
      </c>
      <c r="P1372">
        <v>1161734</v>
      </c>
    </row>
    <row r="1373" spans="13:16" x14ac:dyDescent="0.3">
      <c r="M1373">
        <v>1371</v>
      </c>
      <c r="N1373">
        <v>-113218</v>
      </c>
      <c r="P1373">
        <v>434966</v>
      </c>
    </row>
    <row r="1374" spans="13:16" x14ac:dyDescent="0.3">
      <c r="M1374">
        <v>1372</v>
      </c>
      <c r="N1374">
        <v>-551207</v>
      </c>
      <c r="P1374">
        <v>-355763</v>
      </c>
    </row>
    <row r="1375" spans="13:16" x14ac:dyDescent="0.3">
      <c r="M1375">
        <v>1373</v>
      </c>
      <c r="N1375">
        <v>279488</v>
      </c>
      <c r="P1375">
        <v>-129909</v>
      </c>
    </row>
    <row r="1376" spans="13:16" x14ac:dyDescent="0.3">
      <c r="M1376">
        <v>1374</v>
      </c>
      <c r="N1376">
        <v>-650577</v>
      </c>
      <c r="P1376">
        <v>417785</v>
      </c>
    </row>
    <row r="1377" spans="13:16" x14ac:dyDescent="0.3">
      <c r="M1377">
        <v>1375</v>
      </c>
      <c r="N1377">
        <v>-56616</v>
      </c>
      <c r="P1377">
        <v>423188</v>
      </c>
    </row>
    <row r="1378" spans="13:16" x14ac:dyDescent="0.3">
      <c r="M1378">
        <v>1376</v>
      </c>
      <c r="N1378">
        <v>313441</v>
      </c>
      <c r="P1378">
        <v>76746</v>
      </c>
    </row>
    <row r="1379" spans="13:16" x14ac:dyDescent="0.3">
      <c r="M1379">
        <v>1377</v>
      </c>
      <c r="N1379">
        <v>656905</v>
      </c>
      <c r="P1379">
        <v>-264646</v>
      </c>
    </row>
    <row r="1380" spans="13:16" x14ac:dyDescent="0.3">
      <c r="M1380">
        <v>1378</v>
      </c>
      <c r="N1380">
        <v>-106640</v>
      </c>
      <c r="P1380">
        <v>176800</v>
      </c>
    </row>
    <row r="1381" spans="13:16" x14ac:dyDescent="0.3">
      <c r="M1381">
        <v>1379</v>
      </c>
      <c r="N1381">
        <v>-664759</v>
      </c>
      <c r="P1381">
        <v>-204009</v>
      </c>
    </row>
    <row r="1382" spans="13:16" x14ac:dyDescent="0.3">
      <c r="M1382">
        <v>1380</v>
      </c>
      <c r="N1382">
        <v>326868</v>
      </c>
      <c r="P1382">
        <v>314746</v>
      </c>
    </row>
    <row r="1383" spans="13:16" x14ac:dyDescent="0.3">
      <c r="M1383">
        <v>1381</v>
      </c>
      <c r="N1383">
        <v>-344616</v>
      </c>
      <c r="P1383">
        <v>841808</v>
      </c>
    </row>
    <row r="1384" spans="13:16" x14ac:dyDescent="0.3">
      <c r="M1384">
        <v>1382</v>
      </c>
      <c r="N1384">
        <v>382740</v>
      </c>
      <c r="P1384">
        <v>741664</v>
      </c>
    </row>
    <row r="1385" spans="13:16" x14ac:dyDescent="0.3">
      <c r="M1385">
        <v>1383</v>
      </c>
      <c r="N1385">
        <v>175695</v>
      </c>
      <c r="P1385">
        <v>-59915</v>
      </c>
    </row>
    <row r="1386" spans="13:16" x14ac:dyDescent="0.3">
      <c r="M1386">
        <v>1384</v>
      </c>
      <c r="N1386">
        <v>-4583</v>
      </c>
      <c r="P1386">
        <v>-136745</v>
      </c>
    </row>
    <row r="1387" spans="13:16" x14ac:dyDescent="0.3">
      <c r="M1387">
        <v>1385</v>
      </c>
      <c r="N1387">
        <v>416148</v>
      </c>
      <c r="P1387">
        <v>160093</v>
      </c>
    </row>
    <row r="1388" spans="13:16" x14ac:dyDescent="0.3">
      <c r="M1388">
        <v>1386</v>
      </c>
      <c r="N1388">
        <v>-37089</v>
      </c>
      <c r="P1388">
        <v>-236398</v>
      </c>
    </row>
    <row r="1389" spans="13:16" x14ac:dyDescent="0.3">
      <c r="M1389">
        <v>1387</v>
      </c>
      <c r="N1389">
        <v>268291</v>
      </c>
      <c r="P1389">
        <v>-62861</v>
      </c>
    </row>
    <row r="1390" spans="13:16" x14ac:dyDescent="0.3">
      <c r="M1390">
        <v>1388</v>
      </c>
      <c r="N1390">
        <v>-262694</v>
      </c>
      <c r="P1390">
        <v>-544678</v>
      </c>
    </row>
    <row r="1391" spans="13:16" x14ac:dyDescent="0.3">
      <c r="M1391">
        <v>1389</v>
      </c>
      <c r="N1391">
        <v>-497937</v>
      </c>
      <c r="P1391">
        <v>-7458</v>
      </c>
    </row>
    <row r="1392" spans="13:16" x14ac:dyDescent="0.3">
      <c r="M1392">
        <v>1390</v>
      </c>
      <c r="N1392">
        <v>-90847</v>
      </c>
      <c r="P1392">
        <v>410858</v>
      </c>
    </row>
    <row r="1393" spans="13:16" x14ac:dyDescent="0.3">
      <c r="M1393">
        <v>1391</v>
      </c>
      <c r="N1393">
        <v>575292</v>
      </c>
      <c r="P1393">
        <v>655836</v>
      </c>
    </row>
    <row r="1394" spans="13:16" x14ac:dyDescent="0.3">
      <c r="M1394">
        <v>1392</v>
      </c>
      <c r="N1394">
        <v>380795</v>
      </c>
      <c r="P1394">
        <v>167725</v>
      </c>
    </row>
    <row r="1395" spans="13:16" x14ac:dyDescent="0.3">
      <c r="M1395">
        <v>1393</v>
      </c>
      <c r="N1395">
        <v>207113</v>
      </c>
      <c r="P1395">
        <v>-4288</v>
      </c>
    </row>
    <row r="1396" spans="13:16" x14ac:dyDescent="0.3">
      <c r="M1396">
        <v>1394</v>
      </c>
      <c r="N1396">
        <v>-44563</v>
      </c>
      <c r="P1396">
        <v>-188415</v>
      </c>
    </row>
    <row r="1397" spans="13:16" x14ac:dyDescent="0.3">
      <c r="M1397">
        <v>1395</v>
      </c>
      <c r="N1397">
        <v>-461951</v>
      </c>
      <c r="P1397">
        <v>43097</v>
      </c>
    </row>
    <row r="1398" spans="13:16" x14ac:dyDescent="0.3">
      <c r="M1398">
        <v>1396</v>
      </c>
      <c r="N1398">
        <v>32505</v>
      </c>
      <c r="P1398">
        <v>627728</v>
      </c>
    </row>
    <row r="1399" spans="13:16" x14ac:dyDescent="0.3">
      <c r="M1399">
        <v>1397</v>
      </c>
      <c r="N1399">
        <v>-256829</v>
      </c>
      <c r="P1399">
        <v>422269</v>
      </c>
    </row>
    <row r="1400" spans="13:16" x14ac:dyDescent="0.3">
      <c r="M1400">
        <v>1398</v>
      </c>
      <c r="N1400">
        <v>344430</v>
      </c>
      <c r="P1400">
        <v>758018</v>
      </c>
    </row>
    <row r="1401" spans="13:16" x14ac:dyDescent="0.3">
      <c r="M1401">
        <v>1399</v>
      </c>
      <c r="N1401">
        <v>469697</v>
      </c>
      <c r="P1401">
        <v>809951</v>
      </c>
    </row>
    <row r="1402" spans="13:16" x14ac:dyDescent="0.3">
      <c r="M1402">
        <v>1400</v>
      </c>
      <c r="N1402">
        <v>-707146</v>
      </c>
      <c r="P1402">
        <v>348634</v>
      </c>
    </row>
    <row r="1403" spans="13:16" x14ac:dyDescent="0.3">
      <c r="M1403">
        <v>1401</v>
      </c>
      <c r="N1403">
        <v>-534775</v>
      </c>
      <c r="P1403">
        <v>436029</v>
      </c>
    </row>
    <row r="1404" spans="13:16" x14ac:dyDescent="0.3">
      <c r="M1404">
        <v>1402</v>
      </c>
      <c r="N1404">
        <v>434422</v>
      </c>
      <c r="P1404">
        <v>-665954</v>
      </c>
    </row>
    <row r="1405" spans="13:16" x14ac:dyDescent="0.3">
      <c r="M1405">
        <v>1403</v>
      </c>
      <c r="N1405">
        <v>80757</v>
      </c>
      <c r="P1405">
        <v>665690</v>
      </c>
    </row>
    <row r="1406" spans="13:16" x14ac:dyDescent="0.3">
      <c r="M1406">
        <v>1404</v>
      </c>
      <c r="N1406">
        <v>-431169</v>
      </c>
      <c r="P1406">
        <v>322853</v>
      </c>
    </row>
    <row r="1407" spans="13:16" x14ac:dyDescent="0.3">
      <c r="M1407">
        <v>1405</v>
      </c>
      <c r="N1407">
        <v>440671</v>
      </c>
      <c r="P1407">
        <v>-604408</v>
      </c>
    </row>
    <row r="1408" spans="13:16" x14ac:dyDescent="0.3">
      <c r="M1408">
        <v>1406</v>
      </c>
      <c r="N1408">
        <v>-417776</v>
      </c>
      <c r="P1408">
        <v>-396047</v>
      </c>
    </row>
    <row r="1409" spans="13:16" x14ac:dyDescent="0.3">
      <c r="M1409">
        <v>1407</v>
      </c>
      <c r="N1409">
        <v>557225</v>
      </c>
      <c r="P1409">
        <v>719892</v>
      </c>
    </row>
    <row r="1410" spans="13:16" x14ac:dyDescent="0.3">
      <c r="M1410">
        <v>1408</v>
      </c>
      <c r="N1410">
        <v>-77561</v>
      </c>
      <c r="P1410">
        <v>-460005</v>
      </c>
    </row>
    <row r="1411" spans="13:16" x14ac:dyDescent="0.3">
      <c r="M1411">
        <v>1409</v>
      </c>
      <c r="N1411">
        <v>649242</v>
      </c>
      <c r="P1411">
        <v>399361</v>
      </c>
    </row>
    <row r="1412" spans="13:16" x14ac:dyDescent="0.3">
      <c r="M1412">
        <v>1410</v>
      </c>
      <c r="N1412">
        <v>702484</v>
      </c>
      <c r="P1412">
        <v>-43635</v>
      </c>
    </row>
    <row r="1413" spans="13:16" x14ac:dyDescent="0.3">
      <c r="M1413">
        <v>1411</v>
      </c>
      <c r="N1413">
        <v>931676</v>
      </c>
      <c r="P1413">
        <v>-671986</v>
      </c>
    </row>
    <row r="1414" spans="13:16" x14ac:dyDescent="0.3">
      <c r="M1414">
        <v>1412</v>
      </c>
      <c r="N1414">
        <v>-538401</v>
      </c>
      <c r="P1414">
        <v>-727669</v>
      </c>
    </row>
    <row r="1415" spans="13:16" x14ac:dyDescent="0.3">
      <c r="M1415">
        <v>1413</v>
      </c>
      <c r="N1415">
        <v>584538</v>
      </c>
      <c r="P1415">
        <v>266946</v>
      </c>
    </row>
    <row r="1416" spans="13:16" x14ac:dyDescent="0.3">
      <c r="M1416">
        <v>1414</v>
      </c>
      <c r="N1416">
        <v>191993</v>
      </c>
      <c r="P1416">
        <v>494636</v>
      </c>
    </row>
    <row r="1417" spans="13:16" x14ac:dyDescent="0.3">
      <c r="M1417">
        <v>1415</v>
      </c>
      <c r="N1417">
        <v>-637511</v>
      </c>
      <c r="P1417">
        <v>-465703</v>
      </c>
    </row>
    <row r="1418" spans="13:16" x14ac:dyDescent="0.3">
      <c r="M1418">
        <v>1416</v>
      </c>
      <c r="N1418">
        <v>-373904</v>
      </c>
      <c r="P1418">
        <v>-420752</v>
      </c>
    </row>
    <row r="1419" spans="13:16" x14ac:dyDescent="0.3">
      <c r="M1419">
        <v>1417</v>
      </c>
      <c r="N1419">
        <v>465939</v>
      </c>
      <c r="P1419">
        <v>-181496</v>
      </c>
    </row>
    <row r="1420" spans="13:16" x14ac:dyDescent="0.3">
      <c r="M1420">
        <v>1418</v>
      </c>
      <c r="N1420">
        <v>-11310</v>
      </c>
      <c r="P1420">
        <v>-142304</v>
      </c>
    </row>
    <row r="1421" spans="13:16" x14ac:dyDescent="0.3">
      <c r="M1421">
        <v>1419</v>
      </c>
      <c r="N1421">
        <v>901273</v>
      </c>
      <c r="P1421">
        <v>-440553</v>
      </c>
    </row>
    <row r="1422" spans="13:16" x14ac:dyDescent="0.3">
      <c r="M1422">
        <v>1420</v>
      </c>
      <c r="N1422">
        <v>-332540</v>
      </c>
      <c r="P1422">
        <v>153444</v>
      </c>
    </row>
    <row r="1423" spans="13:16" x14ac:dyDescent="0.3">
      <c r="M1423">
        <v>1421</v>
      </c>
      <c r="N1423">
        <v>-254237</v>
      </c>
      <c r="P1423">
        <v>-686297</v>
      </c>
    </row>
    <row r="1424" spans="13:16" x14ac:dyDescent="0.3">
      <c r="M1424">
        <v>1422</v>
      </c>
      <c r="N1424">
        <v>712439</v>
      </c>
      <c r="P1424">
        <v>266376</v>
      </c>
    </row>
    <row r="1425" spans="13:16" x14ac:dyDescent="0.3">
      <c r="M1425">
        <v>1423</v>
      </c>
      <c r="N1425">
        <v>-286574</v>
      </c>
      <c r="P1425">
        <v>-360966</v>
      </c>
    </row>
    <row r="1426" spans="13:16" x14ac:dyDescent="0.3">
      <c r="M1426">
        <v>1424</v>
      </c>
      <c r="N1426">
        <v>286136</v>
      </c>
      <c r="P1426">
        <v>678766</v>
      </c>
    </row>
    <row r="1427" spans="13:16" x14ac:dyDescent="0.3">
      <c r="M1427">
        <v>1425</v>
      </c>
      <c r="N1427">
        <v>-102177</v>
      </c>
      <c r="P1427">
        <v>995182</v>
      </c>
    </row>
    <row r="1428" spans="13:16" x14ac:dyDescent="0.3">
      <c r="M1428">
        <v>1426</v>
      </c>
      <c r="N1428">
        <v>328885</v>
      </c>
      <c r="P1428">
        <v>-334045</v>
      </c>
    </row>
    <row r="1429" spans="13:16" x14ac:dyDescent="0.3">
      <c r="M1429">
        <v>1427</v>
      </c>
      <c r="N1429">
        <v>290223</v>
      </c>
      <c r="P1429">
        <v>219209</v>
      </c>
    </row>
    <row r="1430" spans="13:16" x14ac:dyDescent="0.3">
      <c r="M1430">
        <v>1428</v>
      </c>
      <c r="N1430">
        <v>609720</v>
      </c>
      <c r="P1430">
        <v>121125</v>
      </c>
    </row>
    <row r="1431" spans="13:16" x14ac:dyDescent="0.3">
      <c r="M1431">
        <v>1429</v>
      </c>
      <c r="N1431">
        <v>-34236</v>
      </c>
      <c r="P1431">
        <v>56716</v>
      </c>
    </row>
    <row r="1432" spans="13:16" x14ac:dyDescent="0.3">
      <c r="M1432">
        <v>1430</v>
      </c>
      <c r="N1432">
        <v>-183736</v>
      </c>
      <c r="P1432">
        <v>249285</v>
      </c>
    </row>
    <row r="1433" spans="13:16" x14ac:dyDescent="0.3">
      <c r="M1433">
        <v>1431</v>
      </c>
      <c r="N1433">
        <v>-321018</v>
      </c>
      <c r="P1433">
        <v>-279047</v>
      </c>
    </row>
    <row r="1434" spans="13:16" x14ac:dyDescent="0.3">
      <c r="M1434">
        <v>1432</v>
      </c>
      <c r="N1434">
        <v>259663</v>
      </c>
      <c r="P1434">
        <v>-494241</v>
      </c>
    </row>
    <row r="1435" spans="13:16" x14ac:dyDescent="0.3">
      <c r="M1435">
        <v>1433</v>
      </c>
      <c r="N1435">
        <v>-528424</v>
      </c>
      <c r="P1435">
        <v>329462</v>
      </c>
    </row>
    <row r="1436" spans="13:16" x14ac:dyDescent="0.3">
      <c r="M1436">
        <v>1434</v>
      </c>
      <c r="N1436">
        <v>-402787</v>
      </c>
      <c r="P1436">
        <v>-307976</v>
      </c>
    </row>
    <row r="1437" spans="13:16" x14ac:dyDescent="0.3">
      <c r="M1437">
        <v>1435</v>
      </c>
      <c r="N1437">
        <v>135951</v>
      </c>
      <c r="P1437">
        <v>75132</v>
      </c>
    </row>
    <row r="1438" spans="13:16" x14ac:dyDescent="0.3">
      <c r="M1438">
        <v>1436</v>
      </c>
      <c r="N1438">
        <v>-443032</v>
      </c>
      <c r="P1438">
        <v>-298500</v>
      </c>
    </row>
    <row r="1439" spans="13:16" x14ac:dyDescent="0.3">
      <c r="M1439">
        <v>1437</v>
      </c>
      <c r="N1439">
        <v>-335480</v>
      </c>
      <c r="P1439">
        <v>370752</v>
      </c>
    </row>
    <row r="1440" spans="13:16" x14ac:dyDescent="0.3">
      <c r="M1440">
        <v>1438</v>
      </c>
      <c r="N1440">
        <v>41597</v>
      </c>
      <c r="P1440">
        <v>411659</v>
      </c>
    </row>
    <row r="1441" spans="13:16" x14ac:dyDescent="0.3">
      <c r="M1441">
        <v>1439</v>
      </c>
      <c r="N1441">
        <v>-730578</v>
      </c>
      <c r="P1441">
        <v>322702</v>
      </c>
    </row>
    <row r="1442" spans="13:16" x14ac:dyDescent="0.3">
      <c r="M1442">
        <v>1440</v>
      </c>
      <c r="N1442">
        <v>-385035</v>
      </c>
      <c r="P1442">
        <v>-41145</v>
      </c>
    </row>
    <row r="1443" spans="13:16" x14ac:dyDescent="0.3">
      <c r="M1443">
        <v>1441</v>
      </c>
      <c r="N1443">
        <v>491958</v>
      </c>
      <c r="P1443">
        <v>271874</v>
      </c>
    </row>
    <row r="1444" spans="13:16" x14ac:dyDescent="0.3">
      <c r="M1444">
        <v>1442</v>
      </c>
      <c r="N1444">
        <v>615799</v>
      </c>
      <c r="P1444">
        <v>-400144</v>
      </c>
    </row>
    <row r="1445" spans="13:16" x14ac:dyDescent="0.3">
      <c r="M1445">
        <v>1443</v>
      </c>
      <c r="N1445">
        <v>-16132</v>
      </c>
      <c r="P1445">
        <v>31411</v>
      </c>
    </row>
    <row r="1446" spans="13:16" x14ac:dyDescent="0.3">
      <c r="M1446">
        <v>1444</v>
      </c>
      <c r="N1446">
        <v>-673596</v>
      </c>
      <c r="P1446">
        <v>564970</v>
      </c>
    </row>
    <row r="1447" spans="13:16" x14ac:dyDescent="0.3">
      <c r="M1447">
        <v>1445</v>
      </c>
      <c r="N1447">
        <v>-548033</v>
      </c>
      <c r="P1447">
        <v>-85692</v>
      </c>
    </row>
    <row r="1448" spans="13:16" x14ac:dyDescent="0.3">
      <c r="M1448">
        <v>1446</v>
      </c>
      <c r="N1448">
        <v>672727</v>
      </c>
      <c r="P1448">
        <v>-42132</v>
      </c>
    </row>
    <row r="1449" spans="13:16" x14ac:dyDescent="0.3">
      <c r="M1449">
        <v>1447</v>
      </c>
      <c r="N1449">
        <v>413986</v>
      </c>
      <c r="P1449">
        <v>-270228</v>
      </c>
    </row>
    <row r="1450" spans="13:16" x14ac:dyDescent="0.3">
      <c r="M1450">
        <v>1448</v>
      </c>
      <c r="N1450">
        <v>-682865</v>
      </c>
      <c r="P1450">
        <v>87270</v>
      </c>
    </row>
    <row r="1451" spans="13:16" x14ac:dyDescent="0.3">
      <c r="M1451">
        <v>1449</v>
      </c>
      <c r="N1451">
        <v>571754</v>
      </c>
      <c r="P1451">
        <v>447296</v>
      </c>
    </row>
    <row r="1452" spans="13:16" x14ac:dyDescent="0.3">
      <c r="M1452">
        <v>1450</v>
      </c>
      <c r="N1452">
        <v>93347</v>
      </c>
      <c r="P1452">
        <v>407487</v>
      </c>
    </row>
    <row r="1453" spans="13:16" x14ac:dyDescent="0.3">
      <c r="M1453">
        <v>1451</v>
      </c>
      <c r="N1453">
        <v>80615</v>
      </c>
      <c r="P1453">
        <v>-266226</v>
      </c>
    </row>
    <row r="1454" spans="13:16" x14ac:dyDescent="0.3">
      <c r="M1454">
        <v>1452</v>
      </c>
      <c r="N1454">
        <v>17034</v>
      </c>
      <c r="P1454">
        <v>-61937</v>
      </c>
    </row>
    <row r="1455" spans="13:16" x14ac:dyDescent="0.3">
      <c r="M1455">
        <v>1453</v>
      </c>
      <c r="N1455">
        <v>-91424</v>
      </c>
      <c r="P1455">
        <v>-176992</v>
      </c>
    </row>
    <row r="1456" spans="13:16" x14ac:dyDescent="0.3">
      <c r="M1456">
        <v>1454</v>
      </c>
      <c r="N1456">
        <v>1011524</v>
      </c>
      <c r="P1456">
        <v>234864</v>
      </c>
    </row>
    <row r="1457" spans="13:16" x14ac:dyDescent="0.3">
      <c r="M1457">
        <v>1455</v>
      </c>
      <c r="N1457">
        <v>-175475</v>
      </c>
      <c r="P1457">
        <v>174853</v>
      </c>
    </row>
    <row r="1458" spans="13:16" x14ac:dyDescent="0.3">
      <c r="M1458">
        <v>1456</v>
      </c>
      <c r="N1458">
        <v>-458082</v>
      </c>
      <c r="P1458">
        <v>-573848</v>
      </c>
    </row>
    <row r="1459" spans="13:16" x14ac:dyDescent="0.3">
      <c r="M1459">
        <v>1457</v>
      </c>
      <c r="N1459">
        <v>265518</v>
      </c>
      <c r="P1459">
        <v>-321511</v>
      </c>
    </row>
    <row r="1460" spans="13:16" x14ac:dyDescent="0.3">
      <c r="M1460">
        <v>1458</v>
      </c>
      <c r="N1460">
        <v>1036112</v>
      </c>
      <c r="P1460">
        <v>-269625</v>
      </c>
    </row>
    <row r="1461" spans="13:16" x14ac:dyDescent="0.3">
      <c r="M1461">
        <v>1459</v>
      </c>
      <c r="N1461">
        <v>237897</v>
      </c>
      <c r="P1461">
        <v>132932</v>
      </c>
    </row>
    <row r="1462" spans="13:16" x14ac:dyDescent="0.3">
      <c r="M1462">
        <v>1460</v>
      </c>
      <c r="N1462">
        <v>484095</v>
      </c>
      <c r="P1462">
        <v>-309503</v>
      </c>
    </row>
    <row r="1463" spans="13:16" x14ac:dyDescent="0.3">
      <c r="M1463">
        <v>1461</v>
      </c>
      <c r="N1463">
        <v>-40734</v>
      </c>
      <c r="P1463">
        <v>-321177</v>
      </c>
    </row>
    <row r="1464" spans="13:16" x14ac:dyDescent="0.3">
      <c r="M1464">
        <v>1462</v>
      </c>
      <c r="N1464">
        <v>-363842</v>
      </c>
      <c r="P1464">
        <v>-581243</v>
      </c>
    </row>
    <row r="1465" spans="13:16" x14ac:dyDescent="0.3">
      <c r="M1465">
        <v>1463</v>
      </c>
      <c r="N1465">
        <v>344051</v>
      </c>
      <c r="P1465">
        <v>-388196</v>
      </c>
    </row>
    <row r="1466" spans="13:16" x14ac:dyDescent="0.3">
      <c r="M1466">
        <v>1464</v>
      </c>
      <c r="N1466">
        <v>660110</v>
      </c>
      <c r="P1466">
        <v>715101</v>
      </c>
    </row>
    <row r="1467" spans="13:16" x14ac:dyDescent="0.3">
      <c r="M1467">
        <v>1465</v>
      </c>
      <c r="N1467">
        <v>258469</v>
      </c>
      <c r="P1467">
        <v>603441</v>
      </c>
    </row>
    <row r="1468" spans="13:16" x14ac:dyDescent="0.3">
      <c r="M1468">
        <v>1466</v>
      </c>
      <c r="N1468">
        <v>-656336</v>
      </c>
      <c r="P1468">
        <v>109542</v>
      </c>
    </row>
    <row r="1469" spans="13:16" x14ac:dyDescent="0.3">
      <c r="M1469">
        <v>1467</v>
      </c>
      <c r="N1469">
        <v>17836</v>
      </c>
      <c r="P1469">
        <v>-470586</v>
      </c>
    </row>
    <row r="1470" spans="13:16" x14ac:dyDescent="0.3">
      <c r="M1470">
        <v>1468</v>
      </c>
      <c r="N1470">
        <v>578580</v>
      </c>
      <c r="P1470">
        <v>-9297</v>
      </c>
    </row>
    <row r="1471" spans="13:16" x14ac:dyDescent="0.3">
      <c r="M1471">
        <v>1469</v>
      </c>
      <c r="N1471">
        <v>495253</v>
      </c>
      <c r="P1471">
        <v>543025</v>
      </c>
    </row>
    <row r="1472" spans="13:16" x14ac:dyDescent="0.3">
      <c r="M1472">
        <v>1470</v>
      </c>
      <c r="N1472">
        <v>434296</v>
      </c>
      <c r="P1472">
        <v>325228</v>
      </c>
    </row>
    <row r="1473" spans="13:16" x14ac:dyDescent="0.3">
      <c r="M1473">
        <v>1471</v>
      </c>
      <c r="N1473">
        <v>-13232</v>
      </c>
      <c r="P1473">
        <v>504925</v>
      </c>
    </row>
    <row r="1474" spans="13:16" x14ac:dyDescent="0.3">
      <c r="M1474">
        <v>1472</v>
      </c>
      <c r="N1474">
        <v>-113398</v>
      </c>
      <c r="P1474">
        <v>262075</v>
      </c>
    </row>
    <row r="1475" spans="13:16" x14ac:dyDescent="0.3">
      <c r="M1475">
        <v>1473</v>
      </c>
      <c r="N1475">
        <v>419022</v>
      </c>
      <c r="P1475">
        <v>-302112</v>
      </c>
    </row>
    <row r="1476" spans="13:16" x14ac:dyDescent="0.3">
      <c r="M1476">
        <v>1474</v>
      </c>
      <c r="N1476">
        <v>378102</v>
      </c>
      <c r="P1476">
        <v>549874</v>
      </c>
    </row>
    <row r="1477" spans="13:16" x14ac:dyDescent="0.3">
      <c r="M1477">
        <v>1475</v>
      </c>
      <c r="N1477">
        <v>-731676</v>
      </c>
      <c r="P1477">
        <v>351285</v>
      </c>
    </row>
    <row r="1478" spans="13:16" x14ac:dyDescent="0.3">
      <c r="M1478">
        <v>1476</v>
      </c>
      <c r="N1478">
        <v>-412585</v>
      </c>
      <c r="P1478">
        <v>170246</v>
      </c>
    </row>
    <row r="1479" spans="13:16" x14ac:dyDescent="0.3">
      <c r="M1479">
        <v>1477</v>
      </c>
      <c r="N1479">
        <v>-152680</v>
      </c>
      <c r="P1479">
        <v>230376</v>
      </c>
    </row>
    <row r="1480" spans="13:16" x14ac:dyDescent="0.3">
      <c r="M1480">
        <v>1478</v>
      </c>
      <c r="N1480">
        <v>181180</v>
      </c>
      <c r="P1480">
        <v>-81022</v>
      </c>
    </row>
    <row r="1481" spans="13:16" x14ac:dyDescent="0.3">
      <c r="M1481">
        <v>1479</v>
      </c>
      <c r="N1481">
        <v>142736</v>
      </c>
      <c r="P1481">
        <v>142420</v>
      </c>
    </row>
    <row r="1482" spans="13:16" x14ac:dyDescent="0.3">
      <c r="M1482">
        <v>1480</v>
      </c>
      <c r="N1482">
        <v>-100547</v>
      </c>
      <c r="P1482">
        <v>-656284</v>
      </c>
    </row>
    <row r="1483" spans="13:16" x14ac:dyDescent="0.3">
      <c r="M1483">
        <v>1481</v>
      </c>
      <c r="N1483">
        <v>-385995</v>
      </c>
      <c r="P1483">
        <v>708236</v>
      </c>
    </row>
    <row r="1484" spans="13:16" x14ac:dyDescent="0.3">
      <c r="M1484">
        <v>1482</v>
      </c>
      <c r="N1484">
        <v>348167</v>
      </c>
      <c r="P1484">
        <v>658331</v>
      </c>
    </row>
    <row r="1485" spans="13:16" x14ac:dyDescent="0.3">
      <c r="M1485">
        <v>1483</v>
      </c>
      <c r="N1485">
        <v>-34981</v>
      </c>
      <c r="P1485">
        <v>-374703</v>
      </c>
    </row>
    <row r="1486" spans="13:16" x14ac:dyDescent="0.3">
      <c r="M1486">
        <v>1484</v>
      </c>
      <c r="N1486">
        <v>519189</v>
      </c>
      <c r="P1486">
        <v>-678055</v>
      </c>
    </row>
    <row r="1487" spans="13:16" x14ac:dyDescent="0.3">
      <c r="M1487">
        <v>1485</v>
      </c>
      <c r="N1487">
        <v>-37821</v>
      </c>
      <c r="P1487">
        <v>260656</v>
      </c>
    </row>
    <row r="1488" spans="13:16" x14ac:dyDescent="0.3">
      <c r="M1488">
        <v>1486</v>
      </c>
      <c r="N1488">
        <v>-656237</v>
      </c>
      <c r="P1488">
        <v>-60013</v>
      </c>
    </row>
    <row r="1489" spans="13:16" x14ac:dyDescent="0.3">
      <c r="M1489">
        <v>1487</v>
      </c>
      <c r="N1489">
        <v>451894</v>
      </c>
      <c r="P1489">
        <v>-109788</v>
      </c>
    </row>
    <row r="1490" spans="13:16" x14ac:dyDescent="0.3">
      <c r="M1490">
        <v>1488</v>
      </c>
      <c r="N1490">
        <v>-69317</v>
      </c>
      <c r="P1490">
        <v>-51949</v>
      </c>
    </row>
    <row r="1491" spans="13:16" x14ac:dyDescent="0.3">
      <c r="M1491">
        <v>1489</v>
      </c>
      <c r="N1491">
        <v>-286098</v>
      </c>
      <c r="P1491">
        <v>282026</v>
      </c>
    </row>
    <row r="1492" spans="13:16" x14ac:dyDescent="0.3">
      <c r="M1492">
        <v>1490</v>
      </c>
      <c r="N1492">
        <v>-359048</v>
      </c>
      <c r="P1492">
        <v>172818</v>
      </c>
    </row>
    <row r="1493" spans="13:16" x14ac:dyDescent="0.3">
      <c r="M1493">
        <v>1491</v>
      </c>
      <c r="N1493">
        <v>243978</v>
      </c>
      <c r="P1493">
        <v>-443999</v>
      </c>
    </row>
    <row r="1494" spans="13:16" x14ac:dyDescent="0.3">
      <c r="M1494">
        <v>1492</v>
      </c>
      <c r="N1494">
        <v>-438971</v>
      </c>
      <c r="P1494">
        <v>-134418</v>
      </c>
    </row>
    <row r="1495" spans="13:16" x14ac:dyDescent="0.3">
      <c r="M1495">
        <v>1493</v>
      </c>
      <c r="N1495">
        <v>-118620</v>
      </c>
      <c r="P1495">
        <v>261507</v>
      </c>
    </row>
    <row r="1496" spans="13:16" x14ac:dyDescent="0.3">
      <c r="M1496">
        <v>1494</v>
      </c>
      <c r="N1496">
        <v>381407</v>
      </c>
      <c r="P1496">
        <v>351755</v>
      </c>
    </row>
    <row r="1497" spans="13:16" x14ac:dyDescent="0.3">
      <c r="M1497">
        <v>1495</v>
      </c>
      <c r="N1497">
        <v>-44386</v>
      </c>
      <c r="P1497">
        <v>-453291</v>
      </c>
    </row>
    <row r="1498" spans="13:16" x14ac:dyDescent="0.3">
      <c r="M1498">
        <v>1496</v>
      </c>
      <c r="N1498">
        <v>291724</v>
      </c>
      <c r="P1498">
        <v>95429</v>
      </c>
    </row>
    <row r="1499" spans="13:16" x14ac:dyDescent="0.3">
      <c r="M1499">
        <v>1497</v>
      </c>
      <c r="N1499">
        <v>190553</v>
      </c>
      <c r="P1499">
        <v>-124574</v>
      </c>
    </row>
    <row r="1500" spans="13:16" x14ac:dyDescent="0.3">
      <c r="M1500">
        <v>1498</v>
      </c>
      <c r="N1500">
        <v>383922</v>
      </c>
      <c r="P1500">
        <v>-101802</v>
      </c>
    </row>
    <row r="1501" spans="13:16" x14ac:dyDescent="0.3">
      <c r="M1501">
        <v>1499</v>
      </c>
      <c r="N1501">
        <v>766522</v>
      </c>
      <c r="P1501">
        <v>23576</v>
      </c>
    </row>
    <row r="1502" spans="13:16" x14ac:dyDescent="0.3">
      <c r="M1502">
        <v>1500</v>
      </c>
      <c r="N1502">
        <v>30450</v>
      </c>
      <c r="P1502">
        <v>-396293</v>
      </c>
    </row>
    <row r="1503" spans="13:16" x14ac:dyDescent="0.3">
      <c r="M1503">
        <v>1501</v>
      </c>
      <c r="N1503">
        <v>-399216</v>
      </c>
      <c r="P1503">
        <v>-444280</v>
      </c>
    </row>
    <row r="1504" spans="13:16" x14ac:dyDescent="0.3">
      <c r="M1504">
        <v>1502</v>
      </c>
      <c r="N1504">
        <v>481604</v>
      </c>
      <c r="P1504">
        <v>776030</v>
      </c>
    </row>
    <row r="1505" spans="13:16" x14ac:dyDescent="0.3">
      <c r="M1505">
        <v>1503</v>
      </c>
      <c r="N1505">
        <v>327676</v>
      </c>
      <c r="P1505">
        <v>57058</v>
      </c>
    </row>
    <row r="1506" spans="13:16" x14ac:dyDescent="0.3">
      <c r="M1506">
        <v>1504</v>
      </c>
      <c r="N1506">
        <v>-523239</v>
      </c>
      <c r="P1506">
        <v>500169</v>
      </c>
    </row>
    <row r="1507" spans="13:16" x14ac:dyDescent="0.3">
      <c r="M1507">
        <v>1505</v>
      </c>
      <c r="N1507">
        <v>427106</v>
      </c>
      <c r="P1507">
        <v>86357</v>
      </c>
    </row>
    <row r="1508" spans="13:16" x14ac:dyDescent="0.3">
      <c r="M1508">
        <v>1506</v>
      </c>
      <c r="N1508">
        <v>-127341</v>
      </c>
      <c r="P1508">
        <v>-408490</v>
      </c>
    </row>
    <row r="1509" spans="13:16" x14ac:dyDescent="0.3">
      <c r="M1509">
        <v>1507</v>
      </c>
      <c r="N1509">
        <v>194929</v>
      </c>
      <c r="P1509">
        <v>313735</v>
      </c>
    </row>
    <row r="1510" spans="13:16" x14ac:dyDescent="0.3">
      <c r="M1510">
        <v>1508</v>
      </c>
      <c r="N1510">
        <v>-595271</v>
      </c>
      <c r="P1510">
        <v>300757</v>
      </c>
    </row>
    <row r="1511" spans="13:16" x14ac:dyDescent="0.3">
      <c r="M1511">
        <v>1509</v>
      </c>
      <c r="N1511">
        <v>-442811</v>
      </c>
      <c r="P1511">
        <v>-338862</v>
      </c>
    </row>
    <row r="1512" spans="13:16" x14ac:dyDescent="0.3">
      <c r="M1512">
        <v>1510</v>
      </c>
      <c r="N1512">
        <v>553543</v>
      </c>
      <c r="P1512">
        <v>276755</v>
      </c>
    </row>
    <row r="1513" spans="13:16" x14ac:dyDescent="0.3">
      <c r="M1513">
        <v>1511</v>
      </c>
      <c r="N1513">
        <v>-108539</v>
      </c>
      <c r="P1513">
        <v>785850</v>
      </c>
    </row>
    <row r="1514" spans="13:16" x14ac:dyDescent="0.3">
      <c r="M1514">
        <v>1512</v>
      </c>
      <c r="N1514">
        <v>206272</v>
      </c>
      <c r="P1514">
        <v>419716</v>
      </c>
    </row>
    <row r="1515" spans="13:16" x14ac:dyDescent="0.3">
      <c r="M1515">
        <v>1513</v>
      </c>
      <c r="N1515">
        <v>-14672</v>
      </c>
      <c r="P1515">
        <v>861882</v>
      </c>
    </row>
    <row r="1516" spans="13:16" x14ac:dyDescent="0.3">
      <c r="M1516">
        <v>1514</v>
      </c>
      <c r="N1516">
        <v>-490807</v>
      </c>
      <c r="P1516">
        <v>-107547</v>
      </c>
    </row>
    <row r="1517" spans="13:16" x14ac:dyDescent="0.3">
      <c r="M1517">
        <v>1515</v>
      </c>
      <c r="N1517">
        <v>-69101</v>
      </c>
      <c r="P1517">
        <v>-69631</v>
      </c>
    </row>
    <row r="1518" spans="13:16" x14ac:dyDescent="0.3">
      <c r="M1518">
        <v>1516</v>
      </c>
      <c r="N1518">
        <v>-339941</v>
      </c>
      <c r="P1518">
        <v>404513</v>
      </c>
    </row>
    <row r="1519" spans="13:16" x14ac:dyDescent="0.3">
      <c r="M1519">
        <v>1517</v>
      </c>
      <c r="N1519">
        <v>508928</v>
      </c>
      <c r="P1519">
        <v>140174</v>
      </c>
    </row>
    <row r="1520" spans="13:16" x14ac:dyDescent="0.3">
      <c r="M1520">
        <v>1518</v>
      </c>
      <c r="N1520">
        <v>654705</v>
      </c>
      <c r="P1520">
        <v>-106935</v>
      </c>
    </row>
    <row r="1521" spans="13:16" x14ac:dyDescent="0.3">
      <c r="M1521">
        <v>1519</v>
      </c>
      <c r="N1521">
        <v>-219114</v>
      </c>
      <c r="P1521">
        <v>58744</v>
      </c>
    </row>
    <row r="1522" spans="13:16" x14ac:dyDescent="0.3">
      <c r="M1522">
        <v>1520</v>
      </c>
      <c r="N1522">
        <v>549287</v>
      </c>
      <c r="P1522">
        <v>-502407</v>
      </c>
    </row>
    <row r="1523" spans="13:16" x14ac:dyDescent="0.3">
      <c r="M1523">
        <v>1521</v>
      </c>
      <c r="N1523">
        <v>631890</v>
      </c>
      <c r="P1523">
        <v>-313093</v>
      </c>
    </row>
    <row r="1524" spans="13:16" x14ac:dyDescent="0.3">
      <c r="M1524">
        <v>1522</v>
      </c>
      <c r="N1524">
        <v>149423</v>
      </c>
      <c r="P1524">
        <v>-426552</v>
      </c>
    </row>
    <row r="1525" spans="13:16" x14ac:dyDescent="0.3">
      <c r="M1525">
        <v>1523</v>
      </c>
      <c r="N1525">
        <v>-380906</v>
      </c>
      <c r="P1525">
        <v>-144116</v>
      </c>
    </row>
    <row r="1526" spans="13:16" x14ac:dyDescent="0.3">
      <c r="M1526">
        <v>1524</v>
      </c>
      <c r="N1526">
        <v>434528</v>
      </c>
      <c r="P1526">
        <v>-129201</v>
      </c>
    </row>
    <row r="1527" spans="13:16" x14ac:dyDescent="0.3">
      <c r="M1527">
        <v>1525</v>
      </c>
      <c r="N1527">
        <v>-87958</v>
      </c>
      <c r="P1527">
        <v>848528</v>
      </c>
    </row>
    <row r="1528" spans="13:16" x14ac:dyDescent="0.3">
      <c r="M1528">
        <v>1526</v>
      </c>
      <c r="N1528">
        <v>293578</v>
      </c>
      <c r="P1528">
        <v>43842</v>
      </c>
    </row>
    <row r="1529" spans="13:16" x14ac:dyDescent="0.3">
      <c r="M1529">
        <v>1527</v>
      </c>
      <c r="N1529">
        <v>-273809</v>
      </c>
      <c r="P1529">
        <v>-583752</v>
      </c>
    </row>
    <row r="1530" spans="13:16" x14ac:dyDescent="0.3">
      <c r="M1530">
        <v>1528</v>
      </c>
      <c r="N1530">
        <v>-757060</v>
      </c>
      <c r="P1530">
        <v>-120591</v>
      </c>
    </row>
    <row r="1531" spans="13:16" x14ac:dyDescent="0.3">
      <c r="M1531">
        <v>1529</v>
      </c>
      <c r="N1531">
        <v>17634</v>
      </c>
      <c r="P1531">
        <v>222347</v>
      </c>
    </row>
    <row r="1532" spans="13:16" x14ac:dyDescent="0.3">
      <c r="M1532">
        <v>1530</v>
      </c>
      <c r="N1532">
        <v>-424924</v>
      </c>
      <c r="P1532">
        <v>574186</v>
      </c>
    </row>
    <row r="1533" spans="13:16" x14ac:dyDescent="0.3">
      <c r="M1533">
        <v>1531</v>
      </c>
      <c r="N1533">
        <v>234037</v>
      </c>
      <c r="P1533">
        <v>-461024</v>
      </c>
    </row>
    <row r="1534" spans="13:16" x14ac:dyDescent="0.3">
      <c r="M1534">
        <v>1532</v>
      </c>
      <c r="N1534">
        <v>850104</v>
      </c>
      <c r="P1534">
        <v>-314245</v>
      </c>
    </row>
    <row r="1535" spans="13:16" x14ac:dyDescent="0.3">
      <c r="M1535">
        <v>1533</v>
      </c>
      <c r="N1535">
        <v>-270160</v>
      </c>
      <c r="P1535">
        <v>570167</v>
      </c>
    </row>
    <row r="1536" spans="13:16" x14ac:dyDescent="0.3">
      <c r="M1536">
        <v>1534</v>
      </c>
      <c r="N1536">
        <v>227420</v>
      </c>
      <c r="P1536">
        <v>-234235</v>
      </c>
    </row>
    <row r="1537" spans="13:16" x14ac:dyDescent="0.3">
      <c r="M1537">
        <v>1535</v>
      </c>
      <c r="N1537">
        <v>-66170</v>
      </c>
      <c r="P1537">
        <v>485469</v>
      </c>
    </row>
    <row r="1538" spans="13:16" x14ac:dyDescent="0.3">
      <c r="M1538">
        <v>1536</v>
      </c>
      <c r="N1538">
        <v>-79516</v>
      </c>
      <c r="P1538">
        <v>173870</v>
      </c>
    </row>
    <row r="1539" spans="13:16" x14ac:dyDescent="0.3">
      <c r="M1539">
        <v>1537</v>
      </c>
      <c r="N1539">
        <v>209455</v>
      </c>
      <c r="P1539">
        <v>-131074</v>
      </c>
    </row>
    <row r="1540" spans="13:16" x14ac:dyDescent="0.3">
      <c r="M1540">
        <v>1538</v>
      </c>
      <c r="N1540">
        <v>192192</v>
      </c>
      <c r="P1540">
        <v>-92717</v>
      </c>
    </row>
    <row r="1541" spans="13:16" x14ac:dyDescent="0.3">
      <c r="M1541">
        <v>1539</v>
      </c>
      <c r="N1541">
        <v>658301</v>
      </c>
      <c r="P1541">
        <v>-228622</v>
      </c>
    </row>
    <row r="1542" spans="13:16" x14ac:dyDescent="0.3">
      <c r="M1542">
        <v>1540</v>
      </c>
      <c r="N1542">
        <v>-666789</v>
      </c>
      <c r="P1542">
        <v>-109612</v>
      </c>
    </row>
    <row r="1543" spans="13:16" x14ac:dyDescent="0.3">
      <c r="M1543">
        <v>1541</v>
      </c>
      <c r="N1543">
        <v>886438</v>
      </c>
      <c r="P1543">
        <v>-587256</v>
      </c>
    </row>
    <row r="1544" spans="13:16" x14ac:dyDescent="0.3">
      <c r="M1544">
        <v>1542</v>
      </c>
      <c r="N1544">
        <v>74175</v>
      </c>
      <c r="P1544">
        <v>61337</v>
      </c>
    </row>
    <row r="1545" spans="13:16" x14ac:dyDescent="0.3">
      <c r="M1545">
        <v>1543</v>
      </c>
      <c r="N1545">
        <v>614712</v>
      </c>
      <c r="P1545">
        <v>-433569</v>
      </c>
    </row>
    <row r="1546" spans="13:16" x14ac:dyDescent="0.3">
      <c r="M1546">
        <v>1544</v>
      </c>
      <c r="N1546">
        <v>-233871</v>
      </c>
      <c r="P1546">
        <v>283617</v>
      </c>
    </row>
    <row r="1547" spans="13:16" x14ac:dyDescent="0.3">
      <c r="M1547">
        <v>1545</v>
      </c>
      <c r="N1547">
        <v>-127393</v>
      </c>
      <c r="P1547">
        <v>1039568</v>
      </c>
    </row>
    <row r="1548" spans="13:16" x14ac:dyDescent="0.3">
      <c r="M1548">
        <v>1546</v>
      </c>
      <c r="N1548">
        <v>-557872</v>
      </c>
      <c r="P1548">
        <v>774345</v>
      </c>
    </row>
    <row r="1549" spans="13:16" x14ac:dyDescent="0.3">
      <c r="M1549">
        <v>1547</v>
      </c>
      <c r="N1549">
        <v>324058</v>
      </c>
      <c r="P1549">
        <v>-79614</v>
      </c>
    </row>
    <row r="1550" spans="13:16" x14ac:dyDescent="0.3">
      <c r="M1550">
        <v>1548</v>
      </c>
      <c r="N1550">
        <v>-730287</v>
      </c>
      <c r="P1550">
        <v>-208666</v>
      </c>
    </row>
    <row r="1551" spans="13:16" x14ac:dyDescent="0.3">
      <c r="M1551">
        <v>1549</v>
      </c>
      <c r="N1551">
        <v>76942</v>
      </c>
      <c r="P1551">
        <v>-384719</v>
      </c>
    </row>
    <row r="1552" spans="13:16" x14ac:dyDescent="0.3">
      <c r="M1552">
        <v>1550</v>
      </c>
      <c r="N1552">
        <v>-406435</v>
      </c>
      <c r="P1552">
        <v>215266</v>
      </c>
    </row>
    <row r="1553" spans="13:16" x14ac:dyDescent="0.3">
      <c r="M1553">
        <v>1551</v>
      </c>
      <c r="N1553">
        <v>105740</v>
      </c>
      <c r="P1553">
        <v>3901</v>
      </c>
    </row>
    <row r="1554" spans="13:16" x14ac:dyDescent="0.3">
      <c r="M1554">
        <v>1552</v>
      </c>
      <c r="N1554">
        <v>-274286</v>
      </c>
      <c r="P1554">
        <v>-51659</v>
      </c>
    </row>
    <row r="1555" spans="13:16" x14ac:dyDescent="0.3">
      <c r="M1555">
        <v>1553</v>
      </c>
      <c r="N1555">
        <v>-353069</v>
      </c>
      <c r="P1555">
        <v>-139647</v>
      </c>
    </row>
    <row r="1556" spans="13:16" x14ac:dyDescent="0.3">
      <c r="M1556">
        <v>1554</v>
      </c>
      <c r="N1556">
        <v>143073</v>
      </c>
      <c r="P1556">
        <v>-295238</v>
      </c>
    </row>
    <row r="1557" spans="13:16" x14ac:dyDescent="0.3">
      <c r="M1557">
        <v>1555</v>
      </c>
      <c r="N1557">
        <v>715175</v>
      </c>
      <c r="P1557">
        <v>-326972</v>
      </c>
    </row>
    <row r="1558" spans="13:16" x14ac:dyDescent="0.3">
      <c r="M1558">
        <v>1556</v>
      </c>
      <c r="N1558">
        <v>-478668</v>
      </c>
      <c r="P1558">
        <v>-724155</v>
      </c>
    </row>
    <row r="1559" spans="13:16" x14ac:dyDescent="0.3">
      <c r="M1559">
        <v>1557</v>
      </c>
      <c r="N1559">
        <v>-244682</v>
      </c>
      <c r="P1559">
        <v>595377</v>
      </c>
    </row>
    <row r="1560" spans="13:16" x14ac:dyDescent="0.3">
      <c r="M1560">
        <v>1558</v>
      </c>
      <c r="N1560">
        <v>-92520</v>
      </c>
      <c r="P1560">
        <v>201594</v>
      </c>
    </row>
    <row r="1561" spans="13:16" x14ac:dyDescent="0.3">
      <c r="M1561">
        <v>1559</v>
      </c>
      <c r="N1561">
        <v>-381454</v>
      </c>
      <c r="P1561">
        <v>-147710</v>
      </c>
    </row>
    <row r="1562" spans="13:16" x14ac:dyDescent="0.3">
      <c r="M1562">
        <v>1560</v>
      </c>
      <c r="N1562">
        <v>281730</v>
      </c>
      <c r="P1562">
        <v>38504</v>
      </c>
    </row>
    <row r="1563" spans="13:16" x14ac:dyDescent="0.3">
      <c r="M1563">
        <v>1561</v>
      </c>
      <c r="N1563">
        <v>-230122</v>
      </c>
      <c r="P1563">
        <v>-16601</v>
      </c>
    </row>
    <row r="1564" spans="13:16" x14ac:dyDescent="0.3">
      <c r="M1564">
        <v>1562</v>
      </c>
      <c r="N1564">
        <v>814258</v>
      </c>
      <c r="P1564">
        <v>208732</v>
      </c>
    </row>
    <row r="1565" spans="13:16" x14ac:dyDescent="0.3">
      <c r="M1565">
        <v>1563</v>
      </c>
      <c r="N1565">
        <v>290470</v>
      </c>
      <c r="P1565">
        <v>290687</v>
      </c>
    </row>
    <row r="1566" spans="13:16" x14ac:dyDescent="0.3">
      <c r="M1566">
        <v>1564</v>
      </c>
      <c r="N1566">
        <v>-197076</v>
      </c>
      <c r="P1566">
        <v>10182</v>
      </c>
    </row>
    <row r="1567" spans="13:16" x14ac:dyDescent="0.3">
      <c r="M1567">
        <v>1565</v>
      </c>
      <c r="N1567">
        <v>487278</v>
      </c>
      <c r="P1567">
        <v>-161610</v>
      </c>
    </row>
    <row r="1568" spans="13:16" x14ac:dyDescent="0.3">
      <c r="M1568">
        <v>1566</v>
      </c>
      <c r="N1568">
        <v>-320257</v>
      </c>
      <c r="P1568">
        <v>399635</v>
      </c>
    </row>
    <row r="1569" spans="13:16" x14ac:dyDescent="0.3">
      <c r="M1569">
        <v>1567</v>
      </c>
      <c r="N1569">
        <v>319262</v>
      </c>
      <c r="P1569">
        <v>-589892</v>
      </c>
    </row>
    <row r="1570" spans="13:16" x14ac:dyDescent="0.3">
      <c r="M1570">
        <v>1568</v>
      </c>
      <c r="N1570">
        <v>-357960</v>
      </c>
      <c r="P1570">
        <v>-241119</v>
      </c>
    </row>
    <row r="1571" spans="13:16" x14ac:dyDescent="0.3">
      <c r="M1571">
        <v>1569</v>
      </c>
      <c r="N1571">
        <v>-435910</v>
      </c>
      <c r="P1571">
        <v>314948</v>
      </c>
    </row>
    <row r="1572" spans="13:16" x14ac:dyDescent="0.3">
      <c r="M1572">
        <v>1570</v>
      </c>
      <c r="N1572">
        <v>-658177</v>
      </c>
      <c r="P1572">
        <v>-241846</v>
      </c>
    </row>
    <row r="1573" spans="13:16" x14ac:dyDescent="0.3">
      <c r="M1573">
        <v>1571</v>
      </c>
      <c r="N1573">
        <v>-372123</v>
      </c>
      <c r="P1573">
        <v>-53434</v>
      </c>
    </row>
    <row r="1574" spans="13:16" x14ac:dyDescent="0.3">
      <c r="M1574">
        <v>1572</v>
      </c>
      <c r="N1574">
        <v>-93668</v>
      </c>
      <c r="P1574">
        <v>-67291</v>
      </c>
    </row>
    <row r="1575" spans="13:16" x14ac:dyDescent="0.3">
      <c r="M1575">
        <v>1573</v>
      </c>
      <c r="N1575">
        <v>369284</v>
      </c>
      <c r="P1575">
        <v>59792</v>
      </c>
    </row>
    <row r="1576" spans="13:16" x14ac:dyDescent="0.3">
      <c r="M1576">
        <v>1574</v>
      </c>
      <c r="N1576">
        <v>217843</v>
      </c>
      <c r="P1576">
        <v>-351392</v>
      </c>
    </row>
    <row r="1577" spans="13:16" x14ac:dyDescent="0.3">
      <c r="M1577">
        <v>1575</v>
      </c>
      <c r="N1577">
        <v>-401212</v>
      </c>
      <c r="P1577">
        <v>-342426</v>
      </c>
    </row>
    <row r="1578" spans="13:16" x14ac:dyDescent="0.3">
      <c r="M1578">
        <v>1576</v>
      </c>
      <c r="N1578">
        <v>-671813</v>
      </c>
      <c r="P1578">
        <v>-130714</v>
      </c>
    </row>
    <row r="1579" spans="13:16" x14ac:dyDescent="0.3">
      <c r="M1579">
        <v>1577</v>
      </c>
      <c r="N1579">
        <v>-307861</v>
      </c>
      <c r="P1579">
        <v>415057</v>
      </c>
    </row>
    <row r="1580" spans="13:16" x14ac:dyDescent="0.3">
      <c r="M1580">
        <v>1578</v>
      </c>
      <c r="N1580">
        <v>428719</v>
      </c>
      <c r="P1580">
        <v>37431</v>
      </c>
    </row>
    <row r="1581" spans="13:16" x14ac:dyDescent="0.3">
      <c r="M1581">
        <v>1579</v>
      </c>
      <c r="N1581">
        <v>294653</v>
      </c>
      <c r="P1581">
        <v>-696571</v>
      </c>
    </row>
    <row r="1582" spans="13:16" x14ac:dyDescent="0.3">
      <c r="M1582">
        <v>1580</v>
      </c>
      <c r="N1582">
        <v>238146</v>
      </c>
      <c r="P1582">
        <v>-224441</v>
      </c>
    </row>
    <row r="1583" spans="13:16" x14ac:dyDescent="0.3">
      <c r="M1583">
        <v>1581</v>
      </c>
      <c r="N1583">
        <v>330208</v>
      </c>
      <c r="P1583">
        <v>467187</v>
      </c>
    </row>
    <row r="1584" spans="13:16" x14ac:dyDescent="0.3">
      <c r="M1584">
        <v>1582</v>
      </c>
      <c r="N1584">
        <v>-539515</v>
      </c>
      <c r="P1584">
        <v>-268493</v>
      </c>
    </row>
    <row r="1585" spans="13:16" x14ac:dyDescent="0.3">
      <c r="M1585">
        <v>1583</v>
      </c>
      <c r="N1585">
        <v>-429786</v>
      </c>
      <c r="P1585">
        <v>886526</v>
      </c>
    </row>
    <row r="1586" spans="13:16" x14ac:dyDescent="0.3">
      <c r="M1586">
        <v>1584</v>
      </c>
      <c r="N1586">
        <v>248286</v>
      </c>
      <c r="P1586">
        <v>240403</v>
      </c>
    </row>
    <row r="1587" spans="13:16" x14ac:dyDescent="0.3">
      <c r="M1587">
        <v>1585</v>
      </c>
      <c r="N1587">
        <v>563067</v>
      </c>
      <c r="P1587">
        <v>269724</v>
      </c>
    </row>
    <row r="1588" spans="13:16" x14ac:dyDescent="0.3">
      <c r="M1588">
        <v>1586</v>
      </c>
      <c r="N1588">
        <v>-76281</v>
      </c>
      <c r="P1588">
        <v>112683</v>
      </c>
    </row>
    <row r="1589" spans="13:16" x14ac:dyDescent="0.3">
      <c r="M1589">
        <v>1587</v>
      </c>
      <c r="N1589">
        <v>-528498</v>
      </c>
      <c r="P1589">
        <v>643036</v>
      </c>
    </row>
    <row r="1590" spans="13:16" x14ac:dyDescent="0.3">
      <c r="M1590">
        <v>1588</v>
      </c>
      <c r="N1590">
        <v>-96932</v>
      </c>
      <c r="P1590">
        <v>-440362</v>
      </c>
    </row>
    <row r="1591" spans="13:16" x14ac:dyDescent="0.3">
      <c r="M1591">
        <v>1589</v>
      </c>
      <c r="N1591">
        <v>228227</v>
      </c>
      <c r="P1591">
        <v>-177633</v>
      </c>
    </row>
    <row r="1592" spans="13:16" x14ac:dyDescent="0.3">
      <c r="M1592">
        <v>1590</v>
      </c>
      <c r="N1592">
        <v>307570</v>
      </c>
      <c r="P1592">
        <v>-429758</v>
      </c>
    </row>
    <row r="1593" spans="13:16" x14ac:dyDescent="0.3">
      <c r="M1593">
        <v>1591</v>
      </c>
      <c r="N1593">
        <v>477865</v>
      </c>
      <c r="P1593">
        <v>654521</v>
      </c>
    </row>
    <row r="1594" spans="13:16" x14ac:dyDescent="0.3">
      <c r="M1594">
        <v>1592</v>
      </c>
      <c r="N1594">
        <v>-108118</v>
      </c>
      <c r="P1594">
        <v>377939</v>
      </c>
    </row>
    <row r="1595" spans="13:16" x14ac:dyDescent="0.3">
      <c r="M1595">
        <v>1593</v>
      </c>
      <c r="N1595">
        <v>-440616</v>
      </c>
      <c r="P1595">
        <v>-284087</v>
      </c>
    </row>
    <row r="1596" spans="13:16" x14ac:dyDescent="0.3">
      <c r="M1596">
        <v>1594</v>
      </c>
      <c r="N1596">
        <v>-223315</v>
      </c>
      <c r="P1596">
        <v>-65442</v>
      </c>
    </row>
    <row r="1597" spans="13:16" x14ac:dyDescent="0.3">
      <c r="M1597">
        <v>1595</v>
      </c>
      <c r="N1597">
        <v>605829</v>
      </c>
      <c r="P1597">
        <v>-255558</v>
      </c>
    </row>
    <row r="1598" spans="13:16" x14ac:dyDescent="0.3">
      <c r="M1598">
        <v>1596</v>
      </c>
      <c r="N1598">
        <v>-726107</v>
      </c>
      <c r="P1598">
        <v>-389370</v>
      </c>
    </row>
    <row r="1599" spans="13:16" x14ac:dyDescent="0.3">
      <c r="M1599">
        <v>1597</v>
      </c>
      <c r="N1599">
        <v>-219078</v>
      </c>
      <c r="P1599">
        <v>317259</v>
      </c>
    </row>
    <row r="1600" spans="13:16" x14ac:dyDescent="0.3">
      <c r="M1600">
        <v>1598</v>
      </c>
      <c r="N1600">
        <v>949979</v>
      </c>
      <c r="P1600">
        <v>69229</v>
      </c>
    </row>
    <row r="1601" spans="13:16" x14ac:dyDescent="0.3">
      <c r="M1601">
        <v>1599</v>
      </c>
      <c r="N1601">
        <v>-688896</v>
      </c>
      <c r="P1601">
        <v>571302</v>
      </c>
    </row>
    <row r="1602" spans="13:16" x14ac:dyDescent="0.3">
      <c r="M1602">
        <v>1600</v>
      </c>
      <c r="N1602">
        <v>9775</v>
      </c>
      <c r="P1602">
        <v>-429815</v>
      </c>
    </row>
    <row r="1603" spans="13:16" x14ac:dyDescent="0.3">
      <c r="M1603">
        <v>1601</v>
      </c>
      <c r="N1603">
        <v>420529</v>
      </c>
      <c r="P1603">
        <v>226517</v>
      </c>
    </row>
    <row r="1604" spans="13:16" x14ac:dyDescent="0.3">
      <c r="M1604">
        <v>1602</v>
      </c>
      <c r="N1604">
        <v>-565799</v>
      </c>
      <c r="P1604">
        <v>441337</v>
      </c>
    </row>
    <row r="1605" spans="13:16" x14ac:dyDescent="0.3">
      <c r="M1605">
        <v>1603</v>
      </c>
      <c r="N1605">
        <v>-134958</v>
      </c>
      <c r="P1605">
        <v>-198377</v>
      </c>
    </row>
    <row r="1606" spans="13:16" x14ac:dyDescent="0.3">
      <c r="M1606">
        <v>1604</v>
      </c>
      <c r="N1606">
        <v>-518484</v>
      </c>
      <c r="P1606">
        <v>-812591</v>
      </c>
    </row>
    <row r="1607" spans="13:16" x14ac:dyDescent="0.3">
      <c r="M1607">
        <v>1605</v>
      </c>
      <c r="N1607">
        <v>-427322</v>
      </c>
      <c r="P1607">
        <v>-426381</v>
      </c>
    </row>
    <row r="1608" spans="13:16" x14ac:dyDescent="0.3">
      <c r="M1608">
        <v>1606</v>
      </c>
      <c r="N1608">
        <v>495251</v>
      </c>
      <c r="P1608">
        <v>247748</v>
      </c>
    </row>
    <row r="1609" spans="13:16" x14ac:dyDescent="0.3">
      <c r="M1609">
        <v>1607</v>
      </c>
      <c r="N1609">
        <v>1041606</v>
      </c>
      <c r="P1609">
        <v>-395509</v>
      </c>
    </row>
    <row r="1610" spans="13:16" x14ac:dyDescent="0.3">
      <c r="M1610">
        <v>1608</v>
      </c>
      <c r="N1610">
        <v>532809</v>
      </c>
      <c r="P1610">
        <v>-512985</v>
      </c>
    </row>
    <row r="1611" spans="13:16" x14ac:dyDescent="0.3">
      <c r="M1611">
        <v>1609</v>
      </c>
      <c r="N1611">
        <v>83458</v>
      </c>
      <c r="P1611">
        <v>-593407</v>
      </c>
    </row>
    <row r="1612" spans="13:16" x14ac:dyDescent="0.3">
      <c r="M1612">
        <v>1610</v>
      </c>
      <c r="N1612">
        <v>-37491</v>
      </c>
      <c r="P1612">
        <v>-266204</v>
      </c>
    </row>
    <row r="1613" spans="13:16" x14ac:dyDescent="0.3">
      <c r="M1613">
        <v>1611</v>
      </c>
      <c r="N1613">
        <v>632463</v>
      </c>
      <c r="P1613">
        <v>562390</v>
      </c>
    </row>
    <row r="1614" spans="13:16" x14ac:dyDescent="0.3">
      <c r="M1614">
        <v>1612</v>
      </c>
      <c r="N1614">
        <v>-549180</v>
      </c>
      <c r="P1614">
        <v>-193394</v>
      </c>
    </row>
    <row r="1615" spans="13:16" x14ac:dyDescent="0.3">
      <c r="M1615">
        <v>1613</v>
      </c>
      <c r="N1615">
        <v>-418767</v>
      </c>
      <c r="P1615">
        <v>306493</v>
      </c>
    </row>
    <row r="1616" spans="13:16" x14ac:dyDescent="0.3">
      <c r="M1616">
        <v>1614</v>
      </c>
      <c r="N1616">
        <v>184894</v>
      </c>
      <c r="P1616">
        <v>-45295</v>
      </c>
    </row>
    <row r="1617" spans="13:16" x14ac:dyDescent="0.3">
      <c r="M1617">
        <v>1615</v>
      </c>
      <c r="N1617">
        <v>-834831</v>
      </c>
      <c r="P1617">
        <v>-540252</v>
      </c>
    </row>
    <row r="1618" spans="13:16" x14ac:dyDescent="0.3">
      <c r="M1618">
        <v>1616</v>
      </c>
      <c r="N1618">
        <v>257927</v>
      </c>
      <c r="P1618">
        <v>465971</v>
      </c>
    </row>
    <row r="1619" spans="13:16" x14ac:dyDescent="0.3">
      <c r="M1619">
        <v>1617</v>
      </c>
      <c r="N1619">
        <v>-695140</v>
      </c>
      <c r="P1619">
        <v>-197595</v>
      </c>
    </row>
    <row r="1620" spans="13:16" x14ac:dyDescent="0.3">
      <c r="M1620">
        <v>1618</v>
      </c>
      <c r="N1620">
        <v>323185</v>
      </c>
      <c r="P1620">
        <v>-499201</v>
      </c>
    </row>
    <row r="1621" spans="13:16" x14ac:dyDescent="0.3">
      <c r="M1621">
        <v>1619</v>
      </c>
      <c r="N1621">
        <v>-48160</v>
      </c>
      <c r="P1621">
        <v>621009</v>
      </c>
    </row>
    <row r="1622" spans="13:16" x14ac:dyDescent="0.3">
      <c r="M1622">
        <v>1620</v>
      </c>
      <c r="N1622">
        <v>245161</v>
      </c>
      <c r="P1622">
        <v>159412</v>
      </c>
    </row>
    <row r="1623" spans="13:16" x14ac:dyDescent="0.3">
      <c r="M1623">
        <v>1621</v>
      </c>
      <c r="N1623">
        <v>129250</v>
      </c>
      <c r="P1623">
        <v>-538775</v>
      </c>
    </row>
    <row r="1624" spans="13:16" x14ac:dyDescent="0.3">
      <c r="M1624">
        <v>1622</v>
      </c>
      <c r="N1624">
        <v>-101851</v>
      </c>
      <c r="P1624">
        <v>-230470</v>
      </c>
    </row>
    <row r="1625" spans="13:16" x14ac:dyDescent="0.3">
      <c r="M1625">
        <v>1623</v>
      </c>
      <c r="N1625">
        <v>176518</v>
      </c>
      <c r="P1625">
        <v>-622315</v>
      </c>
    </row>
    <row r="1626" spans="13:16" x14ac:dyDescent="0.3">
      <c r="M1626">
        <v>1624</v>
      </c>
      <c r="N1626">
        <v>171634</v>
      </c>
      <c r="P1626">
        <v>-42138</v>
      </c>
    </row>
    <row r="1627" spans="13:16" x14ac:dyDescent="0.3">
      <c r="M1627">
        <v>1625</v>
      </c>
      <c r="N1627">
        <v>-405732</v>
      </c>
      <c r="P1627">
        <v>-566546</v>
      </c>
    </row>
    <row r="1628" spans="13:16" x14ac:dyDescent="0.3">
      <c r="M1628">
        <v>1626</v>
      </c>
      <c r="N1628">
        <v>-200182</v>
      </c>
      <c r="P1628">
        <v>329008</v>
      </c>
    </row>
    <row r="1629" spans="13:16" x14ac:dyDescent="0.3">
      <c r="M1629">
        <v>1627</v>
      </c>
      <c r="N1629">
        <v>-136646</v>
      </c>
      <c r="P1629">
        <v>251261</v>
      </c>
    </row>
    <row r="1630" spans="13:16" x14ac:dyDescent="0.3">
      <c r="M1630">
        <v>1628</v>
      </c>
      <c r="N1630">
        <v>-670026</v>
      </c>
      <c r="P1630">
        <v>-4070</v>
      </c>
    </row>
    <row r="1631" spans="13:16" x14ac:dyDescent="0.3">
      <c r="M1631">
        <v>1629</v>
      </c>
      <c r="N1631">
        <v>12295</v>
      </c>
      <c r="P1631">
        <v>215184</v>
      </c>
    </row>
    <row r="1632" spans="13:16" x14ac:dyDescent="0.3">
      <c r="M1632">
        <v>1630</v>
      </c>
      <c r="N1632">
        <v>256527</v>
      </c>
      <c r="P1632">
        <v>-483306</v>
      </c>
    </row>
    <row r="1633" spans="13:16" x14ac:dyDescent="0.3">
      <c r="M1633">
        <v>1631</v>
      </c>
      <c r="N1633">
        <v>779496</v>
      </c>
      <c r="P1633">
        <v>-425550</v>
      </c>
    </row>
    <row r="1634" spans="13:16" x14ac:dyDescent="0.3">
      <c r="M1634">
        <v>1632</v>
      </c>
      <c r="N1634">
        <v>-139083</v>
      </c>
      <c r="P1634">
        <v>391346</v>
      </c>
    </row>
    <row r="1635" spans="13:16" x14ac:dyDescent="0.3">
      <c r="M1635">
        <v>1633</v>
      </c>
      <c r="N1635">
        <v>77614</v>
      </c>
      <c r="P1635">
        <v>453762</v>
      </c>
    </row>
    <row r="1636" spans="13:16" x14ac:dyDescent="0.3">
      <c r="M1636">
        <v>1634</v>
      </c>
      <c r="N1636">
        <v>-304155</v>
      </c>
      <c r="P1636">
        <v>34331</v>
      </c>
    </row>
    <row r="1637" spans="13:16" x14ac:dyDescent="0.3">
      <c r="M1637">
        <v>1635</v>
      </c>
      <c r="N1637">
        <v>-558428</v>
      </c>
      <c r="P1637">
        <v>942384</v>
      </c>
    </row>
    <row r="1638" spans="13:16" x14ac:dyDescent="0.3">
      <c r="M1638">
        <v>1636</v>
      </c>
      <c r="N1638">
        <v>-409703</v>
      </c>
      <c r="P1638">
        <v>357731</v>
      </c>
    </row>
    <row r="1639" spans="13:16" x14ac:dyDescent="0.3">
      <c r="M1639">
        <v>1637</v>
      </c>
      <c r="N1639">
        <v>808822</v>
      </c>
      <c r="P1639">
        <v>-287555</v>
      </c>
    </row>
    <row r="1640" spans="13:16" x14ac:dyDescent="0.3">
      <c r="M1640">
        <v>1638</v>
      </c>
      <c r="N1640">
        <v>-829278</v>
      </c>
      <c r="P1640">
        <v>-292871</v>
      </c>
    </row>
    <row r="1641" spans="13:16" x14ac:dyDescent="0.3">
      <c r="M1641">
        <v>1639</v>
      </c>
      <c r="N1641">
        <v>417784</v>
      </c>
      <c r="P1641">
        <v>302597</v>
      </c>
    </row>
    <row r="1642" spans="13:16" x14ac:dyDescent="0.3">
      <c r="M1642">
        <v>1640</v>
      </c>
      <c r="N1642">
        <v>-525101</v>
      </c>
      <c r="P1642">
        <v>59487</v>
      </c>
    </row>
    <row r="1643" spans="13:16" x14ac:dyDescent="0.3">
      <c r="M1643">
        <v>1641</v>
      </c>
      <c r="N1643">
        <v>-762421</v>
      </c>
      <c r="P1643">
        <v>474552</v>
      </c>
    </row>
    <row r="1644" spans="13:16" x14ac:dyDescent="0.3">
      <c r="M1644">
        <v>1642</v>
      </c>
      <c r="N1644">
        <v>342617</v>
      </c>
      <c r="P1644">
        <v>46764</v>
      </c>
    </row>
    <row r="1645" spans="13:16" x14ac:dyDescent="0.3">
      <c r="M1645">
        <v>1643</v>
      </c>
      <c r="N1645">
        <v>-353503</v>
      </c>
      <c r="P1645">
        <v>221489</v>
      </c>
    </row>
    <row r="1646" spans="13:16" x14ac:dyDescent="0.3">
      <c r="M1646">
        <v>1644</v>
      </c>
      <c r="N1646">
        <v>846327</v>
      </c>
      <c r="P1646">
        <v>-606084</v>
      </c>
    </row>
    <row r="1647" spans="13:16" x14ac:dyDescent="0.3">
      <c r="M1647">
        <v>1645</v>
      </c>
      <c r="N1647">
        <v>956522</v>
      </c>
      <c r="P1647">
        <v>470009</v>
      </c>
    </row>
    <row r="1648" spans="13:16" x14ac:dyDescent="0.3">
      <c r="M1648">
        <v>1646</v>
      </c>
      <c r="N1648">
        <v>580144</v>
      </c>
      <c r="P1648">
        <v>-256866</v>
      </c>
    </row>
    <row r="1649" spans="13:16" x14ac:dyDescent="0.3">
      <c r="M1649">
        <v>1647</v>
      </c>
      <c r="N1649">
        <v>462006</v>
      </c>
      <c r="P1649">
        <v>-381163</v>
      </c>
    </row>
    <row r="1650" spans="13:16" x14ac:dyDescent="0.3">
      <c r="M1650">
        <v>1648</v>
      </c>
      <c r="N1650">
        <v>-435854</v>
      </c>
      <c r="P1650">
        <v>-514075</v>
      </c>
    </row>
    <row r="1651" spans="13:16" x14ac:dyDescent="0.3">
      <c r="M1651">
        <v>1649</v>
      </c>
      <c r="N1651">
        <v>236110</v>
      </c>
      <c r="P1651">
        <v>-166904</v>
      </c>
    </row>
    <row r="1652" spans="13:16" x14ac:dyDescent="0.3">
      <c r="M1652">
        <v>1650</v>
      </c>
      <c r="N1652">
        <v>816057</v>
      </c>
      <c r="P1652">
        <v>-330859</v>
      </c>
    </row>
    <row r="1653" spans="13:16" x14ac:dyDescent="0.3">
      <c r="M1653">
        <v>1651</v>
      </c>
      <c r="N1653">
        <v>145704</v>
      </c>
      <c r="P1653">
        <v>-520323</v>
      </c>
    </row>
    <row r="1654" spans="13:16" x14ac:dyDescent="0.3">
      <c r="M1654">
        <v>1652</v>
      </c>
      <c r="N1654">
        <v>-566770</v>
      </c>
      <c r="P1654">
        <v>704627</v>
      </c>
    </row>
    <row r="1655" spans="13:16" x14ac:dyDescent="0.3">
      <c r="M1655">
        <v>1653</v>
      </c>
      <c r="N1655">
        <v>-346003</v>
      </c>
      <c r="P1655">
        <v>-404692</v>
      </c>
    </row>
    <row r="1656" spans="13:16" x14ac:dyDescent="0.3">
      <c r="M1656">
        <v>1654</v>
      </c>
      <c r="N1656">
        <v>-456471</v>
      </c>
      <c r="P1656">
        <v>585460</v>
      </c>
    </row>
    <row r="1657" spans="13:16" x14ac:dyDescent="0.3">
      <c r="M1657">
        <v>1655</v>
      </c>
      <c r="N1657">
        <v>272314</v>
      </c>
      <c r="P1657">
        <v>181171</v>
      </c>
    </row>
    <row r="1658" spans="13:16" x14ac:dyDescent="0.3">
      <c r="M1658">
        <v>1656</v>
      </c>
      <c r="N1658">
        <v>-654829</v>
      </c>
      <c r="P1658">
        <v>453809</v>
      </c>
    </row>
    <row r="1659" spans="13:16" x14ac:dyDescent="0.3">
      <c r="M1659">
        <v>1657</v>
      </c>
      <c r="N1659">
        <v>203251</v>
      </c>
      <c r="P1659">
        <v>-314848</v>
      </c>
    </row>
    <row r="1660" spans="13:16" x14ac:dyDescent="0.3">
      <c r="M1660">
        <v>1658</v>
      </c>
      <c r="N1660">
        <v>-641777</v>
      </c>
      <c r="P1660">
        <v>460176</v>
      </c>
    </row>
    <row r="1661" spans="13:16" x14ac:dyDescent="0.3">
      <c r="M1661">
        <v>1659</v>
      </c>
      <c r="N1661">
        <v>90183</v>
      </c>
      <c r="P1661">
        <v>-307291</v>
      </c>
    </row>
    <row r="1662" spans="13:16" x14ac:dyDescent="0.3">
      <c r="M1662">
        <v>1660</v>
      </c>
      <c r="N1662">
        <v>-545715</v>
      </c>
      <c r="P1662">
        <v>-258979</v>
      </c>
    </row>
    <row r="1663" spans="13:16" x14ac:dyDescent="0.3">
      <c r="M1663">
        <v>1661</v>
      </c>
      <c r="N1663">
        <v>180504</v>
      </c>
      <c r="P1663">
        <v>423868</v>
      </c>
    </row>
    <row r="1664" spans="13:16" x14ac:dyDescent="0.3">
      <c r="M1664">
        <v>1662</v>
      </c>
      <c r="N1664">
        <v>157576</v>
      </c>
      <c r="P1664">
        <v>569285</v>
      </c>
    </row>
    <row r="1665" spans="13:16" x14ac:dyDescent="0.3">
      <c r="M1665">
        <v>1663</v>
      </c>
      <c r="N1665">
        <v>-298743</v>
      </c>
      <c r="P1665">
        <v>-63918</v>
      </c>
    </row>
    <row r="1666" spans="13:16" x14ac:dyDescent="0.3">
      <c r="M1666">
        <v>1664</v>
      </c>
      <c r="N1666">
        <v>-462681</v>
      </c>
      <c r="P1666">
        <v>-830443</v>
      </c>
    </row>
    <row r="1667" spans="13:16" x14ac:dyDescent="0.3">
      <c r="M1667">
        <v>1665</v>
      </c>
      <c r="N1667">
        <v>-269930</v>
      </c>
      <c r="P1667">
        <v>204171</v>
      </c>
    </row>
    <row r="1668" spans="13:16" x14ac:dyDescent="0.3">
      <c r="M1668">
        <v>1666</v>
      </c>
      <c r="N1668">
        <v>-481914</v>
      </c>
      <c r="P1668">
        <v>40829</v>
      </c>
    </row>
    <row r="1669" spans="13:16" x14ac:dyDescent="0.3">
      <c r="M1669">
        <v>1667</v>
      </c>
      <c r="N1669">
        <v>288580</v>
      </c>
      <c r="P1669">
        <v>369457</v>
      </c>
    </row>
    <row r="1670" spans="13:16" x14ac:dyDescent="0.3">
      <c r="M1670">
        <v>1668</v>
      </c>
      <c r="N1670">
        <v>520996</v>
      </c>
      <c r="P1670">
        <v>-712458</v>
      </c>
    </row>
    <row r="1671" spans="13:16" x14ac:dyDescent="0.3">
      <c r="M1671">
        <v>1669</v>
      </c>
      <c r="N1671">
        <v>890439</v>
      </c>
      <c r="P1671">
        <v>773035</v>
      </c>
    </row>
    <row r="1672" spans="13:16" x14ac:dyDescent="0.3">
      <c r="M1672">
        <v>1670</v>
      </c>
      <c r="N1672">
        <v>-484977</v>
      </c>
      <c r="P1672">
        <v>210309</v>
      </c>
    </row>
    <row r="1673" spans="13:16" x14ac:dyDescent="0.3">
      <c r="M1673">
        <v>1671</v>
      </c>
      <c r="N1673">
        <v>-596803</v>
      </c>
      <c r="P1673">
        <v>-408291</v>
      </c>
    </row>
    <row r="1674" spans="13:16" x14ac:dyDescent="0.3">
      <c r="M1674">
        <v>1672</v>
      </c>
      <c r="N1674">
        <v>-47078</v>
      </c>
      <c r="P1674">
        <v>510264</v>
      </c>
    </row>
    <row r="1675" spans="13:16" x14ac:dyDescent="0.3">
      <c r="M1675">
        <v>1673</v>
      </c>
      <c r="N1675">
        <v>6104</v>
      </c>
      <c r="P1675">
        <v>-409896</v>
      </c>
    </row>
    <row r="1676" spans="13:16" x14ac:dyDescent="0.3">
      <c r="M1676">
        <v>1674</v>
      </c>
      <c r="N1676">
        <v>-327583</v>
      </c>
      <c r="P1676">
        <v>295776</v>
      </c>
    </row>
    <row r="1677" spans="13:16" x14ac:dyDescent="0.3">
      <c r="M1677">
        <v>1675</v>
      </c>
      <c r="N1677">
        <v>-524804</v>
      </c>
      <c r="P1677">
        <v>696745</v>
      </c>
    </row>
    <row r="1678" spans="13:16" x14ac:dyDescent="0.3">
      <c r="M1678">
        <v>1676</v>
      </c>
      <c r="N1678">
        <v>-783672</v>
      </c>
      <c r="P1678">
        <v>119073</v>
      </c>
    </row>
    <row r="1679" spans="13:16" x14ac:dyDescent="0.3">
      <c r="M1679">
        <v>1677</v>
      </c>
      <c r="N1679">
        <v>269040</v>
      </c>
      <c r="P1679">
        <v>-430259</v>
      </c>
    </row>
    <row r="1680" spans="13:16" x14ac:dyDescent="0.3">
      <c r="M1680">
        <v>1678</v>
      </c>
      <c r="N1680">
        <v>-2833</v>
      </c>
      <c r="P1680">
        <v>-59502</v>
      </c>
    </row>
    <row r="1681" spans="13:16" x14ac:dyDescent="0.3">
      <c r="M1681">
        <v>1679</v>
      </c>
      <c r="N1681">
        <v>804450</v>
      </c>
      <c r="P1681">
        <v>-633040</v>
      </c>
    </row>
    <row r="1682" spans="13:16" x14ac:dyDescent="0.3">
      <c r="M1682">
        <v>1680</v>
      </c>
      <c r="N1682">
        <v>-377237</v>
      </c>
      <c r="P1682">
        <v>-485937</v>
      </c>
    </row>
    <row r="1683" spans="13:16" x14ac:dyDescent="0.3">
      <c r="M1683">
        <v>1681</v>
      </c>
      <c r="N1683">
        <v>-725362</v>
      </c>
      <c r="P1683">
        <v>146387</v>
      </c>
    </row>
    <row r="1684" spans="13:16" x14ac:dyDescent="0.3">
      <c r="M1684">
        <v>1682</v>
      </c>
      <c r="N1684">
        <v>-286659</v>
      </c>
      <c r="P1684">
        <v>-307938</v>
      </c>
    </row>
    <row r="1685" spans="13:16" x14ac:dyDescent="0.3">
      <c r="M1685">
        <v>1683</v>
      </c>
      <c r="N1685">
        <v>-470770</v>
      </c>
      <c r="P1685">
        <v>222098</v>
      </c>
    </row>
    <row r="1686" spans="13:16" x14ac:dyDescent="0.3">
      <c r="M1686">
        <v>1684</v>
      </c>
      <c r="N1686">
        <v>493443</v>
      </c>
      <c r="P1686">
        <v>-314608</v>
      </c>
    </row>
    <row r="1687" spans="13:16" x14ac:dyDescent="0.3">
      <c r="M1687">
        <v>1685</v>
      </c>
      <c r="N1687">
        <v>-1869</v>
      </c>
      <c r="P1687">
        <v>745957</v>
      </c>
    </row>
    <row r="1688" spans="13:16" x14ac:dyDescent="0.3">
      <c r="M1688">
        <v>1686</v>
      </c>
      <c r="N1688">
        <v>348008</v>
      </c>
      <c r="P1688">
        <v>-117580</v>
      </c>
    </row>
    <row r="1689" spans="13:16" x14ac:dyDescent="0.3">
      <c r="M1689">
        <v>1687</v>
      </c>
      <c r="N1689">
        <v>259500</v>
      </c>
      <c r="P1689">
        <v>652417</v>
      </c>
    </row>
    <row r="1690" spans="13:16" x14ac:dyDescent="0.3">
      <c r="M1690">
        <v>1688</v>
      </c>
      <c r="N1690">
        <v>291599</v>
      </c>
      <c r="P1690">
        <v>582115</v>
      </c>
    </row>
    <row r="1691" spans="13:16" x14ac:dyDescent="0.3">
      <c r="M1691">
        <v>1689</v>
      </c>
      <c r="N1691">
        <v>-381559</v>
      </c>
      <c r="P1691">
        <v>-184265</v>
      </c>
    </row>
    <row r="1692" spans="13:16" x14ac:dyDescent="0.3">
      <c r="M1692">
        <v>1690</v>
      </c>
      <c r="N1692">
        <v>69135</v>
      </c>
      <c r="P1692">
        <v>-493657</v>
      </c>
    </row>
    <row r="1693" spans="13:16" x14ac:dyDescent="0.3">
      <c r="M1693">
        <v>1691</v>
      </c>
      <c r="N1693">
        <v>-53193</v>
      </c>
      <c r="P1693">
        <v>-311258</v>
      </c>
    </row>
    <row r="1694" spans="13:16" x14ac:dyDescent="0.3">
      <c r="M1694">
        <v>1692</v>
      </c>
      <c r="N1694">
        <v>134112</v>
      </c>
      <c r="P1694">
        <v>-247910</v>
      </c>
    </row>
    <row r="1695" spans="13:16" x14ac:dyDescent="0.3">
      <c r="M1695">
        <v>1693</v>
      </c>
      <c r="N1695">
        <v>110750</v>
      </c>
      <c r="P1695">
        <v>-154031</v>
      </c>
    </row>
    <row r="1696" spans="13:16" x14ac:dyDescent="0.3">
      <c r="M1696">
        <v>1694</v>
      </c>
      <c r="N1696">
        <v>783955</v>
      </c>
      <c r="P1696">
        <v>530391</v>
      </c>
    </row>
    <row r="1697" spans="13:16" x14ac:dyDescent="0.3">
      <c r="M1697">
        <v>1695</v>
      </c>
      <c r="N1697">
        <v>283878</v>
      </c>
      <c r="P1697">
        <v>-110885</v>
      </c>
    </row>
    <row r="1698" spans="13:16" x14ac:dyDescent="0.3">
      <c r="M1698">
        <v>1696</v>
      </c>
      <c r="N1698">
        <v>567524</v>
      </c>
      <c r="P1698">
        <v>-297548</v>
      </c>
    </row>
    <row r="1699" spans="13:16" x14ac:dyDescent="0.3">
      <c r="M1699">
        <v>1697</v>
      </c>
      <c r="N1699">
        <v>-125102</v>
      </c>
      <c r="P1699">
        <v>404647</v>
      </c>
    </row>
    <row r="1700" spans="13:16" x14ac:dyDescent="0.3">
      <c r="M1700">
        <v>1698</v>
      </c>
      <c r="N1700">
        <v>129639</v>
      </c>
      <c r="P1700">
        <v>-375471</v>
      </c>
    </row>
    <row r="1701" spans="13:16" x14ac:dyDescent="0.3">
      <c r="M1701">
        <v>1699</v>
      </c>
      <c r="N1701">
        <v>956201</v>
      </c>
      <c r="P1701">
        <v>103301</v>
      </c>
    </row>
    <row r="1702" spans="13:16" x14ac:dyDescent="0.3">
      <c r="M1702">
        <v>1700</v>
      </c>
      <c r="N1702">
        <v>-240143</v>
      </c>
      <c r="P1702">
        <v>445050</v>
      </c>
    </row>
    <row r="1703" spans="13:16" x14ac:dyDescent="0.3">
      <c r="M1703">
        <v>1701</v>
      </c>
      <c r="N1703">
        <v>834877</v>
      </c>
      <c r="P1703">
        <v>-459778</v>
      </c>
    </row>
    <row r="1704" spans="13:16" x14ac:dyDescent="0.3">
      <c r="M1704">
        <v>1702</v>
      </c>
      <c r="N1704">
        <v>-308363</v>
      </c>
      <c r="P1704">
        <v>-430780</v>
      </c>
    </row>
    <row r="1705" spans="13:16" x14ac:dyDescent="0.3">
      <c r="M1705">
        <v>1703</v>
      </c>
      <c r="N1705">
        <v>110682</v>
      </c>
      <c r="P1705">
        <v>-347897</v>
      </c>
    </row>
    <row r="1706" spans="13:16" x14ac:dyDescent="0.3">
      <c r="M1706">
        <v>1704</v>
      </c>
      <c r="N1706">
        <v>453554</v>
      </c>
      <c r="P1706">
        <v>75764</v>
      </c>
    </row>
    <row r="1707" spans="13:16" x14ac:dyDescent="0.3">
      <c r="M1707">
        <v>1705</v>
      </c>
      <c r="N1707">
        <v>57191</v>
      </c>
      <c r="P1707">
        <v>215724</v>
      </c>
    </row>
    <row r="1708" spans="13:16" x14ac:dyDescent="0.3">
      <c r="M1708">
        <v>1706</v>
      </c>
      <c r="N1708">
        <v>354807</v>
      </c>
      <c r="P1708">
        <v>-550710</v>
      </c>
    </row>
    <row r="1709" spans="13:16" x14ac:dyDescent="0.3">
      <c r="M1709">
        <v>1707</v>
      </c>
      <c r="N1709">
        <v>541824</v>
      </c>
      <c r="P1709">
        <v>-453737</v>
      </c>
    </row>
    <row r="1710" spans="13:16" x14ac:dyDescent="0.3">
      <c r="M1710">
        <v>1708</v>
      </c>
      <c r="N1710">
        <v>268514</v>
      </c>
      <c r="P1710">
        <v>-874291</v>
      </c>
    </row>
    <row r="1711" spans="13:16" x14ac:dyDescent="0.3">
      <c r="M1711">
        <v>1709</v>
      </c>
      <c r="N1711">
        <v>27413</v>
      </c>
      <c r="P1711">
        <v>534321</v>
      </c>
    </row>
    <row r="1712" spans="13:16" x14ac:dyDescent="0.3">
      <c r="M1712">
        <v>1710</v>
      </c>
      <c r="N1712">
        <v>-387393</v>
      </c>
      <c r="P1712">
        <v>759540</v>
      </c>
    </row>
    <row r="1713" spans="13:16" x14ac:dyDescent="0.3">
      <c r="M1713">
        <v>1711</v>
      </c>
      <c r="N1713">
        <v>201560</v>
      </c>
      <c r="P1713">
        <v>-488585</v>
      </c>
    </row>
    <row r="1714" spans="13:16" x14ac:dyDescent="0.3">
      <c r="M1714">
        <v>1712</v>
      </c>
      <c r="N1714">
        <v>80957</v>
      </c>
      <c r="P1714">
        <v>21028</v>
      </c>
    </row>
    <row r="1715" spans="13:16" x14ac:dyDescent="0.3">
      <c r="M1715">
        <v>1713</v>
      </c>
      <c r="N1715">
        <v>29145</v>
      </c>
      <c r="P1715">
        <v>-156803</v>
      </c>
    </row>
    <row r="1716" spans="13:16" x14ac:dyDescent="0.3">
      <c r="M1716">
        <v>1714</v>
      </c>
      <c r="N1716">
        <v>-363011</v>
      </c>
      <c r="P1716">
        <v>749520</v>
      </c>
    </row>
    <row r="1717" spans="13:16" x14ac:dyDescent="0.3">
      <c r="M1717">
        <v>1715</v>
      </c>
      <c r="N1717">
        <v>-3914</v>
      </c>
      <c r="P1717">
        <v>-421922</v>
      </c>
    </row>
    <row r="1718" spans="13:16" x14ac:dyDescent="0.3">
      <c r="M1718">
        <v>1716</v>
      </c>
      <c r="N1718">
        <v>-287980</v>
      </c>
      <c r="P1718">
        <v>-845753</v>
      </c>
    </row>
    <row r="1719" spans="13:16" x14ac:dyDescent="0.3">
      <c r="M1719">
        <v>1717</v>
      </c>
      <c r="N1719">
        <v>-465945</v>
      </c>
      <c r="P1719">
        <v>344017</v>
      </c>
    </row>
    <row r="1720" spans="13:16" x14ac:dyDescent="0.3">
      <c r="M1720">
        <v>1718</v>
      </c>
      <c r="N1720">
        <v>-669256</v>
      </c>
      <c r="P1720">
        <v>-458557</v>
      </c>
    </row>
    <row r="1721" spans="13:16" x14ac:dyDescent="0.3">
      <c r="M1721">
        <v>1719</v>
      </c>
      <c r="N1721">
        <v>318042</v>
      </c>
      <c r="P1721">
        <v>113904</v>
      </c>
    </row>
    <row r="1722" spans="13:16" x14ac:dyDescent="0.3">
      <c r="M1722">
        <v>1720</v>
      </c>
      <c r="N1722">
        <v>-356588</v>
      </c>
      <c r="P1722">
        <v>-742030</v>
      </c>
    </row>
    <row r="1723" spans="13:16" x14ac:dyDescent="0.3">
      <c r="M1723">
        <v>1721</v>
      </c>
      <c r="N1723">
        <v>-73735</v>
      </c>
      <c r="P1723">
        <v>441505</v>
      </c>
    </row>
    <row r="1724" spans="13:16" x14ac:dyDescent="0.3">
      <c r="M1724">
        <v>1722</v>
      </c>
      <c r="N1724">
        <v>-208262</v>
      </c>
      <c r="P1724">
        <v>-337266</v>
      </c>
    </row>
    <row r="1725" spans="13:16" x14ac:dyDescent="0.3">
      <c r="M1725">
        <v>1723</v>
      </c>
      <c r="N1725">
        <v>36815</v>
      </c>
      <c r="P1725">
        <v>1019472</v>
      </c>
    </row>
    <row r="1726" spans="13:16" x14ac:dyDescent="0.3">
      <c r="M1726">
        <v>1724</v>
      </c>
      <c r="N1726">
        <v>-252073</v>
      </c>
      <c r="P1726">
        <v>596449</v>
      </c>
    </row>
    <row r="1727" spans="13:16" x14ac:dyDescent="0.3">
      <c r="M1727">
        <v>1725</v>
      </c>
      <c r="N1727">
        <v>87368</v>
      </c>
      <c r="P1727">
        <v>-234202</v>
      </c>
    </row>
    <row r="1728" spans="13:16" x14ac:dyDescent="0.3">
      <c r="M1728">
        <v>1726</v>
      </c>
      <c r="N1728">
        <v>770416</v>
      </c>
      <c r="P1728">
        <v>444072</v>
      </c>
    </row>
    <row r="1729" spans="13:16" x14ac:dyDescent="0.3">
      <c r="M1729">
        <v>1727</v>
      </c>
      <c r="N1729">
        <v>929429</v>
      </c>
      <c r="P1729">
        <v>-76241</v>
      </c>
    </row>
    <row r="1730" spans="13:16" x14ac:dyDescent="0.3">
      <c r="M1730">
        <v>1728</v>
      </c>
      <c r="N1730">
        <v>-199441</v>
      </c>
      <c r="P1730">
        <v>-744897</v>
      </c>
    </row>
    <row r="1731" spans="13:16" x14ac:dyDescent="0.3">
      <c r="M1731">
        <v>1729</v>
      </c>
      <c r="N1731">
        <v>-469108</v>
      </c>
      <c r="P1731">
        <v>-148553</v>
      </c>
    </row>
    <row r="1732" spans="13:16" x14ac:dyDescent="0.3">
      <c r="M1732">
        <v>1730</v>
      </c>
      <c r="N1732">
        <v>-565196</v>
      </c>
      <c r="P1732">
        <v>218297</v>
      </c>
    </row>
    <row r="1733" spans="13:16" x14ac:dyDescent="0.3">
      <c r="M1733">
        <v>1731</v>
      </c>
      <c r="N1733">
        <v>-156510</v>
      </c>
      <c r="P1733">
        <v>-511235</v>
      </c>
    </row>
    <row r="1734" spans="13:16" x14ac:dyDescent="0.3">
      <c r="M1734">
        <v>1732</v>
      </c>
      <c r="N1734">
        <v>-501936</v>
      </c>
      <c r="P1734">
        <v>-387956</v>
      </c>
    </row>
    <row r="1735" spans="13:16" x14ac:dyDescent="0.3">
      <c r="M1735">
        <v>1733</v>
      </c>
      <c r="N1735">
        <v>510247</v>
      </c>
      <c r="P1735">
        <v>-445013</v>
      </c>
    </row>
    <row r="1736" spans="13:16" x14ac:dyDescent="0.3">
      <c r="M1736">
        <v>1734</v>
      </c>
      <c r="N1736">
        <v>238106</v>
      </c>
      <c r="P1736">
        <v>-427494</v>
      </c>
    </row>
    <row r="1737" spans="13:16" x14ac:dyDescent="0.3">
      <c r="M1737">
        <v>1735</v>
      </c>
      <c r="N1737">
        <v>-633216</v>
      </c>
      <c r="P1737">
        <v>-251412</v>
      </c>
    </row>
    <row r="1738" spans="13:16" x14ac:dyDescent="0.3">
      <c r="M1738">
        <v>1736</v>
      </c>
      <c r="N1738">
        <v>204989</v>
      </c>
      <c r="P1738">
        <v>19467</v>
      </c>
    </row>
    <row r="1739" spans="13:16" x14ac:dyDescent="0.3">
      <c r="M1739">
        <v>1737</v>
      </c>
      <c r="N1739">
        <v>717495</v>
      </c>
      <c r="P1739">
        <v>-29952</v>
      </c>
    </row>
    <row r="1740" spans="13:16" x14ac:dyDescent="0.3">
      <c r="M1740">
        <v>1738</v>
      </c>
      <c r="N1740">
        <v>296797</v>
      </c>
      <c r="P1740">
        <v>-258454</v>
      </c>
    </row>
    <row r="1741" spans="13:16" x14ac:dyDescent="0.3">
      <c r="M1741">
        <v>1739</v>
      </c>
      <c r="N1741">
        <v>-760010</v>
      </c>
      <c r="P1741">
        <v>-123769</v>
      </c>
    </row>
    <row r="1742" spans="13:16" x14ac:dyDescent="0.3">
      <c r="M1742">
        <v>1740</v>
      </c>
      <c r="N1742">
        <v>-662988</v>
      </c>
      <c r="P1742">
        <v>93656</v>
      </c>
    </row>
    <row r="1743" spans="13:16" x14ac:dyDescent="0.3">
      <c r="M1743">
        <v>1741</v>
      </c>
      <c r="N1743">
        <v>638744</v>
      </c>
      <c r="P1743">
        <v>-730526</v>
      </c>
    </row>
    <row r="1744" spans="13:16" x14ac:dyDescent="0.3">
      <c r="M1744">
        <v>1742</v>
      </c>
      <c r="N1744">
        <v>-555762</v>
      </c>
      <c r="P1744">
        <v>221307</v>
      </c>
    </row>
    <row r="1745" spans="13:16" x14ac:dyDescent="0.3">
      <c r="M1745">
        <v>1743</v>
      </c>
      <c r="N1745">
        <v>-224431</v>
      </c>
      <c r="P1745">
        <v>-168446</v>
      </c>
    </row>
    <row r="1746" spans="13:16" x14ac:dyDescent="0.3">
      <c r="M1746">
        <v>1744</v>
      </c>
      <c r="N1746">
        <v>224363</v>
      </c>
      <c r="P1746">
        <v>233277</v>
      </c>
    </row>
    <row r="1747" spans="13:16" x14ac:dyDescent="0.3">
      <c r="M1747">
        <v>1745</v>
      </c>
      <c r="N1747">
        <v>-302977</v>
      </c>
      <c r="P1747">
        <v>437743</v>
      </c>
    </row>
    <row r="1748" spans="13:16" x14ac:dyDescent="0.3">
      <c r="M1748">
        <v>1746</v>
      </c>
      <c r="N1748">
        <v>-313279</v>
      </c>
      <c r="P1748">
        <v>-321349</v>
      </c>
    </row>
    <row r="1749" spans="13:16" x14ac:dyDescent="0.3">
      <c r="M1749">
        <v>1747</v>
      </c>
      <c r="N1749">
        <v>-516157</v>
      </c>
      <c r="P1749">
        <v>-454448</v>
      </c>
    </row>
    <row r="1750" spans="13:16" x14ac:dyDescent="0.3">
      <c r="M1750">
        <v>1748</v>
      </c>
      <c r="N1750">
        <v>77140</v>
      </c>
      <c r="P1750">
        <v>-23446</v>
      </c>
    </row>
    <row r="1751" spans="13:16" x14ac:dyDescent="0.3">
      <c r="M1751">
        <v>1749</v>
      </c>
      <c r="N1751">
        <v>-434713</v>
      </c>
      <c r="P1751">
        <v>121411</v>
      </c>
    </row>
    <row r="1752" spans="13:16" x14ac:dyDescent="0.3">
      <c r="M1752">
        <v>1750</v>
      </c>
      <c r="N1752">
        <v>89789</v>
      </c>
      <c r="P1752">
        <v>522820</v>
      </c>
    </row>
    <row r="1753" spans="13:16" x14ac:dyDescent="0.3">
      <c r="M1753">
        <v>1751</v>
      </c>
      <c r="N1753">
        <v>114359</v>
      </c>
      <c r="P1753">
        <v>303395</v>
      </c>
    </row>
    <row r="1754" spans="13:16" x14ac:dyDescent="0.3">
      <c r="M1754">
        <v>1752</v>
      </c>
      <c r="N1754">
        <v>-27845</v>
      </c>
      <c r="P1754">
        <v>-648842</v>
      </c>
    </row>
    <row r="1755" spans="13:16" x14ac:dyDescent="0.3">
      <c r="M1755">
        <v>1753</v>
      </c>
      <c r="N1755">
        <v>-81718</v>
      </c>
      <c r="P1755">
        <v>133609</v>
      </c>
    </row>
    <row r="1756" spans="13:16" x14ac:dyDescent="0.3">
      <c r="M1756">
        <v>1754</v>
      </c>
      <c r="N1756">
        <v>-411325</v>
      </c>
      <c r="P1756">
        <v>-11116</v>
      </c>
    </row>
    <row r="1757" spans="13:16" x14ac:dyDescent="0.3">
      <c r="M1757">
        <v>1755</v>
      </c>
      <c r="N1757">
        <v>18737</v>
      </c>
      <c r="P1757">
        <v>-394702</v>
      </c>
    </row>
    <row r="1758" spans="13:16" x14ac:dyDescent="0.3">
      <c r="M1758">
        <v>1756</v>
      </c>
      <c r="N1758">
        <v>-83101</v>
      </c>
      <c r="P1758">
        <v>-769677</v>
      </c>
    </row>
    <row r="1759" spans="13:16" x14ac:dyDescent="0.3">
      <c r="M1759">
        <v>1757</v>
      </c>
      <c r="N1759">
        <v>-266118</v>
      </c>
      <c r="P1759">
        <v>-514179</v>
      </c>
    </row>
    <row r="1760" spans="13:16" x14ac:dyDescent="0.3">
      <c r="M1760">
        <v>1758</v>
      </c>
      <c r="N1760">
        <v>261271</v>
      </c>
      <c r="P1760">
        <v>138952</v>
      </c>
    </row>
    <row r="1761" spans="13:16" x14ac:dyDescent="0.3">
      <c r="M1761">
        <v>1759</v>
      </c>
      <c r="N1761">
        <v>-67282</v>
      </c>
      <c r="P1761">
        <v>341038</v>
      </c>
    </row>
    <row r="1762" spans="13:16" x14ac:dyDescent="0.3">
      <c r="M1762">
        <v>1760</v>
      </c>
      <c r="N1762">
        <v>570270</v>
      </c>
      <c r="P1762">
        <v>406286</v>
      </c>
    </row>
    <row r="1763" spans="13:16" x14ac:dyDescent="0.3">
      <c r="M1763">
        <v>1761</v>
      </c>
      <c r="N1763">
        <v>185678</v>
      </c>
      <c r="P1763">
        <v>-259696</v>
      </c>
    </row>
    <row r="1764" spans="13:16" x14ac:dyDescent="0.3">
      <c r="M1764">
        <v>1762</v>
      </c>
      <c r="N1764">
        <v>212163</v>
      </c>
      <c r="P1764">
        <v>10209</v>
      </c>
    </row>
    <row r="1765" spans="13:16" x14ac:dyDescent="0.3">
      <c r="M1765">
        <v>1763</v>
      </c>
      <c r="N1765">
        <v>-579284</v>
      </c>
      <c r="P1765">
        <v>90056</v>
      </c>
    </row>
    <row r="1766" spans="13:16" x14ac:dyDescent="0.3">
      <c r="M1766">
        <v>1764</v>
      </c>
      <c r="N1766">
        <v>408465</v>
      </c>
      <c r="P1766">
        <v>-296451</v>
      </c>
    </row>
    <row r="1767" spans="13:16" x14ac:dyDescent="0.3">
      <c r="M1767">
        <v>1765</v>
      </c>
      <c r="N1767">
        <v>295437</v>
      </c>
      <c r="P1767">
        <v>135303</v>
      </c>
    </row>
    <row r="1768" spans="13:16" x14ac:dyDescent="0.3">
      <c r="M1768">
        <v>1766</v>
      </c>
      <c r="N1768">
        <v>90420</v>
      </c>
      <c r="P1768">
        <v>26491</v>
      </c>
    </row>
    <row r="1769" spans="13:16" x14ac:dyDescent="0.3">
      <c r="M1769">
        <v>1767</v>
      </c>
      <c r="N1769">
        <v>317149</v>
      </c>
      <c r="P1769">
        <v>-40960</v>
      </c>
    </row>
    <row r="1770" spans="13:16" x14ac:dyDescent="0.3">
      <c r="M1770">
        <v>1768</v>
      </c>
      <c r="N1770">
        <v>-382739</v>
      </c>
      <c r="P1770">
        <v>-328345</v>
      </c>
    </row>
    <row r="1771" spans="13:16" x14ac:dyDescent="0.3">
      <c r="M1771">
        <v>1769</v>
      </c>
      <c r="N1771">
        <v>-404974</v>
      </c>
      <c r="P1771">
        <v>465283</v>
      </c>
    </row>
    <row r="1772" spans="13:16" x14ac:dyDescent="0.3">
      <c r="M1772">
        <v>1770</v>
      </c>
      <c r="N1772">
        <v>-299925</v>
      </c>
      <c r="P1772">
        <v>-39999</v>
      </c>
    </row>
    <row r="1773" spans="13:16" x14ac:dyDescent="0.3">
      <c r="M1773">
        <v>1771</v>
      </c>
      <c r="N1773">
        <v>78272</v>
      </c>
      <c r="P1773">
        <v>-406015</v>
      </c>
    </row>
    <row r="1774" spans="13:16" x14ac:dyDescent="0.3">
      <c r="M1774">
        <v>1772</v>
      </c>
      <c r="N1774">
        <v>-782647</v>
      </c>
      <c r="P1774">
        <v>-121070</v>
      </c>
    </row>
    <row r="1775" spans="13:16" x14ac:dyDescent="0.3">
      <c r="M1775">
        <v>1773</v>
      </c>
      <c r="N1775">
        <v>-368472</v>
      </c>
      <c r="P1775">
        <v>-153063</v>
      </c>
    </row>
    <row r="1776" spans="13:16" x14ac:dyDescent="0.3">
      <c r="M1776">
        <v>1774</v>
      </c>
      <c r="N1776">
        <v>-249405</v>
      </c>
      <c r="P1776">
        <v>-365809</v>
      </c>
    </row>
    <row r="1777" spans="13:16" x14ac:dyDescent="0.3">
      <c r="M1777">
        <v>1775</v>
      </c>
      <c r="N1777">
        <v>434081</v>
      </c>
      <c r="P1777">
        <v>-364845</v>
      </c>
    </row>
    <row r="1778" spans="13:16" x14ac:dyDescent="0.3">
      <c r="M1778">
        <v>1776</v>
      </c>
      <c r="N1778">
        <v>332099</v>
      </c>
      <c r="P1778">
        <v>12219</v>
      </c>
    </row>
    <row r="1779" spans="13:16" x14ac:dyDescent="0.3">
      <c r="M1779">
        <v>1777</v>
      </c>
      <c r="N1779">
        <v>-127622</v>
      </c>
      <c r="P1779">
        <v>-634574</v>
      </c>
    </row>
    <row r="1780" spans="13:16" x14ac:dyDescent="0.3">
      <c r="M1780">
        <v>1778</v>
      </c>
      <c r="N1780">
        <v>-362909</v>
      </c>
      <c r="P1780">
        <v>391583</v>
      </c>
    </row>
    <row r="1781" spans="13:16" x14ac:dyDescent="0.3">
      <c r="M1781">
        <v>1779</v>
      </c>
      <c r="N1781">
        <v>792504</v>
      </c>
      <c r="P1781">
        <v>98512</v>
      </c>
    </row>
    <row r="1782" spans="13:16" x14ac:dyDescent="0.3">
      <c r="M1782">
        <v>1780</v>
      </c>
      <c r="N1782">
        <v>-365698</v>
      </c>
      <c r="P1782">
        <v>-187892</v>
      </c>
    </row>
    <row r="1783" spans="13:16" x14ac:dyDescent="0.3">
      <c r="M1783">
        <v>1781</v>
      </c>
      <c r="N1783">
        <v>17087</v>
      </c>
      <c r="P1783">
        <v>-484236</v>
      </c>
    </row>
    <row r="1784" spans="13:16" x14ac:dyDescent="0.3">
      <c r="M1784">
        <v>1782</v>
      </c>
      <c r="N1784">
        <v>-469186</v>
      </c>
      <c r="P1784">
        <v>176645</v>
      </c>
    </row>
    <row r="1785" spans="13:16" x14ac:dyDescent="0.3">
      <c r="M1785">
        <v>1783</v>
      </c>
      <c r="N1785">
        <v>-547436</v>
      </c>
      <c r="P1785">
        <v>-516237</v>
      </c>
    </row>
    <row r="1786" spans="13:16" x14ac:dyDescent="0.3">
      <c r="M1786">
        <v>1784</v>
      </c>
      <c r="N1786">
        <v>664928</v>
      </c>
      <c r="P1786">
        <v>-464148</v>
      </c>
    </row>
    <row r="1787" spans="13:16" x14ac:dyDescent="0.3">
      <c r="M1787">
        <v>1785</v>
      </c>
      <c r="N1787">
        <v>22790</v>
      </c>
      <c r="P1787">
        <v>-204042</v>
      </c>
    </row>
    <row r="1788" spans="13:16" x14ac:dyDescent="0.3">
      <c r="M1788">
        <v>1786</v>
      </c>
      <c r="N1788">
        <v>-86693</v>
      </c>
      <c r="P1788">
        <v>-346956</v>
      </c>
    </row>
    <row r="1789" spans="13:16" x14ac:dyDescent="0.3">
      <c r="M1789">
        <v>1787</v>
      </c>
      <c r="N1789">
        <v>771477</v>
      </c>
      <c r="P1789">
        <v>-742819</v>
      </c>
    </row>
    <row r="1790" spans="13:16" x14ac:dyDescent="0.3">
      <c r="M1790">
        <v>1788</v>
      </c>
      <c r="N1790">
        <v>200591</v>
      </c>
      <c r="P1790">
        <v>572529</v>
      </c>
    </row>
    <row r="1791" spans="13:16" x14ac:dyDescent="0.3">
      <c r="M1791">
        <v>1789</v>
      </c>
      <c r="N1791">
        <v>-98272</v>
      </c>
      <c r="P1791">
        <v>457894</v>
      </c>
    </row>
    <row r="1792" spans="13:16" x14ac:dyDescent="0.3">
      <c r="M1792">
        <v>1790</v>
      </c>
      <c r="N1792">
        <v>-566257</v>
      </c>
      <c r="P1792">
        <v>98690</v>
      </c>
    </row>
    <row r="1793" spans="13:16" x14ac:dyDescent="0.3">
      <c r="M1793">
        <v>1791</v>
      </c>
      <c r="N1793">
        <v>9467</v>
      </c>
      <c r="P1793">
        <v>340837</v>
      </c>
    </row>
    <row r="1794" spans="13:16" x14ac:dyDescent="0.3">
      <c r="M1794">
        <v>1792</v>
      </c>
      <c r="N1794">
        <v>262799</v>
      </c>
      <c r="P1794">
        <v>-739315</v>
      </c>
    </row>
    <row r="1795" spans="13:16" x14ac:dyDescent="0.3">
      <c r="M1795">
        <v>1793</v>
      </c>
      <c r="N1795">
        <v>-281723</v>
      </c>
      <c r="P1795">
        <v>-607429</v>
      </c>
    </row>
    <row r="1796" spans="13:16" x14ac:dyDescent="0.3">
      <c r="M1796">
        <v>1794</v>
      </c>
      <c r="N1796">
        <v>40786</v>
      </c>
      <c r="P1796">
        <v>-225733</v>
      </c>
    </row>
    <row r="1797" spans="13:16" x14ac:dyDescent="0.3">
      <c r="M1797">
        <v>1795</v>
      </c>
      <c r="N1797">
        <v>-74902</v>
      </c>
      <c r="P1797">
        <v>-497069</v>
      </c>
    </row>
    <row r="1798" spans="13:16" x14ac:dyDescent="0.3">
      <c r="M1798">
        <v>1796</v>
      </c>
      <c r="N1798">
        <v>606642</v>
      </c>
      <c r="P1798">
        <v>-11959</v>
      </c>
    </row>
    <row r="1799" spans="13:16" x14ac:dyDescent="0.3">
      <c r="M1799">
        <v>1797</v>
      </c>
      <c r="N1799">
        <v>552419</v>
      </c>
      <c r="P1799">
        <v>527364</v>
      </c>
    </row>
    <row r="1800" spans="13:16" x14ac:dyDescent="0.3">
      <c r="M1800">
        <v>1798</v>
      </c>
      <c r="N1800">
        <v>223438</v>
      </c>
      <c r="P1800">
        <v>-540138</v>
      </c>
    </row>
    <row r="1801" spans="13:16" x14ac:dyDescent="0.3">
      <c r="M1801">
        <v>1799</v>
      </c>
      <c r="N1801">
        <v>-182208</v>
      </c>
      <c r="P1801">
        <v>-555655</v>
      </c>
    </row>
    <row r="1802" spans="13:16" x14ac:dyDescent="0.3">
      <c r="M1802">
        <v>1800</v>
      </c>
      <c r="N1802">
        <v>-229207</v>
      </c>
      <c r="P1802">
        <v>233906</v>
      </c>
    </row>
    <row r="1803" spans="13:16" x14ac:dyDescent="0.3">
      <c r="M1803">
        <v>1801</v>
      </c>
      <c r="N1803">
        <v>-270025</v>
      </c>
      <c r="P1803">
        <v>141849</v>
      </c>
    </row>
    <row r="1804" spans="13:16" x14ac:dyDescent="0.3">
      <c r="M1804">
        <v>1802</v>
      </c>
      <c r="N1804">
        <v>-392319</v>
      </c>
      <c r="P1804">
        <v>-245118</v>
      </c>
    </row>
    <row r="1805" spans="13:16" x14ac:dyDescent="0.3">
      <c r="M1805">
        <v>1803</v>
      </c>
      <c r="N1805">
        <v>234303</v>
      </c>
      <c r="P1805">
        <v>-202627</v>
      </c>
    </row>
    <row r="1806" spans="13:16" x14ac:dyDescent="0.3">
      <c r="M1806">
        <v>1804</v>
      </c>
      <c r="N1806">
        <v>-472291</v>
      </c>
      <c r="P1806">
        <v>-435104</v>
      </c>
    </row>
    <row r="1807" spans="13:16" x14ac:dyDescent="0.3">
      <c r="M1807">
        <v>1805</v>
      </c>
      <c r="N1807">
        <v>49826</v>
      </c>
      <c r="P1807">
        <v>390310</v>
      </c>
    </row>
    <row r="1808" spans="13:16" x14ac:dyDescent="0.3">
      <c r="M1808">
        <v>1806</v>
      </c>
      <c r="N1808">
        <v>-642492</v>
      </c>
      <c r="P1808">
        <v>-20340</v>
      </c>
    </row>
    <row r="1809" spans="13:16" x14ac:dyDescent="0.3">
      <c r="M1809">
        <v>1807</v>
      </c>
      <c r="N1809">
        <v>937549</v>
      </c>
      <c r="P1809">
        <v>230618</v>
      </c>
    </row>
    <row r="1810" spans="13:16" x14ac:dyDescent="0.3">
      <c r="M1810">
        <v>1808</v>
      </c>
      <c r="N1810">
        <v>518504</v>
      </c>
      <c r="P1810">
        <v>648819</v>
      </c>
    </row>
    <row r="1811" spans="13:16" x14ac:dyDescent="0.3">
      <c r="M1811">
        <v>1809</v>
      </c>
      <c r="N1811">
        <v>33997</v>
      </c>
      <c r="P1811">
        <v>-726852</v>
      </c>
    </row>
    <row r="1812" spans="13:16" x14ac:dyDescent="0.3">
      <c r="M1812">
        <v>1810</v>
      </c>
      <c r="N1812">
        <v>-93362</v>
      </c>
      <c r="P1812">
        <v>-325889</v>
      </c>
    </row>
    <row r="1813" spans="13:16" x14ac:dyDescent="0.3">
      <c r="M1813">
        <v>1811</v>
      </c>
      <c r="N1813">
        <v>501504</v>
      </c>
      <c r="P1813">
        <v>-624920</v>
      </c>
    </row>
    <row r="1814" spans="13:16" x14ac:dyDescent="0.3">
      <c r="M1814">
        <v>1812</v>
      </c>
      <c r="N1814">
        <v>-489828</v>
      </c>
      <c r="P1814">
        <v>-595453</v>
      </c>
    </row>
    <row r="1815" spans="13:16" x14ac:dyDescent="0.3">
      <c r="M1815">
        <v>1813</v>
      </c>
      <c r="N1815">
        <v>-251111</v>
      </c>
      <c r="P1815">
        <v>-397715</v>
      </c>
    </row>
    <row r="1816" spans="13:16" x14ac:dyDescent="0.3">
      <c r="M1816">
        <v>1814</v>
      </c>
      <c r="N1816">
        <v>-327543</v>
      </c>
      <c r="P1816">
        <v>-24574</v>
      </c>
    </row>
    <row r="1817" spans="13:16" x14ac:dyDescent="0.3">
      <c r="M1817">
        <v>1815</v>
      </c>
      <c r="N1817">
        <v>-396596</v>
      </c>
      <c r="P1817">
        <v>850814</v>
      </c>
    </row>
    <row r="1818" spans="13:16" x14ac:dyDescent="0.3">
      <c r="M1818">
        <v>1816</v>
      </c>
      <c r="N1818">
        <v>-473886</v>
      </c>
      <c r="P1818">
        <v>184833</v>
      </c>
    </row>
    <row r="1819" spans="13:16" x14ac:dyDescent="0.3">
      <c r="M1819">
        <v>1817</v>
      </c>
      <c r="N1819">
        <v>129819</v>
      </c>
      <c r="P1819">
        <v>-390818</v>
      </c>
    </row>
    <row r="1820" spans="13:16" x14ac:dyDescent="0.3">
      <c r="M1820">
        <v>1818</v>
      </c>
      <c r="N1820">
        <v>-110803</v>
      </c>
      <c r="P1820">
        <v>-137938</v>
      </c>
    </row>
    <row r="1821" spans="13:16" x14ac:dyDescent="0.3">
      <c r="M1821">
        <v>1819</v>
      </c>
      <c r="N1821">
        <v>-563346</v>
      </c>
      <c r="P1821">
        <v>735060</v>
      </c>
    </row>
    <row r="1822" spans="13:16" x14ac:dyDescent="0.3">
      <c r="M1822">
        <v>1820</v>
      </c>
      <c r="N1822">
        <v>-91148</v>
      </c>
      <c r="P1822">
        <v>-370505</v>
      </c>
    </row>
    <row r="1823" spans="13:16" x14ac:dyDescent="0.3">
      <c r="M1823">
        <v>1821</v>
      </c>
      <c r="N1823">
        <v>-188929</v>
      </c>
      <c r="P1823">
        <v>-474113</v>
      </c>
    </row>
    <row r="1824" spans="13:16" x14ac:dyDescent="0.3">
      <c r="M1824">
        <v>1822</v>
      </c>
      <c r="N1824">
        <v>-666850</v>
      </c>
      <c r="P1824">
        <v>-236906</v>
      </c>
    </row>
    <row r="1825" spans="13:16" x14ac:dyDescent="0.3">
      <c r="M1825">
        <v>1823</v>
      </c>
      <c r="N1825">
        <v>-19173</v>
      </c>
      <c r="P1825">
        <v>137625</v>
      </c>
    </row>
    <row r="1826" spans="13:16" x14ac:dyDescent="0.3">
      <c r="M1826">
        <v>1824</v>
      </c>
      <c r="N1826">
        <v>-21930</v>
      </c>
      <c r="P1826">
        <v>-720903</v>
      </c>
    </row>
    <row r="1827" spans="13:16" x14ac:dyDescent="0.3">
      <c r="M1827">
        <v>1825</v>
      </c>
      <c r="N1827">
        <v>105151</v>
      </c>
      <c r="P1827">
        <v>447275</v>
      </c>
    </row>
    <row r="1828" spans="13:16" x14ac:dyDescent="0.3">
      <c r="M1828">
        <v>1826</v>
      </c>
      <c r="N1828">
        <v>620823</v>
      </c>
      <c r="P1828">
        <v>238911</v>
      </c>
    </row>
    <row r="1829" spans="13:16" x14ac:dyDescent="0.3">
      <c r="M1829">
        <v>1827</v>
      </c>
      <c r="N1829">
        <v>-539962</v>
      </c>
      <c r="P1829">
        <v>831504</v>
      </c>
    </row>
    <row r="1830" spans="13:16" x14ac:dyDescent="0.3">
      <c r="M1830">
        <v>1828</v>
      </c>
      <c r="N1830">
        <v>586313</v>
      </c>
      <c r="P1830">
        <v>-221253</v>
      </c>
    </row>
    <row r="1831" spans="13:16" x14ac:dyDescent="0.3">
      <c r="M1831">
        <v>1829</v>
      </c>
      <c r="N1831">
        <v>577622</v>
      </c>
      <c r="P1831">
        <v>-214525</v>
      </c>
    </row>
    <row r="1832" spans="13:16" x14ac:dyDescent="0.3">
      <c r="M1832">
        <v>1830</v>
      </c>
      <c r="N1832">
        <v>780392</v>
      </c>
      <c r="P1832">
        <v>-377893</v>
      </c>
    </row>
    <row r="1833" spans="13:16" x14ac:dyDescent="0.3">
      <c r="M1833">
        <v>1831</v>
      </c>
      <c r="N1833">
        <v>-405269</v>
      </c>
      <c r="P1833">
        <v>-153618</v>
      </c>
    </row>
    <row r="1834" spans="13:16" x14ac:dyDescent="0.3">
      <c r="M1834">
        <v>1832</v>
      </c>
      <c r="N1834">
        <v>12264</v>
      </c>
      <c r="P1834">
        <v>586830</v>
      </c>
    </row>
    <row r="1835" spans="13:16" x14ac:dyDescent="0.3">
      <c r="M1835">
        <v>1833</v>
      </c>
      <c r="N1835">
        <v>806084</v>
      </c>
      <c r="P1835">
        <v>113746</v>
      </c>
    </row>
    <row r="1836" spans="13:16" x14ac:dyDescent="0.3">
      <c r="M1836">
        <v>1834</v>
      </c>
      <c r="N1836">
        <v>-397299</v>
      </c>
      <c r="P1836">
        <v>205161</v>
      </c>
    </row>
    <row r="1837" spans="13:16" x14ac:dyDescent="0.3">
      <c r="M1837">
        <v>1835</v>
      </c>
      <c r="N1837">
        <v>-569125</v>
      </c>
      <c r="P1837">
        <v>156782</v>
      </c>
    </row>
    <row r="1838" spans="13:16" x14ac:dyDescent="0.3">
      <c r="M1838">
        <v>1836</v>
      </c>
      <c r="N1838">
        <v>598360</v>
      </c>
      <c r="P1838">
        <v>-103214</v>
      </c>
    </row>
    <row r="1839" spans="13:16" x14ac:dyDescent="0.3">
      <c r="M1839">
        <v>1837</v>
      </c>
      <c r="N1839">
        <v>474627</v>
      </c>
      <c r="P1839">
        <v>581631</v>
      </c>
    </row>
    <row r="1840" spans="13:16" x14ac:dyDescent="0.3">
      <c r="M1840">
        <v>1838</v>
      </c>
      <c r="N1840">
        <v>-489307</v>
      </c>
      <c r="P1840">
        <v>219686</v>
      </c>
    </row>
    <row r="1841" spans="13:16" x14ac:dyDescent="0.3">
      <c r="M1841">
        <v>1839</v>
      </c>
      <c r="N1841">
        <v>-319592</v>
      </c>
      <c r="P1841">
        <v>-531551</v>
      </c>
    </row>
    <row r="1842" spans="13:16" x14ac:dyDescent="0.3">
      <c r="M1842">
        <v>1840</v>
      </c>
      <c r="N1842">
        <v>928261</v>
      </c>
      <c r="P1842">
        <v>-235603</v>
      </c>
    </row>
    <row r="1843" spans="13:16" x14ac:dyDescent="0.3">
      <c r="M1843">
        <v>1841</v>
      </c>
      <c r="N1843">
        <v>569649</v>
      </c>
      <c r="P1843">
        <v>791447</v>
      </c>
    </row>
    <row r="1844" spans="13:16" x14ac:dyDescent="0.3">
      <c r="M1844">
        <v>1842</v>
      </c>
      <c r="N1844">
        <v>158345</v>
      </c>
      <c r="P1844">
        <v>-63389</v>
      </c>
    </row>
    <row r="1845" spans="13:16" x14ac:dyDescent="0.3">
      <c r="M1845">
        <v>1843</v>
      </c>
      <c r="N1845">
        <v>2257</v>
      </c>
      <c r="P1845">
        <v>369792</v>
      </c>
    </row>
    <row r="1846" spans="13:16" x14ac:dyDescent="0.3">
      <c r="M1846">
        <v>1844</v>
      </c>
      <c r="N1846">
        <v>-502637</v>
      </c>
      <c r="P1846">
        <v>764577</v>
      </c>
    </row>
    <row r="1847" spans="13:16" x14ac:dyDescent="0.3">
      <c r="M1847">
        <v>1845</v>
      </c>
      <c r="N1847">
        <v>-255147</v>
      </c>
      <c r="P1847">
        <v>-530971</v>
      </c>
    </row>
    <row r="1848" spans="13:16" x14ac:dyDescent="0.3">
      <c r="M1848">
        <v>1846</v>
      </c>
      <c r="N1848">
        <v>-123358</v>
      </c>
      <c r="P1848">
        <v>300843</v>
      </c>
    </row>
    <row r="1849" spans="13:16" x14ac:dyDescent="0.3">
      <c r="M1849">
        <v>1847</v>
      </c>
      <c r="N1849">
        <v>501478</v>
      </c>
      <c r="P1849">
        <v>-440484</v>
      </c>
    </row>
    <row r="1850" spans="13:16" x14ac:dyDescent="0.3">
      <c r="M1850">
        <v>1848</v>
      </c>
      <c r="N1850">
        <v>323864</v>
      </c>
      <c r="P1850">
        <v>50278</v>
      </c>
    </row>
    <row r="1851" spans="13:16" x14ac:dyDescent="0.3">
      <c r="M1851">
        <v>1849</v>
      </c>
      <c r="N1851">
        <v>-771487</v>
      </c>
      <c r="P1851">
        <v>661998</v>
      </c>
    </row>
    <row r="1852" spans="13:16" x14ac:dyDescent="0.3">
      <c r="M1852">
        <v>1850</v>
      </c>
      <c r="N1852">
        <v>801972</v>
      </c>
      <c r="P1852">
        <v>-91065</v>
      </c>
    </row>
    <row r="1853" spans="13:16" x14ac:dyDescent="0.3">
      <c r="M1853">
        <v>1851</v>
      </c>
      <c r="N1853">
        <v>277654</v>
      </c>
      <c r="P1853">
        <v>-71414</v>
      </c>
    </row>
    <row r="1854" spans="13:16" x14ac:dyDescent="0.3">
      <c r="M1854">
        <v>1852</v>
      </c>
      <c r="N1854">
        <v>-152516</v>
      </c>
      <c r="P1854">
        <v>170375</v>
      </c>
    </row>
    <row r="1855" spans="13:16" x14ac:dyDescent="0.3">
      <c r="M1855">
        <v>1853</v>
      </c>
      <c r="N1855">
        <v>76044</v>
      </c>
      <c r="P1855">
        <v>-355037</v>
      </c>
    </row>
    <row r="1856" spans="13:16" x14ac:dyDescent="0.3">
      <c r="M1856">
        <v>1854</v>
      </c>
      <c r="N1856">
        <v>264451</v>
      </c>
      <c r="P1856">
        <v>422812</v>
      </c>
    </row>
    <row r="1857" spans="13:16" x14ac:dyDescent="0.3">
      <c r="M1857">
        <v>1855</v>
      </c>
      <c r="N1857">
        <v>422656</v>
      </c>
      <c r="P1857">
        <v>-468516</v>
      </c>
    </row>
    <row r="1858" spans="13:16" x14ac:dyDescent="0.3">
      <c r="M1858">
        <v>1856</v>
      </c>
      <c r="N1858">
        <v>6665</v>
      </c>
      <c r="P1858">
        <v>-820687</v>
      </c>
    </row>
    <row r="1859" spans="13:16" x14ac:dyDescent="0.3">
      <c r="M1859">
        <v>1857</v>
      </c>
      <c r="N1859">
        <v>998946</v>
      </c>
      <c r="P1859">
        <v>-7247</v>
      </c>
    </row>
    <row r="1860" spans="13:16" x14ac:dyDescent="0.3">
      <c r="M1860">
        <v>1858</v>
      </c>
      <c r="N1860">
        <v>-430179</v>
      </c>
      <c r="P1860">
        <v>-622159</v>
      </c>
    </row>
    <row r="1861" spans="13:16" x14ac:dyDescent="0.3">
      <c r="M1861">
        <v>1859</v>
      </c>
      <c r="N1861">
        <v>551196</v>
      </c>
      <c r="P1861">
        <v>-186430</v>
      </c>
    </row>
    <row r="1862" spans="13:16" x14ac:dyDescent="0.3">
      <c r="M1862">
        <v>1860</v>
      </c>
      <c r="N1862">
        <v>-84015</v>
      </c>
      <c r="P1862">
        <v>-305843</v>
      </c>
    </row>
    <row r="1863" spans="13:16" x14ac:dyDescent="0.3">
      <c r="M1863">
        <v>1861</v>
      </c>
      <c r="N1863">
        <v>-498678</v>
      </c>
      <c r="P1863">
        <v>321427</v>
      </c>
    </row>
    <row r="1864" spans="13:16" x14ac:dyDescent="0.3">
      <c r="M1864">
        <v>1862</v>
      </c>
      <c r="N1864">
        <v>176866</v>
      </c>
      <c r="P1864">
        <v>516566</v>
      </c>
    </row>
    <row r="1865" spans="13:16" x14ac:dyDescent="0.3">
      <c r="M1865">
        <v>1863</v>
      </c>
      <c r="N1865">
        <v>-860833</v>
      </c>
      <c r="P1865">
        <v>-451197</v>
      </c>
    </row>
    <row r="1866" spans="13:16" x14ac:dyDescent="0.3">
      <c r="M1866">
        <v>1864</v>
      </c>
      <c r="N1866">
        <v>-11210</v>
      </c>
      <c r="P1866">
        <v>-494857</v>
      </c>
    </row>
    <row r="1867" spans="13:16" x14ac:dyDescent="0.3">
      <c r="M1867">
        <v>1865</v>
      </c>
      <c r="N1867">
        <v>-84030</v>
      </c>
      <c r="P1867">
        <v>332230</v>
      </c>
    </row>
    <row r="1868" spans="13:16" x14ac:dyDescent="0.3">
      <c r="M1868">
        <v>1866</v>
      </c>
      <c r="N1868">
        <v>217635</v>
      </c>
      <c r="P1868">
        <v>267423</v>
      </c>
    </row>
    <row r="1869" spans="13:16" x14ac:dyDescent="0.3">
      <c r="M1869">
        <v>1867</v>
      </c>
      <c r="N1869">
        <v>-574726</v>
      </c>
      <c r="P1869">
        <v>-519557</v>
      </c>
    </row>
    <row r="1870" spans="13:16" x14ac:dyDescent="0.3">
      <c r="M1870">
        <v>1868</v>
      </c>
      <c r="N1870">
        <v>-595404</v>
      </c>
      <c r="P1870">
        <v>480973</v>
      </c>
    </row>
    <row r="1871" spans="13:16" x14ac:dyDescent="0.3">
      <c r="M1871">
        <v>1869</v>
      </c>
      <c r="N1871">
        <v>6916</v>
      </c>
      <c r="P1871">
        <v>-54184</v>
      </c>
    </row>
    <row r="1872" spans="13:16" x14ac:dyDescent="0.3">
      <c r="M1872">
        <v>1870</v>
      </c>
      <c r="N1872">
        <v>-486783</v>
      </c>
      <c r="P1872">
        <v>-311316</v>
      </c>
    </row>
    <row r="1873" spans="13:16" x14ac:dyDescent="0.3">
      <c r="M1873">
        <v>1871</v>
      </c>
      <c r="N1873">
        <v>321316</v>
      </c>
      <c r="P1873">
        <v>-150077</v>
      </c>
    </row>
    <row r="1874" spans="13:16" x14ac:dyDescent="0.3">
      <c r="M1874">
        <v>1872</v>
      </c>
      <c r="N1874">
        <v>203905</v>
      </c>
      <c r="P1874">
        <v>34614</v>
      </c>
    </row>
    <row r="1875" spans="13:16" x14ac:dyDescent="0.3">
      <c r="M1875">
        <v>1873</v>
      </c>
      <c r="N1875">
        <v>-249369</v>
      </c>
      <c r="P1875">
        <v>406207</v>
      </c>
    </row>
    <row r="1876" spans="13:16" x14ac:dyDescent="0.3">
      <c r="M1876">
        <v>1874</v>
      </c>
      <c r="N1876">
        <v>394762</v>
      </c>
      <c r="P1876">
        <v>-5385</v>
      </c>
    </row>
    <row r="1877" spans="13:16" x14ac:dyDescent="0.3">
      <c r="M1877">
        <v>1875</v>
      </c>
      <c r="N1877">
        <v>-388011</v>
      </c>
      <c r="P1877">
        <v>-441929</v>
      </c>
    </row>
    <row r="1878" spans="13:16" x14ac:dyDescent="0.3">
      <c r="M1878">
        <v>1876</v>
      </c>
      <c r="N1878">
        <v>481905</v>
      </c>
      <c r="P1878">
        <v>379959</v>
      </c>
    </row>
    <row r="1879" spans="13:16" x14ac:dyDescent="0.3">
      <c r="M1879">
        <v>1877</v>
      </c>
      <c r="N1879">
        <v>-594557</v>
      </c>
      <c r="P1879">
        <v>-330320</v>
      </c>
    </row>
    <row r="1880" spans="13:16" x14ac:dyDescent="0.3">
      <c r="M1880">
        <v>1878</v>
      </c>
      <c r="N1880">
        <v>154203</v>
      </c>
      <c r="P1880">
        <v>972513</v>
      </c>
    </row>
    <row r="1881" spans="13:16" x14ac:dyDescent="0.3">
      <c r="M1881">
        <v>1879</v>
      </c>
      <c r="N1881">
        <v>636296</v>
      </c>
      <c r="P1881">
        <v>-458983</v>
      </c>
    </row>
    <row r="1882" spans="13:16" x14ac:dyDescent="0.3">
      <c r="M1882">
        <v>1880</v>
      </c>
      <c r="N1882">
        <v>602646</v>
      </c>
      <c r="P1882">
        <v>323986</v>
      </c>
    </row>
    <row r="1883" spans="13:16" x14ac:dyDescent="0.3">
      <c r="M1883">
        <v>1881</v>
      </c>
      <c r="N1883">
        <v>876805</v>
      </c>
      <c r="P1883">
        <v>-352264</v>
      </c>
    </row>
    <row r="1884" spans="13:16" x14ac:dyDescent="0.3">
      <c r="M1884">
        <v>1882</v>
      </c>
      <c r="N1884">
        <v>1011011</v>
      </c>
      <c r="P1884">
        <v>399699</v>
      </c>
    </row>
    <row r="1885" spans="13:16" x14ac:dyDescent="0.3">
      <c r="M1885">
        <v>1883</v>
      </c>
      <c r="N1885">
        <v>409473</v>
      </c>
      <c r="P1885">
        <v>-181880</v>
      </c>
    </row>
    <row r="1886" spans="13:16" x14ac:dyDescent="0.3">
      <c r="M1886">
        <v>1884</v>
      </c>
      <c r="N1886">
        <v>18265</v>
      </c>
      <c r="P1886">
        <v>618252</v>
      </c>
    </row>
    <row r="1887" spans="13:16" x14ac:dyDescent="0.3">
      <c r="M1887">
        <v>1885</v>
      </c>
      <c r="N1887">
        <v>478593</v>
      </c>
      <c r="P1887">
        <v>-821333</v>
      </c>
    </row>
    <row r="1888" spans="13:16" x14ac:dyDescent="0.3">
      <c r="M1888">
        <v>1886</v>
      </c>
      <c r="N1888">
        <v>-105574</v>
      </c>
      <c r="P1888">
        <v>-618501</v>
      </c>
    </row>
    <row r="1889" spans="13:16" x14ac:dyDescent="0.3">
      <c r="M1889">
        <v>1887</v>
      </c>
      <c r="N1889">
        <v>39145</v>
      </c>
      <c r="P1889">
        <v>-342515</v>
      </c>
    </row>
    <row r="1890" spans="13:16" x14ac:dyDescent="0.3">
      <c r="M1890">
        <v>1888</v>
      </c>
      <c r="N1890">
        <v>253032</v>
      </c>
      <c r="P1890">
        <v>369075</v>
      </c>
    </row>
    <row r="1891" spans="13:16" x14ac:dyDescent="0.3">
      <c r="M1891">
        <v>1889</v>
      </c>
      <c r="N1891">
        <v>562223</v>
      </c>
      <c r="P1891">
        <v>204326</v>
      </c>
    </row>
    <row r="1892" spans="13:16" x14ac:dyDescent="0.3">
      <c r="M1892">
        <v>1890</v>
      </c>
      <c r="N1892">
        <v>658326</v>
      </c>
      <c r="P1892">
        <v>-54524</v>
      </c>
    </row>
    <row r="1893" spans="13:16" x14ac:dyDescent="0.3">
      <c r="M1893">
        <v>1891</v>
      </c>
      <c r="N1893">
        <v>135042</v>
      </c>
      <c r="P1893">
        <v>-153384</v>
      </c>
    </row>
    <row r="1894" spans="13:16" x14ac:dyDescent="0.3">
      <c r="M1894">
        <v>1892</v>
      </c>
      <c r="N1894">
        <v>504051</v>
      </c>
      <c r="P1894">
        <v>-83266</v>
      </c>
    </row>
    <row r="1895" spans="13:16" x14ac:dyDescent="0.3">
      <c r="M1895">
        <v>1893</v>
      </c>
      <c r="N1895">
        <v>428699</v>
      </c>
      <c r="P1895">
        <v>679868</v>
      </c>
    </row>
    <row r="1896" spans="13:16" x14ac:dyDescent="0.3">
      <c r="M1896">
        <v>1894</v>
      </c>
      <c r="N1896">
        <v>-447857</v>
      </c>
      <c r="P1896">
        <v>-352706</v>
      </c>
    </row>
    <row r="1897" spans="13:16" x14ac:dyDescent="0.3">
      <c r="M1897">
        <v>1895</v>
      </c>
      <c r="N1897">
        <v>154465</v>
      </c>
      <c r="P1897">
        <v>-235035</v>
      </c>
    </row>
    <row r="1898" spans="13:16" x14ac:dyDescent="0.3">
      <c r="M1898">
        <v>1896</v>
      </c>
      <c r="N1898">
        <v>-47670</v>
      </c>
      <c r="P1898">
        <v>-51904</v>
      </c>
    </row>
    <row r="1899" spans="13:16" x14ac:dyDescent="0.3">
      <c r="M1899">
        <v>1897</v>
      </c>
      <c r="N1899">
        <v>-82718</v>
      </c>
      <c r="P1899">
        <v>-579078</v>
      </c>
    </row>
    <row r="1900" spans="13:16" x14ac:dyDescent="0.3">
      <c r="M1900">
        <v>1898</v>
      </c>
      <c r="N1900">
        <v>-432357</v>
      </c>
      <c r="P1900">
        <v>-27012</v>
      </c>
    </row>
    <row r="1901" spans="13:16" x14ac:dyDescent="0.3">
      <c r="M1901">
        <v>1899</v>
      </c>
      <c r="N1901">
        <v>-378034</v>
      </c>
      <c r="P1901">
        <v>297394</v>
      </c>
    </row>
    <row r="1902" spans="13:16" x14ac:dyDescent="0.3">
      <c r="M1902">
        <v>1900</v>
      </c>
      <c r="N1902">
        <v>346816</v>
      </c>
      <c r="P1902">
        <v>-277553</v>
      </c>
    </row>
    <row r="1903" spans="13:16" x14ac:dyDescent="0.3">
      <c r="M1903">
        <v>1901</v>
      </c>
      <c r="N1903">
        <v>80343</v>
      </c>
      <c r="P1903">
        <v>-515027</v>
      </c>
    </row>
    <row r="1904" spans="13:16" x14ac:dyDescent="0.3">
      <c r="M1904">
        <v>1902</v>
      </c>
      <c r="N1904">
        <v>369315</v>
      </c>
      <c r="P1904">
        <v>-566947</v>
      </c>
    </row>
    <row r="1905" spans="13:16" x14ac:dyDescent="0.3">
      <c r="M1905">
        <v>1903</v>
      </c>
      <c r="N1905">
        <v>-616587</v>
      </c>
      <c r="P1905">
        <v>88354</v>
      </c>
    </row>
    <row r="1906" spans="13:16" x14ac:dyDescent="0.3">
      <c r="M1906">
        <v>1904</v>
      </c>
      <c r="N1906">
        <v>196412</v>
      </c>
      <c r="P1906">
        <v>-406292</v>
      </c>
    </row>
    <row r="1907" spans="13:16" x14ac:dyDescent="0.3">
      <c r="M1907">
        <v>1905</v>
      </c>
      <c r="N1907">
        <v>-162955</v>
      </c>
      <c r="P1907">
        <v>-184816</v>
      </c>
    </row>
    <row r="1908" spans="13:16" x14ac:dyDescent="0.3">
      <c r="M1908">
        <v>1906</v>
      </c>
      <c r="N1908">
        <v>-436739</v>
      </c>
      <c r="P1908">
        <v>528721</v>
      </c>
    </row>
    <row r="1909" spans="13:16" x14ac:dyDescent="0.3">
      <c r="M1909">
        <v>1907</v>
      </c>
      <c r="N1909">
        <v>539823</v>
      </c>
      <c r="P1909">
        <v>-373348</v>
      </c>
    </row>
    <row r="1910" spans="13:16" x14ac:dyDescent="0.3">
      <c r="M1910">
        <v>1908</v>
      </c>
      <c r="N1910">
        <v>563357</v>
      </c>
      <c r="P1910">
        <v>578318</v>
      </c>
    </row>
    <row r="1911" spans="13:16" x14ac:dyDescent="0.3">
      <c r="M1911">
        <v>1909</v>
      </c>
      <c r="N1911">
        <v>-175328</v>
      </c>
      <c r="P1911">
        <v>-411922</v>
      </c>
    </row>
    <row r="1912" spans="13:16" x14ac:dyDescent="0.3">
      <c r="M1912">
        <v>1910</v>
      </c>
      <c r="N1912">
        <v>-99738</v>
      </c>
      <c r="P1912">
        <v>-585456</v>
      </c>
    </row>
    <row r="1913" spans="13:16" x14ac:dyDescent="0.3">
      <c r="M1913">
        <v>1911</v>
      </c>
      <c r="N1913">
        <v>-527967</v>
      </c>
      <c r="P1913">
        <v>-577232</v>
      </c>
    </row>
    <row r="1914" spans="13:16" x14ac:dyDescent="0.3">
      <c r="M1914">
        <v>1912</v>
      </c>
      <c r="N1914">
        <v>-284823</v>
      </c>
      <c r="P1914">
        <v>530290</v>
      </c>
    </row>
    <row r="1915" spans="13:16" x14ac:dyDescent="0.3">
      <c r="M1915">
        <v>1913</v>
      </c>
      <c r="N1915">
        <v>-144945</v>
      </c>
      <c r="P1915">
        <v>-401646</v>
      </c>
    </row>
    <row r="1916" spans="13:16" x14ac:dyDescent="0.3">
      <c r="M1916">
        <v>1914</v>
      </c>
      <c r="N1916">
        <v>-422734</v>
      </c>
      <c r="P1916">
        <v>409232</v>
      </c>
    </row>
    <row r="1917" spans="13:16" x14ac:dyDescent="0.3">
      <c r="M1917">
        <v>1915</v>
      </c>
      <c r="N1917">
        <v>68939</v>
      </c>
      <c r="P1917">
        <v>-421419</v>
      </c>
    </row>
    <row r="1918" spans="13:16" x14ac:dyDescent="0.3">
      <c r="M1918">
        <v>1916</v>
      </c>
      <c r="N1918">
        <v>17100</v>
      </c>
      <c r="P1918">
        <v>552448</v>
      </c>
    </row>
    <row r="1919" spans="13:16" x14ac:dyDescent="0.3">
      <c r="M1919">
        <v>1917</v>
      </c>
      <c r="N1919">
        <v>509552</v>
      </c>
      <c r="P1919">
        <v>203935</v>
      </c>
    </row>
    <row r="1920" spans="13:16" x14ac:dyDescent="0.3">
      <c r="M1920">
        <v>1918</v>
      </c>
      <c r="N1920">
        <v>-685468</v>
      </c>
      <c r="P1920">
        <v>572256</v>
      </c>
    </row>
    <row r="1921" spans="13:16" x14ac:dyDescent="0.3">
      <c r="M1921">
        <v>1919</v>
      </c>
      <c r="N1921">
        <v>-660653</v>
      </c>
      <c r="P1921">
        <v>243983</v>
      </c>
    </row>
    <row r="1922" spans="13:16" x14ac:dyDescent="0.3">
      <c r="M1922">
        <v>1920</v>
      </c>
      <c r="N1922">
        <v>184768</v>
      </c>
      <c r="P1922">
        <v>-384824</v>
      </c>
    </row>
    <row r="1923" spans="13:16" x14ac:dyDescent="0.3">
      <c r="M1923">
        <v>1921</v>
      </c>
      <c r="N1923">
        <v>56005</v>
      </c>
      <c r="P1923">
        <v>-55267</v>
      </c>
    </row>
    <row r="1924" spans="13:16" x14ac:dyDescent="0.3">
      <c r="M1924">
        <v>1922</v>
      </c>
      <c r="N1924">
        <v>111019</v>
      </c>
      <c r="P1924">
        <v>360871</v>
      </c>
    </row>
    <row r="1925" spans="13:16" x14ac:dyDescent="0.3">
      <c r="M1925">
        <v>1923</v>
      </c>
      <c r="N1925">
        <v>-423720</v>
      </c>
      <c r="P1925">
        <v>317481</v>
      </c>
    </row>
    <row r="1926" spans="13:16" x14ac:dyDescent="0.3">
      <c r="M1926">
        <v>1924</v>
      </c>
      <c r="N1926">
        <v>-602005</v>
      </c>
      <c r="P1926">
        <v>-166020</v>
      </c>
    </row>
    <row r="1927" spans="13:16" x14ac:dyDescent="0.3">
      <c r="M1927">
        <v>1925</v>
      </c>
      <c r="N1927">
        <v>282630</v>
      </c>
      <c r="P1927">
        <v>321125</v>
      </c>
    </row>
    <row r="1928" spans="13:16" x14ac:dyDescent="0.3">
      <c r="M1928">
        <v>1926</v>
      </c>
      <c r="N1928">
        <v>90809</v>
      </c>
      <c r="P1928">
        <v>-718395</v>
      </c>
    </row>
    <row r="1929" spans="13:16" x14ac:dyDescent="0.3">
      <c r="M1929">
        <v>1927</v>
      </c>
      <c r="N1929">
        <v>-59831</v>
      </c>
      <c r="P1929">
        <v>-250815</v>
      </c>
    </row>
    <row r="1930" spans="13:16" x14ac:dyDescent="0.3">
      <c r="M1930">
        <v>1928</v>
      </c>
      <c r="N1930">
        <v>-287789</v>
      </c>
      <c r="P1930">
        <v>304994</v>
      </c>
    </row>
    <row r="1931" spans="13:16" x14ac:dyDescent="0.3">
      <c r="M1931">
        <v>1929</v>
      </c>
      <c r="N1931">
        <v>-48743</v>
      </c>
      <c r="P1931">
        <v>-165050</v>
      </c>
    </row>
    <row r="1932" spans="13:16" x14ac:dyDescent="0.3">
      <c r="M1932">
        <v>1930</v>
      </c>
      <c r="N1932">
        <v>97483</v>
      </c>
      <c r="P1932">
        <v>575155</v>
      </c>
    </row>
    <row r="1933" spans="13:16" x14ac:dyDescent="0.3">
      <c r="M1933">
        <v>1931</v>
      </c>
      <c r="N1933">
        <v>-2633</v>
      </c>
      <c r="P1933">
        <v>146348</v>
      </c>
    </row>
    <row r="1934" spans="13:16" x14ac:dyDescent="0.3">
      <c r="M1934">
        <v>1932</v>
      </c>
      <c r="N1934">
        <v>394827</v>
      </c>
      <c r="P1934">
        <v>130588</v>
      </c>
    </row>
    <row r="1935" spans="13:16" x14ac:dyDescent="0.3">
      <c r="M1935">
        <v>1933</v>
      </c>
      <c r="N1935">
        <v>-437074</v>
      </c>
      <c r="P1935">
        <v>-385329</v>
      </c>
    </row>
    <row r="1936" spans="13:16" x14ac:dyDescent="0.3">
      <c r="M1936">
        <v>1934</v>
      </c>
      <c r="N1936">
        <v>387022</v>
      </c>
      <c r="P1936">
        <v>287765</v>
      </c>
    </row>
    <row r="1937" spans="13:16" x14ac:dyDescent="0.3">
      <c r="M1937">
        <v>1935</v>
      </c>
      <c r="N1937">
        <v>-540552</v>
      </c>
      <c r="P1937">
        <v>-207055</v>
      </c>
    </row>
    <row r="1938" spans="13:16" x14ac:dyDescent="0.3">
      <c r="M1938">
        <v>1936</v>
      </c>
      <c r="N1938">
        <v>-251169</v>
      </c>
      <c r="P1938">
        <v>-101857</v>
      </c>
    </row>
    <row r="1939" spans="13:16" x14ac:dyDescent="0.3">
      <c r="M1939">
        <v>1937</v>
      </c>
      <c r="N1939">
        <v>-55498</v>
      </c>
      <c r="P1939">
        <v>-212316</v>
      </c>
    </row>
    <row r="1940" spans="13:16" x14ac:dyDescent="0.3">
      <c r="M1940">
        <v>1938</v>
      </c>
      <c r="N1940">
        <v>-577983</v>
      </c>
      <c r="P1940">
        <v>474571</v>
      </c>
    </row>
    <row r="1941" spans="13:16" x14ac:dyDescent="0.3">
      <c r="M1941">
        <v>1939</v>
      </c>
      <c r="N1941">
        <v>-447266</v>
      </c>
      <c r="P1941">
        <v>414936</v>
      </c>
    </row>
    <row r="1942" spans="13:16" x14ac:dyDescent="0.3">
      <c r="M1942">
        <v>1940</v>
      </c>
      <c r="N1942">
        <v>-405824</v>
      </c>
      <c r="P1942">
        <v>-97886</v>
      </c>
    </row>
    <row r="1943" spans="13:16" x14ac:dyDescent="0.3">
      <c r="M1943">
        <v>1941</v>
      </c>
      <c r="N1943">
        <v>814899</v>
      </c>
      <c r="P1943">
        <v>246747</v>
      </c>
    </row>
    <row r="1944" spans="13:16" x14ac:dyDescent="0.3">
      <c r="M1944">
        <v>1942</v>
      </c>
      <c r="N1944">
        <v>80272</v>
      </c>
      <c r="P1944">
        <v>715696</v>
      </c>
    </row>
    <row r="1945" spans="13:16" x14ac:dyDescent="0.3">
      <c r="M1945">
        <v>1943</v>
      </c>
      <c r="N1945">
        <v>-282727</v>
      </c>
      <c r="P1945">
        <v>156979</v>
      </c>
    </row>
    <row r="1946" spans="13:16" x14ac:dyDescent="0.3">
      <c r="M1946">
        <v>1944</v>
      </c>
      <c r="N1946">
        <v>-512041</v>
      </c>
      <c r="P1946">
        <v>490877</v>
      </c>
    </row>
    <row r="1947" spans="13:16" x14ac:dyDescent="0.3">
      <c r="M1947">
        <v>1945</v>
      </c>
      <c r="N1947">
        <v>-530382</v>
      </c>
      <c r="P1947">
        <v>351127</v>
      </c>
    </row>
    <row r="1948" spans="13:16" x14ac:dyDescent="0.3">
      <c r="M1948">
        <v>1946</v>
      </c>
      <c r="N1948">
        <v>48071</v>
      </c>
      <c r="P1948">
        <v>30500</v>
      </c>
    </row>
    <row r="1949" spans="13:16" x14ac:dyDescent="0.3">
      <c r="M1949">
        <v>1947</v>
      </c>
      <c r="N1949">
        <v>474394</v>
      </c>
      <c r="P1949">
        <v>-96124</v>
      </c>
    </row>
    <row r="1950" spans="13:16" x14ac:dyDescent="0.3">
      <c r="M1950">
        <v>1948</v>
      </c>
      <c r="N1950">
        <v>-609066</v>
      </c>
      <c r="P1950">
        <v>-710246</v>
      </c>
    </row>
    <row r="1951" spans="13:16" x14ac:dyDescent="0.3">
      <c r="M1951">
        <v>1949</v>
      </c>
      <c r="N1951">
        <v>33835</v>
      </c>
      <c r="P1951">
        <v>-77026</v>
      </c>
    </row>
    <row r="1952" spans="13:16" x14ac:dyDescent="0.3">
      <c r="M1952">
        <v>1950</v>
      </c>
      <c r="N1952">
        <v>-326304</v>
      </c>
      <c r="P1952">
        <v>383146</v>
      </c>
    </row>
    <row r="1953" spans="13:16" x14ac:dyDescent="0.3">
      <c r="M1953">
        <v>1951</v>
      </c>
      <c r="N1953">
        <v>-331036</v>
      </c>
      <c r="P1953">
        <v>270690</v>
      </c>
    </row>
    <row r="1954" spans="13:16" x14ac:dyDescent="0.3">
      <c r="M1954">
        <v>1952</v>
      </c>
      <c r="N1954">
        <v>-773833</v>
      </c>
      <c r="P1954">
        <v>-678566</v>
      </c>
    </row>
    <row r="1955" spans="13:16" x14ac:dyDescent="0.3">
      <c r="M1955">
        <v>1953</v>
      </c>
      <c r="N1955">
        <v>-110740</v>
      </c>
      <c r="P1955">
        <v>-172669</v>
      </c>
    </row>
    <row r="1956" spans="13:16" x14ac:dyDescent="0.3">
      <c r="M1956">
        <v>1954</v>
      </c>
      <c r="N1956">
        <v>-136748</v>
      </c>
      <c r="P1956">
        <v>-170176</v>
      </c>
    </row>
    <row r="1957" spans="13:16" x14ac:dyDescent="0.3">
      <c r="M1957">
        <v>1955</v>
      </c>
      <c r="N1957">
        <v>-763618</v>
      </c>
      <c r="P1957">
        <v>-452402</v>
      </c>
    </row>
    <row r="1958" spans="13:16" x14ac:dyDescent="0.3">
      <c r="M1958">
        <v>1956</v>
      </c>
      <c r="N1958">
        <v>-7526</v>
      </c>
      <c r="P1958">
        <v>279725</v>
      </c>
    </row>
    <row r="1959" spans="13:16" x14ac:dyDescent="0.3">
      <c r="M1959">
        <v>1957</v>
      </c>
      <c r="N1959">
        <v>-716865</v>
      </c>
      <c r="P1959">
        <v>256064</v>
      </c>
    </row>
    <row r="1960" spans="13:16" x14ac:dyDescent="0.3">
      <c r="M1960">
        <v>1958</v>
      </c>
      <c r="N1960">
        <v>405349</v>
      </c>
      <c r="P1960">
        <v>260581</v>
      </c>
    </row>
    <row r="1961" spans="13:16" x14ac:dyDescent="0.3">
      <c r="M1961">
        <v>1959</v>
      </c>
      <c r="N1961">
        <v>722882</v>
      </c>
      <c r="P1961">
        <v>553415</v>
      </c>
    </row>
    <row r="1962" spans="13:16" x14ac:dyDescent="0.3">
      <c r="M1962">
        <v>1960</v>
      </c>
      <c r="N1962">
        <v>644210</v>
      </c>
      <c r="P1962">
        <v>-629465</v>
      </c>
    </row>
    <row r="1963" spans="13:16" x14ac:dyDescent="0.3">
      <c r="M1963">
        <v>1961</v>
      </c>
      <c r="N1963">
        <v>120894</v>
      </c>
      <c r="P1963">
        <v>-168453</v>
      </c>
    </row>
    <row r="1964" spans="13:16" x14ac:dyDescent="0.3">
      <c r="M1964">
        <v>1962</v>
      </c>
      <c r="N1964">
        <v>353820</v>
      </c>
      <c r="P1964">
        <v>-596959</v>
      </c>
    </row>
    <row r="1965" spans="13:16" x14ac:dyDescent="0.3">
      <c r="M1965">
        <v>1963</v>
      </c>
      <c r="N1965">
        <v>535667</v>
      </c>
      <c r="P1965">
        <v>-297668</v>
      </c>
    </row>
    <row r="1966" spans="13:16" x14ac:dyDescent="0.3">
      <c r="M1966">
        <v>1964</v>
      </c>
      <c r="N1966">
        <v>825014</v>
      </c>
      <c r="P1966">
        <v>-304217</v>
      </c>
    </row>
    <row r="1967" spans="13:16" x14ac:dyDescent="0.3">
      <c r="M1967">
        <v>1965</v>
      </c>
      <c r="N1967">
        <v>-566701</v>
      </c>
      <c r="P1967">
        <v>142695</v>
      </c>
    </row>
    <row r="1968" spans="13:16" x14ac:dyDescent="0.3">
      <c r="M1968">
        <v>1966</v>
      </c>
      <c r="N1968">
        <v>498579</v>
      </c>
      <c r="P1968">
        <v>489010</v>
      </c>
    </row>
    <row r="1969" spans="13:16" x14ac:dyDescent="0.3">
      <c r="M1969">
        <v>1967</v>
      </c>
      <c r="N1969">
        <v>566189</v>
      </c>
      <c r="P1969">
        <v>379732</v>
      </c>
    </row>
    <row r="1970" spans="13:16" x14ac:dyDescent="0.3">
      <c r="M1970">
        <v>1968</v>
      </c>
      <c r="N1970">
        <v>-132114</v>
      </c>
      <c r="P1970">
        <v>-532119</v>
      </c>
    </row>
    <row r="1971" spans="13:16" x14ac:dyDescent="0.3">
      <c r="M1971">
        <v>1969</v>
      </c>
      <c r="N1971">
        <v>698556</v>
      </c>
      <c r="P1971">
        <v>115565</v>
      </c>
    </row>
    <row r="1972" spans="13:16" x14ac:dyDescent="0.3">
      <c r="M1972">
        <v>1970</v>
      </c>
      <c r="N1972">
        <v>605648</v>
      </c>
      <c r="P1972">
        <v>371735</v>
      </c>
    </row>
    <row r="1973" spans="13:16" x14ac:dyDescent="0.3">
      <c r="M1973">
        <v>1971</v>
      </c>
      <c r="N1973">
        <v>-468726</v>
      </c>
      <c r="P1973">
        <v>363225</v>
      </c>
    </row>
    <row r="1974" spans="13:16" x14ac:dyDescent="0.3">
      <c r="M1974">
        <v>1972</v>
      </c>
      <c r="N1974">
        <v>250983</v>
      </c>
      <c r="P1974">
        <v>300712</v>
      </c>
    </row>
    <row r="1975" spans="13:16" x14ac:dyDescent="0.3">
      <c r="M1975">
        <v>1973</v>
      </c>
      <c r="N1975">
        <v>767437</v>
      </c>
      <c r="P1975">
        <v>-205938</v>
      </c>
    </row>
    <row r="1976" spans="13:16" x14ac:dyDescent="0.3">
      <c r="M1976">
        <v>1974</v>
      </c>
      <c r="N1976">
        <v>-227657</v>
      </c>
      <c r="P1976">
        <v>-467394</v>
      </c>
    </row>
    <row r="1977" spans="13:16" x14ac:dyDescent="0.3">
      <c r="M1977">
        <v>1975</v>
      </c>
      <c r="N1977">
        <v>-161959</v>
      </c>
      <c r="P1977">
        <v>173116</v>
      </c>
    </row>
    <row r="1978" spans="13:16" x14ac:dyDescent="0.3">
      <c r="M1978">
        <v>1976</v>
      </c>
      <c r="N1978">
        <v>-174063</v>
      </c>
      <c r="P1978">
        <v>-16795</v>
      </c>
    </row>
    <row r="1979" spans="13:16" x14ac:dyDescent="0.3">
      <c r="M1979">
        <v>1977</v>
      </c>
      <c r="N1979">
        <v>-127574</v>
      </c>
      <c r="P1979">
        <v>-199829</v>
      </c>
    </row>
    <row r="1980" spans="13:16" x14ac:dyDescent="0.3">
      <c r="M1980">
        <v>1978</v>
      </c>
      <c r="N1980">
        <v>324163</v>
      </c>
      <c r="P1980">
        <v>555147</v>
      </c>
    </row>
    <row r="1981" spans="13:16" x14ac:dyDescent="0.3">
      <c r="M1981">
        <v>1979</v>
      </c>
      <c r="N1981">
        <v>288166</v>
      </c>
      <c r="P1981">
        <v>-426640</v>
      </c>
    </row>
    <row r="1982" spans="13:16" x14ac:dyDescent="0.3">
      <c r="M1982">
        <v>1980</v>
      </c>
      <c r="N1982">
        <v>991207</v>
      </c>
      <c r="P1982">
        <v>-779067</v>
      </c>
    </row>
    <row r="1983" spans="13:16" x14ac:dyDescent="0.3">
      <c r="M1983">
        <v>1981</v>
      </c>
      <c r="N1983">
        <v>-310658</v>
      </c>
      <c r="P1983">
        <v>-349631</v>
      </c>
    </row>
    <row r="1984" spans="13:16" x14ac:dyDescent="0.3">
      <c r="M1984">
        <v>1982</v>
      </c>
      <c r="N1984">
        <v>471086</v>
      </c>
      <c r="P1984">
        <v>571169</v>
      </c>
    </row>
    <row r="1985" spans="13:16" x14ac:dyDescent="0.3">
      <c r="M1985">
        <v>1983</v>
      </c>
      <c r="N1985">
        <v>-45333</v>
      </c>
      <c r="P1985">
        <v>-109823</v>
      </c>
    </row>
    <row r="1986" spans="13:16" x14ac:dyDescent="0.3">
      <c r="M1986">
        <v>1984</v>
      </c>
      <c r="N1986">
        <v>-178099</v>
      </c>
      <c r="P1986">
        <v>339471</v>
      </c>
    </row>
    <row r="1987" spans="13:16" x14ac:dyDescent="0.3">
      <c r="M1987">
        <v>1985</v>
      </c>
      <c r="N1987">
        <v>-166026</v>
      </c>
      <c r="P1987">
        <v>544671</v>
      </c>
    </row>
    <row r="1988" spans="13:16" x14ac:dyDescent="0.3">
      <c r="M1988">
        <v>1986</v>
      </c>
      <c r="N1988">
        <v>-70463</v>
      </c>
      <c r="P1988">
        <v>784549</v>
      </c>
    </row>
    <row r="1989" spans="13:16" x14ac:dyDescent="0.3">
      <c r="M1989">
        <v>1987</v>
      </c>
      <c r="N1989">
        <v>733180</v>
      </c>
      <c r="P1989">
        <v>-504602</v>
      </c>
    </row>
    <row r="1990" spans="13:16" x14ac:dyDescent="0.3">
      <c r="M1990">
        <v>1988</v>
      </c>
      <c r="N1990">
        <v>-763130</v>
      </c>
      <c r="P1990">
        <v>389943</v>
      </c>
    </row>
    <row r="1991" spans="13:16" x14ac:dyDescent="0.3">
      <c r="M1991">
        <v>1989</v>
      </c>
      <c r="N1991">
        <v>345344</v>
      </c>
      <c r="P1991">
        <v>544478</v>
      </c>
    </row>
    <row r="1992" spans="13:16" x14ac:dyDescent="0.3">
      <c r="M1992">
        <v>1990</v>
      </c>
      <c r="N1992">
        <v>633324</v>
      </c>
      <c r="P1992">
        <v>547644</v>
      </c>
    </row>
    <row r="1993" spans="13:16" x14ac:dyDescent="0.3">
      <c r="M1993">
        <v>1991</v>
      </c>
      <c r="N1993">
        <v>170532</v>
      </c>
      <c r="P1993">
        <v>96200</v>
      </c>
    </row>
    <row r="1994" spans="13:16" x14ac:dyDescent="0.3">
      <c r="M1994">
        <v>1992</v>
      </c>
      <c r="N1994">
        <v>-785087</v>
      </c>
      <c r="P1994">
        <v>-296611</v>
      </c>
    </row>
    <row r="1995" spans="13:16" x14ac:dyDescent="0.3">
      <c r="M1995">
        <v>1993</v>
      </c>
      <c r="N1995">
        <v>-249212</v>
      </c>
      <c r="P1995">
        <v>-313697</v>
      </c>
    </row>
    <row r="1996" spans="13:16" x14ac:dyDescent="0.3">
      <c r="M1996">
        <v>1994</v>
      </c>
      <c r="N1996">
        <v>-239357</v>
      </c>
      <c r="P1996">
        <v>146586</v>
      </c>
    </row>
    <row r="1997" spans="13:16" x14ac:dyDescent="0.3">
      <c r="M1997">
        <v>1995</v>
      </c>
      <c r="N1997">
        <v>-580622</v>
      </c>
      <c r="P1997">
        <v>273218</v>
      </c>
    </row>
    <row r="1998" spans="13:16" x14ac:dyDescent="0.3">
      <c r="M1998">
        <v>1996</v>
      </c>
      <c r="N1998">
        <v>722381</v>
      </c>
      <c r="P1998">
        <v>310182</v>
      </c>
    </row>
    <row r="1999" spans="13:16" x14ac:dyDescent="0.3">
      <c r="M1999">
        <v>1997</v>
      </c>
      <c r="N1999">
        <v>129839</v>
      </c>
      <c r="P1999">
        <v>-70603</v>
      </c>
    </row>
    <row r="2000" spans="13:16" x14ac:dyDescent="0.3">
      <c r="M2000">
        <v>1998</v>
      </c>
      <c r="N2000">
        <v>382313</v>
      </c>
      <c r="P2000">
        <v>-491315</v>
      </c>
    </row>
    <row r="2001" spans="13:16" x14ac:dyDescent="0.3">
      <c r="M2001">
        <v>1999</v>
      </c>
      <c r="N2001">
        <v>126641</v>
      </c>
      <c r="P2001">
        <v>-705075</v>
      </c>
    </row>
    <row r="2002" spans="13:16" x14ac:dyDescent="0.3">
      <c r="M2002">
        <v>2000</v>
      </c>
      <c r="N2002">
        <v>189055</v>
      </c>
      <c r="P2002">
        <v>246992</v>
      </c>
    </row>
    <row r="2003" spans="13:16" x14ac:dyDescent="0.3">
      <c r="M2003">
        <v>2001</v>
      </c>
      <c r="N2003">
        <v>-569145</v>
      </c>
      <c r="P2003">
        <v>-5665</v>
      </c>
    </row>
    <row r="2004" spans="13:16" x14ac:dyDescent="0.3">
      <c r="M2004">
        <v>2002</v>
      </c>
      <c r="N2004">
        <v>158335</v>
      </c>
      <c r="P2004">
        <v>-31308</v>
      </c>
    </row>
    <row r="2005" spans="13:16" x14ac:dyDescent="0.3">
      <c r="M2005">
        <v>2003</v>
      </c>
      <c r="N2005">
        <v>-340971</v>
      </c>
      <c r="P2005">
        <v>495395</v>
      </c>
    </row>
    <row r="2006" spans="13:16" x14ac:dyDescent="0.3">
      <c r="M2006">
        <v>2004</v>
      </c>
      <c r="N2006">
        <v>-406551</v>
      </c>
      <c r="P2006">
        <v>334907</v>
      </c>
    </row>
    <row r="2007" spans="13:16" x14ac:dyDescent="0.3">
      <c r="M2007">
        <v>2005</v>
      </c>
      <c r="N2007">
        <v>-82230</v>
      </c>
      <c r="P2007">
        <v>-440337</v>
      </c>
    </row>
    <row r="2008" spans="13:16" x14ac:dyDescent="0.3">
      <c r="M2008">
        <v>2006</v>
      </c>
      <c r="N2008">
        <v>341946</v>
      </c>
      <c r="P2008">
        <v>587589</v>
      </c>
    </row>
    <row r="2009" spans="13:16" x14ac:dyDescent="0.3">
      <c r="M2009">
        <v>2007</v>
      </c>
      <c r="N2009">
        <v>-64765</v>
      </c>
      <c r="P2009">
        <v>-403823</v>
      </c>
    </row>
    <row r="2010" spans="13:16" x14ac:dyDescent="0.3">
      <c r="M2010">
        <v>2008</v>
      </c>
      <c r="N2010">
        <v>-544930</v>
      </c>
      <c r="P2010">
        <v>-449821</v>
      </c>
    </row>
    <row r="2011" spans="13:16" x14ac:dyDescent="0.3">
      <c r="M2011">
        <v>2009</v>
      </c>
      <c r="N2011">
        <v>491909</v>
      </c>
      <c r="P2011">
        <v>696337</v>
      </c>
    </row>
    <row r="2012" spans="13:16" x14ac:dyDescent="0.3">
      <c r="M2012">
        <v>2010</v>
      </c>
      <c r="N2012">
        <v>659748</v>
      </c>
      <c r="P2012">
        <v>-129060</v>
      </c>
    </row>
    <row r="2013" spans="13:16" x14ac:dyDescent="0.3">
      <c r="M2013">
        <v>2011</v>
      </c>
      <c r="N2013">
        <v>295609</v>
      </c>
      <c r="P2013">
        <v>575679</v>
      </c>
    </row>
    <row r="2014" spans="13:16" x14ac:dyDescent="0.3">
      <c r="M2014">
        <v>2012</v>
      </c>
      <c r="N2014">
        <v>126636</v>
      </c>
      <c r="P2014">
        <v>88632</v>
      </c>
    </row>
    <row r="2015" spans="13:16" x14ac:dyDescent="0.3">
      <c r="M2015">
        <v>2013</v>
      </c>
      <c r="N2015">
        <v>493616</v>
      </c>
      <c r="P2015">
        <v>282145</v>
      </c>
    </row>
    <row r="2016" spans="13:16" x14ac:dyDescent="0.3">
      <c r="M2016">
        <v>2014</v>
      </c>
      <c r="N2016">
        <v>611290</v>
      </c>
      <c r="P2016">
        <v>130733</v>
      </c>
    </row>
    <row r="2017" spans="13:16" x14ac:dyDescent="0.3">
      <c r="M2017">
        <v>2015</v>
      </c>
      <c r="N2017">
        <v>-90413</v>
      </c>
      <c r="P2017">
        <v>90043</v>
      </c>
    </row>
    <row r="2018" spans="13:16" x14ac:dyDescent="0.3">
      <c r="M2018">
        <v>2016</v>
      </c>
      <c r="N2018">
        <v>749572</v>
      </c>
      <c r="P2018">
        <v>-143347</v>
      </c>
    </row>
    <row r="2019" spans="13:16" x14ac:dyDescent="0.3">
      <c r="M2019">
        <v>2017</v>
      </c>
      <c r="N2019">
        <v>485739</v>
      </c>
      <c r="P2019">
        <v>-880741</v>
      </c>
    </row>
    <row r="2020" spans="13:16" x14ac:dyDescent="0.3">
      <c r="M2020">
        <v>2018</v>
      </c>
      <c r="N2020">
        <v>-77661</v>
      </c>
      <c r="P2020">
        <v>195795</v>
      </c>
    </row>
    <row r="2021" spans="13:16" x14ac:dyDescent="0.3">
      <c r="M2021">
        <v>2019</v>
      </c>
      <c r="N2021">
        <v>-602726</v>
      </c>
      <c r="P2021">
        <v>-585909</v>
      </c>
    </row>
    <row r="2022" spans="13:16" x14ac:dyDescent="0.3">
      <c r="M2022">
        <v>2020</v>
      </c>
      <c r="N2022">
        <v>-486437</v>
      </c>
      <c r="P2022">
        <v>-66765</v>
      </c>
    </row>
    <row r="2023" spans="13:16" x14ac:dyDescent="0.3">
      <c r="M2023">
        <v>2021</v>
      </c>
      <c r="N2023">
        <v>170661</v>
      </c>
      <c r="P2023">
        <v>122603</v>
      </c>
    </row>
    <row r="2024" spans="13:16" x14ac:dyDescent="0.3">
      <c r="M2024">
        <v>2022</v>
      </c>
      <c r="N2024">
        <v>-319238</v>
      </c>
      <c r="P2024">
        <v>-291320</v>
      </c>
    </row>
    <row r="2025" spans="13:16" x14ac:dyDescent="0.3">
      <c r="M2025">
        <v>2023</v>
      </c>
      <c r="N2025">
        <v>108370</v>
      </c>
      <c r="P2025">
        <v>374260</v>
      </c>
    </row>
    <row r="2026" spans="13:16" x14ac:dyDescent="0.3">
      <c r="M2026">
        <v>2024</v>
      </c>
      <c r="N2026">
        <v>-477623</v>
      </c>
      <c r="P2026">
        <v>206865</v>
      </c>
    </row>
    <row r="2027" spans="13:16" x14ac:dyDescent="0.3">
      <c r="M2027">
        <v>2025</v>
      </c>
      <c r="N2027">
        <v>137317</v>
      </c>
      <c r="P2027">
        <v>210053</v>
      </c>
    </row>
    <row r="2028" spans="13:16" x14ac:dyDescent="0.3">
      <c r="M2028">
        <v>2026</v>
      </c>
      <c r="N2028">
        <v>62318</v>
      </c>
      <c r="P2028">
        <v>278439</v>
      </c>
    </row>
    <row r="2029" spans="13:16" x14ac:dyDescent="0.3">
      <c r="M2029">
        <v>2027</v>
      </c>
      <c r="N2029">
        <v>32742</v>
      </c>
      <c r="P2029">
        <v>-112597</v>
      </c>
    </row>
    <row r="2030" spans="13:16" x14ac:dyDescent="0.3">
      <c r="M2030">
        <v>2028</v>
      </c>
      <c r="N2030">
        <v>-394597</v>
      </c>
      <c r="P2030">
        <v>-581280</v>
      </c>
    </row>
    <row r="2031" spans="13:16" x14ac:dyDescent="0.3">
      <c r="M2031">
        <v>2029</v>
      </c>
      <c r="N2031">
        <v>619896</v>
      </c>
      <c r="P2031">
        <v>526437</v>
      </c>
    </row>
    <row r="2032" spans="13:16" x14ac:dyDescent="0.3">
      <c r="M2032">
        <v>2030</v>
      </c>
      <c r="N2032">
        <v>169338</v>
      </c>
      <c r="P2032">
        <v>755396</v>
      </c>
    </row>
    <row r="2033" spans="13:16" x14ac:dyDescent="0.3">
      <c r="M2033">
        <v>2031</v>
      </c>
      <c r="N2033">
        <v>537787</v>
      </c>
      <c r="P2033">
        <v>356289</v>
      </c>
    </row>
    <row r="2034" spans="13:16" x14ac:dyDescent="0.3">
      <c r="M2034">
        <v>2032</v>
      </c>
      <c r="N2034">
        <v>-549302</v>
      </c>
      <c r="P2034">
        <v>-95740</v>
      </c>
    </row>
    <row r="2035" spans="13:16" x14ac:dyDescent="0.3">
      <c r="M2035">
        <v>2033</v>
      </c>
      <c r="N2035">
        <v>227324</v>
      </c>
      <c r="P2035">
        <v>-23067</v>
      </c>
    </row>
    <row r="2036" spans="13:16" x14ac:dyDescent="0.3">
      <c r="M2036">
        <v>2034</v>
      </c>
      <c r="N2036">
        <v>308017</v>
      </c>
      <c r="P2036">
        <v>-683299</v>
      </c>
    </row>
    <row r="2037" spans="13:16" x14ac:dyDescent="0.3">
      <c r="M2037">
        <v>2035</v>
      </c>
      <c r="N2037">
        <v>69969</v>
      </c>
      <c r="P2037">
        <v>-155957</v>
      </c>
    </row>
    <row r="2038" spans="13:16" x14ac:dyDescent="0.3">
      <c r="M2038">
        <v>2036</v>
      </c>
      <c r="N2038">
        <v>-646080</v>
      </c>
      <c r="P2038">
        <v>-555738</v>
      </c>
    </row>
    <row r="2039" spans="13:16" x14ac:dyDescent="0.3">
      <c r="M2039">
        <v>2037</v>
      </c>
      <c r="N2039">
        <v>122550</v>
      </c>
      <c r="P2039">
        <v>-601013</v>
      </c>
    </row>
    <row r="2040" spans="13:16" x14ac:dyDescent="0.3">
      <c r="M2040">
        <v>2038</v>
      </c>
      <c r="N2040">
        <v>-653836</v>
      </c>
      <c r="P2040">
        <v>-510150</v>
      </c>
    </row>
    <row r="2041" spans="13:16" x14ac:dyDescent="0.3">
      <c r="M2041">
        <v>2039</v>
      </c>
      <c r="N2041">
        <v>591052</v>
      </c>
      <c r="P2041">
        <v>400869</v>
      </c>
    </row>
    <row r="2042" spans="13:16" x14ac:dyDescent="0.3">
      <c r="M2042">
        <v>2040</v>
      </c>
      <c r="N2042">
        <v>-188786</v>
      </c>
      <c r="P2042">
        <v>421414</v>
      </c>
    </row>
    <row r="2043" spans="13:16" x14ac:dyDescent="0.3">
      <c r="M2043">
        <v>2041</v>
      </c>
      <c r="N2043">
        <v>-575476</v>
      </c>
      <c r="P2043">
        <v>-333480</v>
      </c>
    </row>
    <row r="2044" spans="13:16" x14ac:dyDescent="0.3">
      <c r="M2044">
        <v>2042</v>
      </c>
      <c r="N2044">
        <v>1026222</v>
      </c>
      <c r="P2044">
        <v>17187</v>
      </c>
    </row>
    <row r="2045" spans="13:16" x14ac:dyDescent="0.3">
      <c r="M2045">
        <v>2043</v>
      </c>
      <c r="N2045">
        <v>-34921</v>
      </c>
      <c r="P2045">
        <v>281339</v>
      </c>
    </row>
    <row r="2046" spans="13:16" x14ac:dyDescent="0.3">
      <c r="M2046">
        <v>2044</v>
      </c>
      <c r="N2046">
        <v>454773</v>
      </c>
      <c r="P2046">
        <v>495907</v>
      </c>
    </row>
    <row r="2047" spans="13:16" x14ac:dyDescent="0.3">
      <c r="M2047">
        <v>2045</v>
      </c>
      <c r="N2047">
        <v>-369058</v>
      </c>
      <c r="P2047">
        <v>204734</v>
      </c>
    </row>
    <row r="2048" spans="13:16" x14ac:dyDescent="0.3">
      <c r="M2048">
        <v>2046</v>
      </c>
      <c r="N2048">
        <v>-304331</v>
      </c>
      <c r="P2048">
        <v>-141090</v>
      </c>
    </row>
    <row r="2049" spans="13:16" x14ac:dyDescent="0.3">
      <c r="M2049">
        <v>2047</v>
      </c>
      <c r="N2049">
        <v>502688</v>
      </c>
      <c r="P2049">
        <v>167694</v>
      </c>
    </row>
    <row r="2050" spans="13:16" x14ac:dyDescent="0.3">
      <c r="M2050">
        <v>2048</v>
      </c>
      <c r="N2050">
        <v>44722</v>
      </c>
      <c r="P2050">
        <v>-560839</v>
      </c>
    </row>
    <row r="2051" spans="13:16" x14ac:dyDescent="0.3">
      <c r="M2051">
        <v>2049</v>
      </c>
      <c r="N2051">
        <v>-764460</v>
      </c>
      <c r="P2051">
        <v>-554884</v>
      </c>
    </row>
    <row r="2052" spans="13:16" x14ac:dyDescent="0.3">
      <c r="M2052">
        <v>2050</v>
      </c>
      <c r="N2052">
        <v>304053</v>
      </c>
      <c r="P2052">
        <v>-190186</v>
      </c>
    </row>
    <row r="2053" spans="13:16" x14ac:dyDescent="0.3">
      <c r="M2053">
        <v>2051</v>
      </c>
      <c r="N2053">
        <v>217639</v>
      </c>
      <c r="P2053">
        <v>680694</v>
      </c>
    </row>
    <row r="2054" spans="13:16" x14ac:dyDescent="0.3">
      <c r="M2054">
        <v>2052</v>
      </c>
      <c r="N2054">
        <v>53769</v>
      </c>
      <c r="P2054">
        <v>-628806</v>
      </c>
    </row>
    <row r="2055" spans="13:16" x14ac:dyDescent="0.3">
      <c r="M2055">
        <v>2053</v>
      </c>
      <c r="N2055">
        <v>-488318</v>
      </c>
      <c r="P2055">
        <v>-62678</v>
      </c>
    </row>
    <row r="2056" spans="13:16" x14ac:dyDescent="0.3">
      <c r="M2056">
        <v>2054</v>
      </c>
      <c r="N2056">
        <v>-280162</v>
      </c>
      <c r="P2056">
        <v>613772</v>
      </c>
    </row>
    <row r="2057" spans="13:16" x14ac:dyDescent="0.3">
      <c r="M2057">
        <v>2055</v>
      </c>
      <c r="N2057">
        <v>838107</v>
      </c>
      <c r="P2057">
        <v>259973</v>
      </c>
    </row>
    <row r="2058" spans="13:16" x14ac:dyDescent="0.3">
      <c r="M2058">
        <v>2056</v>
      </c>
      <c r="N2058">
        <v>248110</v>
      </c>
      <c r="P2058">
        <v>-314310</v>
      </c>
    </row>
    <row r="2059" spans="13:16" x14ac:dyDescent="0.3">
      <c r="M2059">
        <v>2057</v>
      </c>
      <c r="N2059">
        <v>217403</v>
      </c>
      <c r="P2059">
        <v>945199</v>
      </c>
    </row>
    <row r="2060" spans="13:16" x14ac:dyDescent="0.3">
      <c r="M2060">
        <v>2058</v>
      </c>
      <c r="N2060">
        <v>150322</v>
      </c>
      <c r="P2060">
        <v>-407839</v>
      </c>
    </row>
    <row r="2061" spans="13:16" x14ac:dyDescent="0.3">
      <c r="M2061">
        <v>2059</v>
      </c>
      <c r="N2061">
        <v>324757</v>
      </c>
      <c r="P2061">
        <v>538419</v>
      </c>
    </row>
    <row r="2062" spans="13:16" x14ac:dyDescent="0.3">
      <c r="M2062">
        <v>2060</v>
      </c>
      <c r="N2062">
        <v>-87404</v>
      </c>
      <c r="P2062">
        <v>-301030</v>
      </c>
    </row>
    <row r="2063" spans="13:16" x14ac:dyDescent="0.3">
      <c r="M2063">
        <v>2061</v>
      </c>
      <c r="N2063">
        <v>-202414</v>
      </c>
      <c r="P2063">
        <v>-458491</v>
      </c>
    </row>
    <row r="2064" spans="13:16" x14ac:dyDescent="0.3">
      <c r="M2064">
        <v>2062</v>
      </c>
      <c r="N2064">
        <v>628363</v>
      </c>
      <c r="P2064">
        <v>63153</v>
      </c>
    </row>
    <row r="2065" spans="13:16" x14ac:dyDescent="0.3">
      <c r="M2065">
        <v>2063</v>
      </c>
      <c r="N2065">
        <v>-385290</v>
      </c>
      <c r="P2065">
        <v>274492</v>
      </c>
    </row>
    <row r="2066" spans="13:16" x14ac:dyDescent="0.3">
      <c r="M2066">
        <v>2064</v>
      </c>
      <c r="N2066">
        <v>245071</v>
      </c>
      <c r="P2066">
        <v>131428</v>
      </c>
    </row>
    <row r="2067" spans="13:16" x14ac:dyDescent="0.3">
      <c r="M2067">
        <v>2065</v>
      </c>
      <c r="N2067">
        <v>-199883</v>
      </c>
      <c r="P2067">
        <v>-735206</v>
      </c>
    </row>
    <row r="2068" spans="13:16" x14ac:dyDescent="0.3">
      <c r="M2068">
        <v>2066</v>
      </c>
      <c r="N2068">
        <v>521520</v>
      </c>
      <c r="P2068">
        <v>105301</v>
      </c>
    </row>
    <row r="2069" spans="13:16" x14ac:dyDescent="0.3">
      <c r="M2069">
        <v>2067</v>
      </c>
      <c r="N2069">
        <v>-24223</v>
      </c>
      <c r="P2069">
        <v>316827</v>
      </c>
    </row>
    <row r="2070" spans="13:16" x14ac:dyDescent="0.3">
      <c r="M2070">
        <v>2068</v>
      </c>
      <c r="N2070">
        <v>219216</v>
      </c>
      <c r="P2070">
        <v>-439164</v>
      </c>
    </row>
    <row r="2071" spans="13:16" x14ac:dyDescent="0.3">
      <c r="M2071">
        <v>2069</v>
      </c>
      <c r="N2071">
        <v>-356894</v>
      </c>
      <c r="P2071">
        <v>348113</v>
      </c>
    </row>
    <row r="2072" spans="13:16" x14ac:dyDescent="0.3">
      <c r="M2072">
        <v>2070</v>
      </c>
      <c r="N2072">
        <v>-420206</v>
      </c>
      <c r="P2072">
        <v>350548</v>
      </c>
    </row>
    <row r="2073" spans="13:16" x14ac:dyDescent="0.3">
      <c r="M2073">
        <v>2071</v>
      </c>
      <c r="N2073">
        <v>164571</v>
      </c>
      <c r="P2073">
        <v>230550</v>
      </c>
    </row>
    <row r="2074" spans="13:16" x14ac:dyDescent="0.3">
      <c r="M2074">
        <v>2072</v>
      </c>
      <c r="N2074">
        <v>201044</v>
      </c>
      <c r="P2074">
        <v>365101</v>
      </c>
    </row>
    <row r="2075" spans="13:16" x14ac:dyDescent="0.3">
      <c r="M2075">
        <v>2073</v>
      </c>
      <c r="N2075">
        <v>145087</v>
      </c>
      <c r="P2075">
        <v>-472883</v>
      </c>
    </row>
    <row r="2076" spans="13:16" x14ac:dyDescent="0.3">
      <c r="M2076">
        <v>2074</v>
      </c>
      <c r="N2076">
        <v>598970</v>
      </c>
      <c r="P2076">
        <v>-316431</v>
      </c>
    </row>
    <row r="2077" spans="13:16" x14ac:dyDescent="0.3">
      <c r="M2077">
        <v>2075</v>
      </c>
      <c r="N2077">
        <v>-448562</v>
      </c>
      <c r="P2077">
        <v>34616</v>
      </c>
    </row>
    <row r="2078" spans="13:16" x14ac:dyDescent="0.3">
      <c r="M2078">
        <v>2076</v>
      </c>
      <c r="N2078">
        <v>-243586</v>
      </c>
      <c r="P2078">
        <v>146391</v>
      </c>
    </row>
    <row r="2079" spans="13:16" x14ac:dyDescent="0.3">
      <c r="M2079">
        <v>2077</v>
      </c>
      <c r="N2079">
        <v>245770</v>
      </c>
      <c r="P2079">
        <v>564499</v>
      </c>
    </row>
    <row r="2080" spans="13:16" x14ac:dyDescent="0.3">
      <c r="M2080">
        <v>2078</v>
      </c>
      <c r="N2080">
        <v>582887</v>
      </c>
      <c r="P2080">
        <v>-306317</v>
      </c>
    </row>
    <row r="2081" spans="13:16" x14ac:dyDescent="0.3">
      <c r="M2081">
        <v>2079</v>
      </c>
      <c r="N2081">
        <v>538749</v>
      </c>
      <c r="P2081">
        <v>364926</v>
      </c>
    </row>
    <row r="2082" spans="13:16" x14ac:dyDescent="0.3">
      <c r="M2082">
        <v>2080</v>
      </c>
      <c r="N2082">
        <v>-608215</v>
      </c>
      <c r="P2082">
        <v>-243315</v>
      </c>
    </row>
    <row r="2083" spans="13:16" x14ac:dyDescent="0.3">
      <c r="M2083">
        <v>2081</v>
      </c>
      <c r="N2083">
        <v>206012</v>
      </c>
      <c r="P2083">
        <v>208704</v>
      </c>
    </row>
    <row r="2084" spans="13:16" x14ac:dyDescent="0.3">
      <c r="M2084">
        <v>2082</v>
      </c>
      <c r="N2084">
        <v>-105486</v>
      </c>
      <c r="P2084">
        <v>-200284</v>
      </c>
    </row>
    <row r="2085" spans="13:16" x14ac:dyDescent="0.3">
      <c r="M2085">
        <v>2083</v>
      </c>
      <c r="N2085">
        <v>203654</v>
      </c>
      <c r="P2085">
        <v>1090134</v>
      </c>
    </row>
    <row r="2086" spans="13:16" x14ac:dyDescent="0.3">
      <c r="M2086">
        <v>2084</v>
      </c>
      <c r="N2086">
        <v>528040</v>
      </c>
      <c r="P2086">
        <v>298105</v>
      </c>
    </row>
    <row r="2087" spans="13:16" x14ac:dyDescent="0.3">
      <c r="M2087">
        <v>2085</v>
      </c>
      <c r="N2087">
        <v>-348014</v>
      </c>
      <c r="P2087">
        <v>290919</v>
      </c>
    </row>
    <row r="2088" spans="13:16" x14ac:dyDescent="0.3">
      <c r="M2088">
        <v>2086</v>
      </c>
      <c r="N2088">
        <v>20459</v>
      </c>
      <c r="P2088">
        <v>-47292</v>
      </c>
    </row>
    <row r="2089" spans="13:16" x14ac:dyDescent="0.3">
      <c r="M2089">
        <v>2087</v>
      </c>
      <c r="N2089">
        <v>33757</v>
      </c>
      <c r="P2089">
        <v>-110411</v>
      </c>
    </row>
    <row r="2090" spans="13:16" x14ac:dyDescent="0.3">
      <c r="M2090">
        <v>2088</v>
      </c>
      <c r="N2090">
        <v>251037</v>
      </c>
      <c r="P2090">
        <v>71286</v>
      </c>
    </row>
    <row r="2091" spans="13:16" x14ac:dyDescent="0.3">
      <c r="M2091">
        <v>2089</v>
      </c>
      <c r="N2091">
        <v>98207</v>
      </c>
      <c r="P2091">
        <v>501564</v>
      </c>
    </row>
    <row r="2092" spans="13:16" x14ac:dyDescent="0.3">
      <c r="M2092">
        <v>2090</v>
      </c>
      <c r="N2092">
        <v>195236</v>
      </c>
      <c r="P2092">
        <v>76813</v>
      </c>
    </row>
    <row r="2093" spans="13:16" x14ac:dyDescent="0.3">
      <c r="M2093">
        <v>2091</v>
      </c>
      <c r="N2093">
        <v>-204450</v>
      </c>
      <c r="P2093">
        <v>151851</v>
      </c>
    </row>
    <row r="2094" spans="13:16" x14ac:dyDescent="0.3">
      <c r="M2094">
        <v>2092</v>
      </c>
      <c r="N2094">
        <v>-600307</v>
      </c>
      <c r="P2094">
        <v>-576536</v>
      </c>
    </row>
    <row r="2095" spans="13:16" x14ac:dyDescent="0.3">
      <c r="M2095">
        <v>2093</v>
      </c>
      <c r="N2095">
        <v>729463</v>
      </c>
      <c r="P2095">
        <v>314502</v>
      </c>
    </row>
    <row r="2096" spans="13:16" x14ac:dyDescent="0.3">
      <c r="M2096">
        <v>2094</v>
      </c>
      <c r="N2096">
        <v>-429496</v>
      </c>
      <c r="P2096">
        <v>-16872</v>
      </c>
    </row>
    <row r="2097" spans="13:16" x14ac:dyDescent="0.3">
      <c r="M2097">
        <v>2095</v>
      </c>
      <c r="N2097">
        <v>623395</v>
      </c>
      <c r="P2097">
        <v>-106987</v>
      </c>
    </row>
    <row r="2098" spans="13:16" x14ac:dyDescent="0.3">
      <c r="M2098">
        <v>2096</v>
      </c>
      <c r="N2098">
        <v>-685257</v>
      </c>
      <c r="P2098">
        <v>-391504</v>
      </c>
    </row>
    <row r="2099" spans="13:16" x14ac:dyDescent="0.3">
      <c r="M2099">
        <v>2097</v>
      </c>
      <c r="N2099">
        <v>-318492</v>
      </c>
      <c r="P2099">
        <v>399070</v>
      </c>
    </row>
    <row r="2100" spans="13:16" x14ac:dyDescent="0.3">
      <c r="M2100">
        <v>2098</v>
      </c>
      <c r="N2100">
        <v>44643</v>
      </c>
      <c r="P2100">
        <v>560972</v>
      </c>
    </row>
    <row r="2101" spans="13:16" x14ac:dyDescent="0.3">
      <c r="M2101">
        <v>2099</v>
      </c>
      <c r="N2101">
        <v>-347294</v>
      </c>
      <c r="P2101">
        <v>123772</v>
      </c>
    </row>
    <row r="2102" spans="13:16" x14ac:dyDescent="0.3">
      <c r="M2102">
        <v>2100</v>
      </c>
      <c r="N2102">
        <v>-419285</v>
      </c>
      <c r="P2102">
        <v>-9022</v>
      </c>
    </row>
    <row r="2103" spans="13:16" x14ac:dyDescent="0.3">
      <c r="M2103">
        <v>2101</v>
      </c>
      <c r="N2103">
        <v>-136208</v>
      </c>
      <c r="P2103">
        <v>164164</v>
      </c>
    </row>
    <row r="2104" spans="13:16" x14ac:dyDescent="0.3">
      <c r="M2104">
        <v>2102</v>
      </c>
      <c r="N2104">
        <v>-19364</v>
      </c>
      <c r="P2104">
        <v>473398</v>
      </c>
    </row>
    <row r="2105" spans="13:16" x14ac:dyDescent="0.3">
      <c r="M2105">
        <v>2103</v>
      </c>
      <c r="N2105">
        <v>-625191</v>
      </c>
      <c r="P2105">
        <v>-330841</v>
      </c>
    </row>
    <row r="2106" spans="13:16" x14ac:dyDescent="0.3">
      <c r="M2106">
        <v>2104</v>
      </c>
      <c r="N2106">
        <v>-217416</v>
      </c>
      <c r="P2106">
        <v>760801</v>
      </c>
    </row>
    <row r="2107" spans="13:16" x14ac:dyDescent="0.3">
      <c r="M2107">
        <v>2105</v>
      </c>
      <c r="N2107">
        <v>286376</v>
      </c>
      <c r="P2107">
        <v>-100338</v>
      </c>
    </row>
    <row r="2108" spans="13:16" x14ac:dyDescent="0.3">
      <c r="M2108">
        <v>2106</v>
      </c>
      <c r="N2108">
        <v>55874</v>
      </c>
      <c r="P2108">
        <v>407486</v>
      </c>
    </row>
    <row r="2109" spans="13:16" x14ac:dyDescent="0.3">
      <c r="M2109">
        <v>2107</v>
      </c>
      <c r="N2109">
        <v>-40720</v>
      </c>
      <c r="P2109">
        <v>178436</v>
      </c>
    </row>
    <row r="2110" spans="13:16" x14ac:dyDescent="0.3">
      <c r="M2110">
        <v>2108</v>
      </c>
      <c r="N2110">
        <v>-49389</v>
      </c>
      <c r="P2110">
        <v>704701</v>
      </c>
    </row>
    <row r="2111" spans="13:16" x14ac:dyDescent="0.3">
      <c r="M2111">
        <v>2109</v>
      </c>
      <c r="N2111">
        <v>339540</v>
      </c>
      <c r="P2111">
        <v>184444</v>
      </c>
    </row>
    <row r="2112" spans="13:16" x14ac:dyDescent="0.3">
      <c r="M2112">
        <v>2110</v>
      </c>
      <c r="N2112">
        <v>-271027</v>
      </c>
      <c r="P2112">
        <v>1048647</v>
      </c>
    </row>
    <row r="2113" spans="13:16" x14ac:dyDescent="0.3">
      <c r="M2113">
        <v>2111</v>
      </c>
      <c r="N2113">
        <v>-433555</v>
      </c>
      <c r="P2113">
        <v>-431813</v>
      </c>
    </row>
    <row r="2114" spans="13:16" x14ac:dyDescent="0.3">
      <c r="M2114">
        <v>2112</v>
      </c>
      <c r="N2114">
        <v>8684</v>
      </c>
      <c r="P2114">
        <v>484920</v>
      </c>
    </row>
    <row r="2115" spans="13:16" x14ac:dyDescent="0.3">
      <c r="M2115">
        <v>2113</v>
      </c>
      <c r="N2115">
        <v>-40392</v>
      </c>
      <c r="P2115">
        <v>-337089</v>
      </c>
    </row>
    <row r="2116" spans="13:16" x14ac:dyDescent="0.3">
      <c r="M2116">
        <v>2114</v>
      </c>
      <c r="N2116">
        <v>-286976</v>
      </c>
      <c r="P2116">
        <v>-562642</v>
      </c>
    </row>
    <row r="2117" spans="13:16" x14ac:dyDescent="0.3">
      <c r="M2117">
        <v>2115</v>
      </c>
      <c r="N2117">
        <v>469379</v>
      </c>
      <c r="P2117">
        <v>294437</v>
      </c>
    </row>
    <row r="2118" spans="13:16" x14ac:dyDescent="0.3">
      <c r="M2118">
        <v>2116</v>
      </c>
      <c r="N2118">
        <v>646686</v>
      </c>
      <c r="P2118">
        <v>-444037</v>
      </c>
    </row>
    <row r="2119" spans="13:16" x14ac:dyDescent="0.3">
      <c r="M2119">
        <v>2117</v>
      </c>
      <c r="N2119">
        <v>-11914</v>
      </c>
      <c r="P2119">
        <v>-509969</v>
      </c>
    </row>
    <row r="2120" spans="13:16" x14ac:dyDescent="0.3">
      <c r="M2120">
        <v>2118</v>
      </c>
      <c r="N2120">
        <v>454916</v>
      </c>
      <c r="P2120">
        <v>606729</v>
      </c>
    </row>
    <row r="2121" spans="13:16" x14ac:dyDescent="0.3">
      <c r="M2121">
        <v>2119</v>
      </c>
      <c r="N2121">
        <v>-124379</v>
      </c>
      <c r="P2121">
        <v>-261258</v>
      </c>
    </row>
    <row r="2122" spans="13:16" x14ac:dyDescent="0.3">
      <c r="M2122">
        <v>2120</v>
      </c>
      <c r="N2122">
        <v>-663859</v>
      </c>
      <c r="P2122">
        <v>411273</v>
      </c>
    </row>
    <row r="2123" spans="13:16" x14ac:dyDescent="0.3">
      <c r="M2123">
        <v>2121</v>
      </c>
      <c r="N2123">
        <v>-580872</v>
      </c>
      <c r="P2123">
        <v>688128</v>
      </c>
    </row>
    <row r="2124" spans="13:16" x14ac:dyDescent="0.3">
      <c r="M2124">
        <v>2122</v>
      </c>
      <c r="N2124">
        <v>428269</v>
      </c>
      <c r="P2124">
        <v>810505</v>
      </c>
    </row>
    <row r="2125" spans="13:16" x14ac:dyDescent="0.3">
      <c r="M2125">
        <v>2123</v>
      </c>
      <c r="N2125">
        <v>540540</v>
      </c>
      <c r="P2125">
        <v>-309713</v>
      </c>
    </row>
    <row r="2126" spans="13:16" x14ac:dyDescent="0.3">
      <c r="M2126">
        <v>2124</v>
      </c>
      <c r="N2126">
        <v>-572968</v>
      </c>
      <c r="P2126">
        <v>238375</v>
      </c>
    </row>
    <row r="2127" spans="13:16" x14ac:dyDescent="0.3">
      <c r="M2127">
        <v>2125</v>
      </c>
      <c r="N2127">
        <v>-41146</v>
      </c>
      <c r="P2127">
        <v>1046630</v>
      </c>
    </row>
    <row r="2128" spans="13:16" x14ac:dyDescent="0.3">
      <c r="M2128">
        <v>2126</v>
      </c>
      <c r="N2128">
        <v>-235328</v>
      </c>
      <c r="P2128">
        <v>596836</v>
      </c>
    </row>
    <row r="2129" spans="13:16" x14ac:dyDescent="0.3">
      <c r="M2129">
        <v>2127</v>
      </c>
      <c r="N2129">
        <v>-111864</v>
      </c>
      <c r="P2129">
        <v>178161</v>
      </c>
    </row>
    <row r="2130" spans="13:16" x14ac:dyDescent="0.3">
      <c r="M2130">
        <v>2128</v>
      </c>
      <c r="N2130">
        <v>681538</v>
      </c>
      <c r="P2130">
        <v>-489845</v>
      </c>
    </row>
    <row r="2131" spans="13:16" x14ac:dyDescent="0.3">
      <c r="M2131">
        <v>2129</v>
      </c>
      <c r="N2131">
        <v>689036</v>
      </c>
      <c r="P2131">
        <v>242104</v>
      </c>
    </row>
    <row r="2132" spans="13:16" x14ac:dyDescent="0.3">
      <c r="M2132">
        <v>2130</v>
      </c>
      <c r="N2132">
        <v>-144728</v>
      </c>
      <c r="P2132">
        <v>504763</v>
      </c>
    </row>
    <row r="2133" spans="13:16" x14ac:dyDescent="0.3">
      <c r="M2133">
        <v>2131</v>
      </c>
      <c r="N2133">
        <v>196639</v>
      </c>
      <c r="P2133">
        <v>630421</v>
      </c>
    </row>
    <row r="2134" spans="13:16" x14ac:dyDescent="0.3">
      <c r="M2134">
        <v>2132</v>
      </c>
      <c r="N2134">
        <v>-214573</v>
      </c>
      <c r="P2134">
        <v>142301</v>
      </c>
    </row>
    <row r="2135" spans="13:16" x14ac:dyDescent="0.3">
      <c r="M2135">
        <v>2133</v>
      </c>
      <c r="N2135">
        <v>-196099</v>
      </c>
      <c r="P2135">
        <v>723023</v>
      </c>
    </row>
    <row r="2136" spans="13:16" x14ac:dyDescent="0.3">
      <c r="M2136">
        <v>2134</v>
      </c>
      <c r="N2136">
        <v>66806</v>
      </c>
      <c r="P2136">
        <v>-573470</v>
      </c>
    </row>
    <row r="2137" spans="13:16" x14ac:dyDescent="0.3">
      <c r="M2137">
        <v>2135</v>
      </c>
      <c r="N2137">
        <v>-314483</v>
      </c>
      <c r="P2137">
        <v>-369159</v>
      </c>
    </row>
    <row r="2138" spans="13:16" x14ac:dyDescent="0.3">
      <c r="M2138">
        <v>2136</v>
      </c>
      <c r="N2138">
        <v>355771</v>
      </c>
      <c r="P2138">
        <v>608719</v>
      </c>
    </row>
    <row r="2139" spans="13:16" x14ac:dyDescent="0.3">
      <c r="M2139">
        <v>2137</v>
      </c>
      <c r="N2139">
        <v>669228</v>
      </c>
      <c r="P2139">
        <v>-295781</v>
      </c>
    </row>
    <row r="2140" spans="13:16" x14ac:dyDescent="0.3">
      <c r="M2140">
        <v>2138</v>
      </c>
      <c r="N2140">
        <v>-211782</v>
      </c>
      <c r="P2140">
        <v>-237505</v>
      </c>
    </row>
    <row r="2141" spans="13:16" x14ac:dyDescent="0.3">
      <c r="M2141">
        <v>2139</v>
      </c>
      <c r="N2141">
        <v>165395</v>
      </c>
      <c r="P2141">
        <v>572636</v>
      </c>
    </row>
    <row r="2142" spans="13:16" x14ac:dyDescent="0.3">
      <c r="M2142">
        <v>2140</v>
      </c>
      <c r="N2142">
        <v>-59757</v>
      </c>
      <c r="P2142">
        <v>369148</v>
      </c>
    </row>
    <row r="2143" spans="13:16" x14ac:dyDescent="0.3">
      <c r="M2143">
        <v>2141</v>
      </c>
      <c r="N2143">
        <v>-406981</v>
      </c>
      <c r="P2143">
        <v>1065</v>
      </c>
    </row>
    <row r="2144" spans="13:16" x14ac:dyDescent="0.3">
      <c r="M2144">
        <v>2142</v>
      </c>
      <c r="N2144">
        <v>-35369</v>
      </c>
      <c r="P2144">
        <v>-239594</v>
      </c>
    </row>
    <row r="2145" spans="13:16" x14ac:dyDescent="0.3">
      <c r="M2145">
        <v>2143</v>
      </c>
      <c r="N2145">
        <v>-751220</v>
      </c>
      <c r="P2145">
        <v>-448062</v>
      </c>
    </row>
    <row r="2146" spans="13:16" x14ac:dyDescent="0.3">
      <c r="M2146">
        <v>2144</v>
      </c>
      <c r="N2146">
        <v>-126597</v>
      </c>
      <c r="P2146">
        <v>-380163</v>
      </c>
    </row>
    <row r="2147" spans="13:16" x14ac:dyDescent="0.3">
      <c r="M2147">
        <v>2145</v>
      </c>
      <c r="N2147">
        <v>-141946</v>
      </c>
      <c r="P2147">
        <v>92362</v>
      </c>
    </row>
    <row r="2148" spans="13:16" x14ac:dyDescent="0.3">
      <c r="M2148">
        <v>2146</v>
      </c>
      <c r="N2148">
        <v>-388331</v>
      </c>
      <c r="P2148">
        <v>223194</v>
      </c>
    </row>
    <row r="2149" spans="13:16" x14ac:dyDescent="0.3">
      <c r="M2149">
        <v>2147</v>
      </c>
      <c r="N2149">
        <v>370305</v>
      </c>
      <c r="P2149">
        <v>-714638</v>
      </c>
    </row>
    <row r="2150" spans="13:16" x14ac:dyDescent="0.3">
      <c r="M2150">
        <v>2148</v>
      </c>
      <c r="N2150">
        <v>-611068</v>
      </c>
      <c r="P2150">
        <v>-134672</v>
      </c>
    </row>
    <row r="2151" spans="13:16" x14ac:dyDescent="0.3">
      <c r="M2151">
        <v>2149</v>
      </c>
      <c r="N2151">
        <v>26731</v>
      </c>
      <c r="P2151">
        <v>781401</v>
      </c>
    </row>
    <row r="2152" spans="13:16" x14ac:dyDescent="0.3">
      <c r="M2152">
        <v>2150</v>
      </c>
      <c r="N2152">
        <v>682314</v>
      </c>
      <c r="P2152">
        <v>301271</v>
      </c>
    </row>
    <row r="2153" spans="13:16" x14ac:dyDescent="0.3">
      <c r="M2153">
        <v>2151</v>
      </c>
      <c r="N2153">
        <v>-42260</v>
      </c>
      <c r="P2153">
        <v>-402619</v>
      </c>
    </row>
    <row r="2154" spans="13:16" x14ac:dyDescent="0.3">
      <c r="M2154">
        <v>2152</v>
      </c>
      <c r="N2154">
        <v>819879</v>
      </c>
      <c r="P2154">
        <v>136442</v>
      </c>
    </row>
    <row r="2155" spans="13:16" x14ac:dyDescent="0.3">
      <c r="M2155">
        <v>2153</v>
      </c>
      <c r="N2155">
        <v>606146</v>
      </c>
      <c r="P2155">
        <v>-223839</v>
      </c>
    </row>
    <row r="2156" spans="13:16" x14ac:dyDescent="0.3">
      <c r="M2156">
        <v>2154</v>
      </c>
      <c r="N2156">
        <v>-284296</v>
      </c>
      <c r="P2156">
        <v>-58751</v>
      </c>
    </row>
    <row r="2157" spans="13:16" x14ac:dyDescent="0.3">
      <c r="M2157">
        <v>2155</v>
      </c>
      <c r="N2157">
        <v>44130</v>
      </c>
      <c r="P2157">
        <v>-634960</v>
      </c>
    </row>
    <row r="2158" spans="13:16" x14ac:dyDescent="0.3">
      <c r="M2158">
        <v>2156</v>
      </c>
      <c r="N2158">
        <v>-16081</v>
      </c>
      <c r="P2158">
        <v>-543157</v>
      </c>
    </row>
    <row r="2159" spans="13:16" x14ac:dyDescent="0.3">
      <c r="M2159">
        <v>2157</v>
      </c>
      <c r="N2159">
        <v>-24630</v>
      </c>
      <c r="P2159">
        <v>-539820</v>
      </c>
    </row>
    <row r="2160" spans="13:16" x14ac:dyDescent="0.3">
      <c r="M2160">
        <v>2158</v>
      </c>
      <c r="N2160">
        <v>-246457</v>
      </c>
      <c r="P2160">
        <v>-252925</v>
      </c>
    </row>
    <row r="2161" spans="13:16" x14ac:dyDescent="0.3">
      <c r="M2161">
        <v>2159</v>
      </c>
      <c r="N2161">
        <v>-370784</v>
      </c>
      <c r="P2161">
        <v>-852630</v>
      </c>
    </row>
    <row r="2162" spans="13:16" x14ac:dyDescent="0.3">
      <c r="M2162">
        <v>2160</v>
      </c>
      <c r="N2162">
        <v>-385142</v>
      </c>
      <c r="P2162">
        <v>215094</v>
      </c>
    </row>
    <row r="2163" spans="13:16" x14ac:dyDescent="0.3">
      <c r="M2163">
        <v>2161</v>
      </c>
      <c r="N2163">
        <v>32993</v>
      </c>
      <c r="P2163">
        <v>-404294</v>
      </c>
    </row>
    <row r="2164" spans="13:16" x14ac:dyDescent="0.3">
      <c r="M2164">
        <v>2162</v>
      </c>
      <c r="N2164">
        <v>102420</v>
      </c>
      <c r="P2164">
        <v>-27761</v>
      </c>
    </row>
    <row r="2165" spans="13:16" x14ac:dyDescent="0.3">
      <c r="M2165">
        <v>2163</v>
      </c>
      <c r="N2165">
        <v>-287825</v>
      </c>
      <c r="P2165">
        <v>117026</v>
      </c>
    </row>
    <row r="2166" spans="13:16" x14ac:dyDescent="0.3">
      <c r="M2166">
        <v>2164</v>
      </c>
      <c r="N2166">
        <v>353179</v>
      </c>
      <c r="P2166">
        <v>583501</v>
      </c>
    </row>
    <row r="2167" spans="13:16" x14ac:dyDescent="0.3">
      <c r="M2167">
        <v>2165</v>
      </c>
      <c r="N2167">
        <v>359309</v>
      </c>
      <c r="P2167">
        <v>-805495</v>
      </c>
    </row>
    <row r="2168" spans="13:16" x14ac:dyDescent="0.3">
      <c r="M2168">
        <v>2166</v>
      </c>
      <c r="N2168">
        <v>328997</v>
      </c>
      <c r="P2168">
        <v>125682</v>
      </c>
    </row>
    <row r="2169" spans="13:16" x14ac:dyDescent="0.3">
      <c r="M2169">
        <v>2167</v>
      </c>
      <c r="N2169">
        <v>-110034</v>
      </c>
      <c r="P2169">
        <v>471658</v>
      </c>
    </row>
    <row r="2170" spans="13:16" x14ac:dyDescent="0.3">
      <c r="M2170">
        <v>2168</v>
      </c>
      <c r="N2170">
        <v>266046</v>
      </c>
      <c r="P2170">
        <v>-63852</v>
      </c>
    </row>
    <row r="2171" spans="13:16" x14ac:dyDescent="0.3">
      <c r="M2171">
        <v>2169</v>
      </c>
      <c r="N2171">
        <v>-42645</v>
      </c>
      <c r="P2171">
        <v>-53174</v>
      </c>
    </row>
    <row r="2172" spans="13:16" x14ac:dyDescent="0.3">
      <c r="M2172">
        <v>2170</v>
      </c>
      <c r="N2172">
        <v>-206249</v>
      </c>
      <c r="P2172">
        <v>-392145</v>
      </c>
    </row>
    <row r="2173" spans="13:16" x14ac:dyDescent="0.3">
      <c r="M2173">
        <v>2171</v>
      </c>
      <c r="N2173">
        <v>-247725</v>
      </c>
      <c r="P2173">
        <v>334737</v>
      </c>
    </row>
    <row r="2174" spans="13:16" x14ac:dyDescent="0.3">
      <c r="M2174">
        <v>2172</v>
      </c>
      <c r="N2174">
        <v>588302</v>
      </c>
      <c r="P2174">
        <v>-159850</v>
      </c>
    </row>
    <row r="2175" spans="13:16" x14ac:dyDescent="0.3">
      <c r="M2175">
        <v>2173</v>
      </c>
      <c r="N2175">
        <v>225302</v>
      </c>
      <c r="P2175">
        <v>682867</v>
      </c>
    </row>
    <row r="2176" spans="13:16" x14ac:dyDescent="0.3">
      <c r="M2176">
        <v>2174</v>
      </c>
      <c r="N2176">
        <v>-83075</v>
      </c>
      <c r="P2176">
        <v>-371008</v>
      </c>
    </row>
    <row r="2177" spans="13:16" x14ac:dyDescent="0.3">
      <c r="M2177">
        <v>2175</v>
      </c>
      <c r="N2177">
        <v>349747</v>
      </c>
      <c r="P2177">
        <v>-410172</v>
      </c>
    </row>
    <row r="2178" spans="13:16" x14ac:dyDescent="0.3">
      <c r="M2178">
        <v>2176</v>
      </c>
      <c r="N2178">
        <v>-619160</v>
      </c>
      <c r="P2178">
        <v>523417</v>
      </c>
    </row>
    <row r="2179" spans="13:16" x14ac:dyDescent="0.3">
      <c r="M2179">
        <v>2177</v>
      </c>
      <c r="N2179">
        <v>869025</v>
      </c>
      <c r="P2179">
        <v>497612</v>
      </c>
    </row>
    <row r="2180" spans="13:16" x14ac:dyDescent="0.3">
      <c r="M2180">
        <v>2178</v>
      </c>
      <c r="N2180">
        <v>431991</v>
      </c>
      <c r="P2180">
        <v>940295</v>
      </c>
    </row>
    <row r="2181" spans="13:16" x14ac:dyDescent="0.3">
      <c r="M2181">
        <v>2179</v>
      </c>
      <c r="N2181">
        <v>-186680</v>
      </c>
      <c r="P2181">
        <v>189240</v>
      </c>
    </row>
    <row r="2182" spans="13:16" x14ac:dyDescent="0.3">
      <c r="M2182">
        <v>2180</v>
      </c>
      <c r="N2182">
        <v>442554</v>
      </c>
      <c r="P2182">
        <v>-207834</v>
      </c>
    </row>
    <row r="2183" spans="13:16" x14ac:dyDescent="0.3">
      <c r="M2183">
        <v>2181</v>
      </c>
      <c r="N2183">
        <v>657374</v>
      </c>
      <c r="P2183">
        <v>117198</v>
      </c>
    </row>
    <row r="2184" spans="13:16" x14ac:dyDescent="0.3">
      <c r="M2184">
        <v>2182</v>
      </c>
      <c r="N2184">
        <v>-469993</v>
      </c>
      <c r="P2184">
        <v>420447</v>
      </c>
    </row>
    <row r="2185" spans="13:16" x14ac:dyDescent="0.3">
      <c r="M2185">
        <v>2183</v>
      </c>
      <c r="N2185">
        <v>294907</v>
      </c>
      <c r="P2185">
        <v>52489</v>
      </c>
    </row>
    <row r="2186" spans="13:16" x14ac:dyDescent="0.3">
      <c r="M2186">
        <v>2184</v>
      </c>
      <c r="N2186">
        <v>-356502</v>
      </c>
      <c r="P2186">
        <v>-426916</v>
      </c>
    </row>
    <row r="2187" spans="13:16" x14ac:dyDescent="0.3">
      <c r="M2187">
        <v>2185</v>
      </c>
      <c r="N2187">
        <v>272596</v>
      </c>
      <c r="P2187">
        <v>-671218</v>
      </c>
    </row>
    <row r="2188" spans="13:16" x14ac:dyDescent="0.3">
      <c r="M2188">
        <v>2186</v>
      </c>
      <c r="N2188">
        <v>539907</v>
      </c>
      <c r="P2188">
        <v>127427</v>
      </c>
    </row>
    <row r="2189" spans="13:16" x14ac:dyDescent="0.3">
      <c r="M2189">
        <v>2187</v>
      </c>
      <c r="N2189">
        <v>-354551</v>
      </c>
      <c r="P2189">
        <v>208633</v>
      </c>
    </row>
    <row r="2190" spans="13:16" x14ac:dyDescent="0.3">
      <c r="M2190">
        <v>2188</v>
      </c>
      <c r="N2190">
        <v>-628271</v>
      </c>
      <c r="P2190">
        <v>-679486</v>
      </c>
    </row>
    <row r="2191" spans="13:16" x14ac:dyDescent="0.3">
      <c r="M2191">
        <v>2189</v>
      </c>
      <c r="N2191">
        <v>163960</v>
      </c>
      <c r="P2191">
        <v>513521</v>
      </c>
    </row>
    <row r="2192" spans="13:16" x14ac:dyDescent="0.3">
      <c r="M2192">
        <v>2190</v>
      </c>
      <c r="N2192">
        <v>-537362</v>
      </c>
      <c r="P2192">
        <v>87568</v>
      </c>
    </row>
    <row r="2193" spans="13:16" x14ac:dyDescent="0.3">
      <c r="M2193">
        <v>2191</v>
      </c>
      <c r="N2193">
        <v>-104137</v>
      </c>
      <c r="P2193">
        <v>-10927</v>
      </c>
    </row>
    <row r="2194" spans="13:16" x14ac:dyDescent="0.3">
      <c r="M2194">
        <v>2192</v>
      </c>
      <c r="N2194">
        <v>-819587</v>
      </c>
      <c r="P2194">
        <v>361154</v>
      </c>
    </row>
    <row r="2195" spans="13:16" x14ac:dyDescent="0.3">
      <c r="M2195">
        <v>2193</v>
      </c>
      <c r="N2195">
        <v>-199324</v>
      </c>
      <c r="P2195">
        <v>742770</v>
      </c>
    </row>
    <row r="2196" spans="13:16" x14ac:dyDescent="0.3">
      <c r="M2196">
        <v>2194</v>
      </c>
      <c r="N2196">
        <v>573949</v>
      </c>
      <c r="P2196">
        <v>988910</v>
      </c>
    </row>
    <row r="2197" spans="13:16" x14ac:dyDescent="0.3">
      <c r="M2197">
        <v>2195</v>
      </c>
      <c r="N2197">
        <v>388596</v>
      </c>
      <c r="P2197">
        <v>728708</v>
      </c>
    </row>
    <row r="2198" spans="13:16" x14ac:dyDescent="0.3">
      <c r="M2198">
        <v>2196</v>
      </c>
      <c r="N2198">
        <v>136087</v>
      </c>
      <c r="P2198">
        <v>744614</v>
      </c>
    </row>
    <row r="2199" spans="13:16" x14ac:dyDescent="0.3">
      <c r="M2199">
        <v>2197</v>
      </c>
      <c r="N2199">
        <v>-483816</v>
      </c>
      <c r="P2199">
        <v>358993</v>
      </c>
    </row>
    <row r="2200" spans="13:16" x14ac:dyDescent="0.3">
      <c r="M2200">
        <v>2198</v>
      </c>
      <c r="N2200">
        <v>474941</v>
      </c>
      <c r="P2200">
        <v>324407</v>
      </c>
    </row>
    <row r="2201" spans="13:16" x14ac:dyDescent="0.3">
      <c r="M2201">
        <v>2199</v>
      </c>
      <c r="N2201">
        <v>543837</v>
      </c>
      <c r="P2201">
        <v>175207</v>
      </c>
    </row>
    <row r="2202" spans="13:16" x14ac:dyDescent="0.3">
      <c r="M2202">
        <v>2200</v>
      </c>
      <c r="N2202">
        <v>338230</v>
      </c>
      <c r="P2202">
        <v>-667527</v>
      </c>
    </row>
    <row r="2203" spans="13:16" x14ac:dyDescent="0.3">
      <c r="M2203">
        <v>2201</v>
      </c>
      <c r="N2203">
        <v>109932</v>
      </c>
      <c r="P2203">
        <v>648251</v>
      </c>
    </row>
    <row r="2204" spans="13:16" x14ac:dyDescent="0.3">
      <c r="M2204">
        <v>2202</v>
      </c>
      <c r="N2204">
        <v>-443424</v>
      </c>
      <c r="P2204">
        <v>-508627</v>
      </c>
    </row>
    <row r="2205" spans="13:16" x14ac:dyDescent="0.3">
      <c r="M2205">
        <v>2203</v>
      </c>
      <c r="N2205">
        <v>871221</v>
      </c>
      <c r="P2205">
        <v>-342157</v>
      </c>
    </row>
    <row r="2206" spans="13:16" x14ac:dyDescent="0.3">
      <c r="M2206">
        <v>2204</v>
      </c>
      <c r="N2206">
        <v>-526768</v>
      </c>
      <c r="P2206">
        <v>-204252</v>
      </c>
    </row>
    <row r="2207" spans="13:16" x14ac:dyDescent="0.3">
      <c r="M2207">
        <v>2205</v>
      </c>
      <c r="N2207">
        <v>235101</v>
      </c>
      <c r="P2207">
        <v>-530080</v>
      </c>
    </row>
    <row r="2208" spans="13:16" x14ac:dyDescent="0.3">
      <c r="M2208">
        <v>2206</v>
      </c>
      <c r="N2208">
        <v>443639</v>
      </c>
      <c r="P2208">
        <v>427723</v>
      </c>
    </row>
    <row r="2209" spans="13:16" x14ac:dyDescent="0.3">
      <c r="M2209">
        <v>2207</v>
      </c>
      <c r="N2209">
        <v>535317</v>
      </c>
      <c r="P2209">
        <v>-43063</v>
      </c>
    </row>
    <row r="2210" spans="13:16" x14ac:dyDescent="0.3">
      <c r="M2210">
        <v>2208</v>
      </c>
      <c r="N2210">
        <v>704282</v>
      </c>
      <c r="P2210">
        <v>-420823</v>
      </c>
    </row>
    <row r="2211" spans="13:16" x14ac:dyDescent="0.3">
      <c r="M2211">
        <v>2209</v>
      </c>
      <c r="N2211">
        <v>331709</v>
      </c>
      <c r="P2211">
        <v>-746282</v>
      </c>
    </row>
    <row r="2212" spans="13:16" x14ac:dyDescent="0.3">
      <c r="M2212">
        <v>2210</v>
      </c>
      <c r="N2212">
        <v>143760</v>
      </c>
      <c r="P2212">
        <v>-61681</v>
      </c>
    </row>
    <row r="2213" spans="13:16" x14ac:dyDescent="0.3">
      <c r="M2213">
        <v>2211</v>
      </c>
      <c r="N2213">
        <v>298430</v>
      </c>
      <c r="P2213">
        <v>-490454</v>
      </c>
    </row>
    <row r="2214" spans="13:16" x14ac:dyDescent="0.3">
      <c r="M2214">
        <v>2212</v>
      </c>
      <c r="N2214">
        <v>-326435</v>
      </c>
      <c r="P2214">
        <v>203339</v>
      </c>
    </row>
    <row r="2215" spans="13:16" x14ac:dyDescent="0.3">
      <c r="M2215">
        <v>2213</v>
      </c>
      <c r="N2215">
        <v>909893</v>
      </c>
      <c r="P2215">
        <v>-583491</v>
      </c>
    </row>
    <row r="2216" spans="13:16" x14ac:dyDescent="0.3">
      <c r="M2216">
        <v>2214</v>
      </c>
      <c r="N2216">
        <v>159042</v>
      </c>
      <c r="P2216">
        <v>-77255</v>
      </c>
    </row>
    <row r="2217" spans="13:16" x14ac:dyDescent="0.3">
      <c r="M2217">
        <v>2215</v>
      </c>
      <c r="N2217">
        <v>-419598</v>
      </c>
      <c r="P2217">
        <v>-183958</v>
      </c>
    </row>
    <row r="2218" spans="13:16" x14ac:dyDescent="0.3">
      <c r="M2218">
        <v>2216</v>
      </c>
      <c r="N2218">
        <v>-311720</v>
      </c>
      <c r="P2218">
        <v>-538770</v>
      </c>
    </row>
    <row r="2219" spans="13:16" x14ac:dyDescent="0.3">
      <c r="M2219">
        <v>2217</v>
      </c>
      <c r="N2219">
        <v>-627843</v>
      </c>
      <c r="P2219">
        <v>174133</v>
      </c>
    </row>
    <row r="2220" spans="13:16" x14ac:dyDescent="0.3">
      <c r="M2220">
        <v>2218</v>
      </c>
      <c r="N2220">
        <v>119751</v>
      </c>
      <c r="P2220">
        <v>-14215</v>
      </c>
    </row>
    <row r="2221" spans="13:16" x14ac:dyDescent="0.3">
      <c r="M2221">
        <v>2219</v>
      </c>
      <c r="N2221">
        <v>1042711</v>
      </c>
      <c r="P2221">
        <v>-796411</v>
      </c>
    </row>
    <row r="2222" spans="13:16" x14ac:dyDescent="0.3">
      <c r="M2222">
        <v>2220</v>
      </c>
      <c r="N2222">
        <v>-537591</v>
      </c>
      <c r="P2222">
        <v>219750</v>
      </c>
    </row>
    <row r="2223" spans="13:16" x14ac:dyDescent="0.3">
      <c r="M2223">
        <v>2221</v>
      </c>
      <c r="N2223">
        <v>571945</v>
      </c>
      <c r="P2223">
        <v>203046</v>
      </c>
    </row>
    <row r="2224" spans="13:16" x14ac:dyDescent="0.3">
      <c r="M2224">
        <v>2222</v>
      </c>
      <c r="N2224">
        <v>597236</v>
      </c>
      <c r="P2224">
        <v>278609</v>
      </c>
    </row>
    <row r="2225" spans="13:16" x14ac:dyDescent="0.3">
      <c r="M2225">
        <v>2223</v>
      </c>
      <c r="N2225">
        <v>-97904</v>
      </c>
      <c r="P2225">
        <v>603727</v>
      </c>
    </row>
    <row r="2226" spans="13:16" x14ac:dyDescent="0.3">
      <c r="M2226">
        <v>2224</v>
      </c>
      <c r="N2226">
        <v>180853</v>
      </c>
      <c r="P2226">
        <v>159240</v>
      </c>
    </row>
    <row r="2227" spans="13:16" x14ac:dyDescent="0.3">
      <c r="M2227">
        <v>2225</v>
      </c>
      <c r="N2227">
        <v>467784</v>
      </c>
      <c r="P2227">
        <v>164997</v>
      </c>
    </row>
    <row r="2228" spans="13:16" x14ac:dyDescent="0.3">
      <c r="M2228">
        <v>2226</v>
      </c>
      <c r="N2228">
        <v>865664</v>
      </c>
      <c r="P2228">
        <v>-51616</v>
      </c>
    </row>
    <row r="2229" spans="13:16" x14ac:dyDescent="0.3">
      <c r="M2229">
        <v>2227</v>
      </c>
      <c r="N2229">
        <v>-424858</v>
      </c>
      <c r="P2229">
        <v>470462</v>
      </c>
    </row>
    <row r="2230" spans="13:16" x14ac:dyDescent="0.3">
      <c r="M2230">
        <v>2228</v>
      </c>
      <c r="N2230">
        <v>317411</v>
      </c>
      <c r="P2230">
        <v>-427622</v>
      </c>
    </row>
    <row r="2231" spans="13:16" x14ac:dyDescent="0.3">
      <c r="M2231">
        <v>2229</v>
      </c>
      <c r="N2231">
        <v>559188</v>
      </c>
      <c r="P2231">
        <v>-99819</v>
      </c>
    </row>
    <row r="2232" spans="13:16" x14ac:dyDescent="0.3">
      <c r="M2232">
        <v>2230</v>
      </c>
      <c r="N2232">
        <v>465956</v>
      </c>
      <c r="P2232">
        <v>291980</v>
      </c>
    </row>
    <row r="2233" spans="13:16" x14ac:dyDescent="0.3">
      <c r="M2233">
        <v>2231</v>
      </c>
      <c r="N2233">
        <v>144987</v>
      </c>
      <c r="P2233">
        <v>346904</v>
      </c>
    </row>
    <row r="2234" spans="13:16" x14ac:dyDescent="0.3">
      <c r="M2234">
        <v>2232</v>
      </c>
      <c r="N2234">
        <v>200268</v>
      </c>
      <c r="P2234">
        <v>-470594</v>
      </c>
    </row>
    <row r="2235" spans="13:16" x14ac:dyDescent="0.3">
      <c r="M2235">
        <v>2233</v>
      </c>
      <c r="N2235">
        <v>535770</v>
      </c>
      <c r="P2235">
        <v>-607557</v>
      </c>
    </row>
    <row r="2236" spans="13:16" x14ac:dyDescent="0.3">
      <c r="M2236">
        <v>2234</v>
      </c>
      <c r="N2236">
        <v>475057</v>
      </c>
      <c r="P2236">
        <v>-387352</v>
      </c>
    </row>
    <row r="2237" spans="13:16" x14ac:dyDescent="0.3">
      <c r="M2237">
        <v>2235</v>
      </c>
      <c r="N2237">
        <v>249171</v>
      </c>
      <c r="P2237">
        <v>-23978</v>
      </c>
    </row>
    <row r="2238" spans="13:16" x14ac:dyDescent="0.3">
      <c r="M2238">
        <v>2236</v>
      </c>
      <c r="N2238">
        <v>-645108</v>
      </c>
      <c r="P2238">
        <v>-507122</v>
      </c>
    </row>
    <row r="2239" spans="13:16" x14ac:dyDescent="0.3">
      <c r="M2239">
        <v>2237</v>
      </c>
      <c r="N2239">
        <v>-486270</v>
      </c>
      <c r="P2239">
        <v>-549100</v>
      </c>
    </row>
    <row r="2240" spans="13:16" x14ac:dyDescent="0.3">
      <c r="M2240">
        <v>2238</v>
      </c>
      <c r="N2240">
        <v>734692</v>
      </c>
      <c r="P2240">
        <v>-34178</v>
      </c>
    </row>
    <row r="2241" spans="13:16" x14ac:dyDescent="0.3">
      <c r="M2241">
        <v>2239</v>
      </c>
      <c r="N2241">
        <v>85610</v>
      </c>
      <c r="P2241">
        <v>-468244</v>
      </c>
    </row>
    <row r="2242" spans="13:16" x14ac:dyDescent="0.3">
      <c r="M2242">
        <v>2240</v>
      </c>
      <c r="N2242">
        <v>243781</v>
      </c>
      <c r="P2242">
        <v>565594</v>
      </c>
    </row>
    <row r="2243" spans="13:16" x14ac:dyDescent="0.3">
      <c r="M2243">
        <v>2241</v>
      </c>
      <c r="N2243">
        <v>-133122</v>
      </c>
      <c r="P2243">
        <v>366241</v>
      </c>
    </row>
    <row r="2244" spans="13:16" x14ac:dyDescent="0.3">
      <c r="M2244">
        <v>2242</v>
      </c>
      <c r="N2244">
        <v>-219625</v>
      </c>
      <c r="P2244">
        <v>-183731</v>
      </c>
    </row>
    <row r="2245" spans="13:16" x14ac:dyDescent="0.3">
      <c r="M2245">
        <v>2243</v>
      </c>
      <c r="N2245">
        <v>213720</v>
      </c>
      <c r="P2245">
        <v>-205946</v>
      </c>
    </row>
    <row r="2246" spans="13:16" x14ac:dyDescent="0.3">
      <c r="M2246">
        <v>2244</v>
      </c>
      <c r="N2246">
        <v>15419</v>
      </c>
      <c r="P2246">
        <v>-682564</v>
      </c>
    </row>
    <row r="2247" spans="13:16" x14ac:dyDescent="0.3">
      <c r="M2247">
        <v>2245</v>
      </c>
      <c r="N2247">
        <v>-12817</v>
      </c>
      <c r="P2247">
        <v>-370899</v>
      </c>
    </row>
    <row r="2248" spans="13:16" x14ac:dyDescent="0.3">
      <c r="M2248">
        <v>2246</v>
      </c>
      <c r="N2248">
        <v>292135</v>
      </c>
      <c r="P2248">
        <v>-509908</v>
      </c>
    </row>
    <row r="2249" spans="13:16" x14ac:dyDescent="0.3">
      <c r="M2249">
        <v>2247</v>
      </c>
      <c r="N2249">
        <v>351657</v>
      </c>
      <c r="P2249">
        <v>-165875</v>
      </c>
    </row>
    <row r="2250" spans="13:16" x14ac:dyDescent="0.3">
      <c r="M2250">
        <v>2248</v>
      </c>
      <c r="N2250">
        <v>-376226</v>
      </c>
      <c r="P2250">
        <v>-407427</v>
      </c>
    </row>
    <row r="2251" spans="13:16" x14ac:dyDescent="0.3">
      <c r="M2251">
        <v>2249</v>
      </c>
      <c r="N2251">
        <v>241925</v>
      </c>
      <c r="P2251">
        <v>-108839</v>
      </c>
    </row>
    <row r="2252" spans="13:16" x14ac:dyDescent="0.3">
      <c r="M2252">
        <v>2250</v>
      </c>
      <c r="N2252">
        <v>-150817</v>
      </c>
      <c r="P2252">
        <v>-328839</v>
      </c>
    </row>
    <row r="2253" spans="13:16" x14ac:dyDescent="0.3">
      <c r="M2253">
        <v>2251</v>
      </c>
      <c r="N2253">
        <v>818458</v>
      </c>
      <c r="P2253">
        <v>-417630</v>
      </c>
    </row>
    <row r="2254" spans="13:16" x14ac:dyDescent="0.3">
      <c r="M2254">
        <v>2252</v>
      </c>
      <c r="N2254">
        <v>260532</v>
      </c>
      <c r="P2254">
        <v>-283385</v>
      </c>
    </row>
    <row r="2255" spans="13:16" x14ac:dyDescent="0.3">
      <c r="M2255">
        <v>2253</v>
      </c>
      <c r="N2255">
        <v>-371981</v>
      </c>
      <c r="P2255">
        <v>-633375</v>
      </c>
    </row>
    <row r="2256" spans="13:16" x14ac:dyDescent="0.3">
      <c r="M2256">
        <v>2254</v>
      </c>
      <c r="N2256">
        <v>-184475</v>
      </c>
      <c r="P2256">
        <v>869961</v>
      </c>
    </row>
    <row r="2257" spans="13:16" x14ac:dyDescent="0.3">
      <c r="M2257">
        <v>2255</v>
      </c>
      <c r="N2257">
        <v>-361935</v>
      </c>
      <c r="P2257">
        <v>-96110</v>
      </c>
    </row>
    <row r="2258" spans="13:16" x14ac:dyDescent="0.3">
      <c r="M2258">
        <v>2256</v>
      </c>
      <c r="N2258">
        <v>223640</v>
      </c>
      <c r="P2258">
        <v>799413</v>
      </c>
    </row>
    <row r="2259" spans="13:16" x14ac:dyDescent="0.3">
      <c r="M2259">
        <v>2257</v>
      </c>
      <c r="N2259">
        <v>-196672</v>
      </c>
      <c r="P2259">
        <v>-579919</v>
      </c>
    </row>
    <row r="2260" spans="13:16" x14ac:dyDescent="0.3">
      <c r="M2260">
        <v>2258</v>
      </c>
      <c r="N2260">
        <v>-238628</v>
      </c>
      <c r="P2260">
        <v>534743</v>
      </c>
    </row>
    <row r="2261" spans="13:16" x14ac:dyDescent="0.3">
      <c r="M2261">
        <v>2259</v>
      </c>
      <c r="N2261">
        <v>195734</v>
      </c>
      <c r="P2261">
        <v>-282274</v>
      </c>
    </row>
    <row r="2262" spans="13:16" x14ac:dyDescent="0.3">
      <c r="M2262">
        <v>2260</v>
      </c>
      <c r="N2262">
        <v>457038</v>
      </c>
      <c r="P2262">
        <v>631117</v>
      </c>
    </row>
    <row r="2263" spans="13:16" x14ac:dyDescent="0.3">
      <c r="M2263">
        <v>2261</v>
      </c>
      <c r="N2263">
        <v>-70995</v>
      </c>
      <c r="P2263">
        <v>675008</v>
      </c>
    </row>
    <row r="2264" spans="13:16" x14ac:dyDescent="0.3">
      <c r="M2264">
        <v>2262</v>
      </c>
      <c r="N2264">
        <v>48580</v>
      </c>
      <c r="P2264">
        <v>-67692</v>
      </c>
    </row>
    <row r="2265" spans="13:16" x14ac:dyDescent="0.3">
      <c r="M2265">
        <v>2263</v>
      </c>
      <c r="N2265">
        <v>380285</v>
      </c>
      <c r="P2265">
        <v>-367811</v>
      </c>
    </row>
    <row r="2266" spans="13:16" x14ac:dyDescent="0.3">
      <c r="M2266">
        <v>2264</v>
      </c>
      <c r="N2266">
        <v>-244349</v>
      </c>
      <c r="P2266">
        <v>96266</v>
      </c>
    </row>
    <row r="2267" spans="13:16" x14ac:dyDescent="0.3">
      <c r="M2267">
        <v>2265</v>
      </c>
      <c r="N2267">
        <v>424992</v>
      </c>
      <c r="P2267">
        <v>-387460</v>
      </c>
    </row>
    <row r="2268" spans="13:16" x14ac:dyDescent="0.3">
      <c r="M2268">
        <v>2266</v>
      </c>
      <c r="N2268">
        <v>947318</v>
      </c>
      <c r="P2268">
        <v>-604984</v>
      </c>
    </row>
    <row r="2269" spans="13:16" x14ac:dyDescent="0.3">
      <c r="M2269">
        <v>2267</v>
      </c>
      <c r="N2269">
        <v>381454</v>
      </c>
      <c r="P2269">
        <v>732119</v>
      </c>
    </row>
    <row r="2270" spans="13:16" x14ac:dyDescent="0.3">
      <c r="M2270">
        <v>2268</v>
      </c>
      <c r="N2270">
        <v>688240</v>
      </c>
      <c r="P2270">
        <v>-612084</v>
      </c>
    </row>
    <row r="2271" spans="13:16" x14ac:dyDescent="0.3">
      <c r="M2271">
        <v>2269</v>
      </c>
      <c r="N2271">
        <v>-259964</v>
      </c>
      <c r="P2271">
        <v>784438</v>
      </c>
    </row>
    <row r="2272" spans="13:16" x14ac:dyDescent="0.3">
      <c r="M2272">
        <v>2270</v>
      </c>
      <c r="N2272">
        <v>397992</v>
      </c>
      <c r="P2272">
        <v>-239131</v>
      </c>
    </row>
    <row r="2273" spans="13:16" x14ac:dyDescent="0.3">
      <c r="M2273">
        <v>2271</v>
      </c>
      <c r="N2273">
        <v>-273521</v>
      </c>
      <c r="P2273">
        <v>141455</v>
      </c>
    </row>
    <row r="2274" spans="13:16" x14ac:dyDescent="0.3">
      <c r="M2274">
        <v>2272</v>
      </c>
      <c r="N2274">
        <v>193394</v>
      </c>
      <c r="P2274">
        <v>-583477</v>
      </c>
    </row>
    <row r="2275" spans="13:16" x14ac:dyDescent="0.3">
      <c r="M2275">
        <v>2273</v>
      </c>
      <c r="N2275">
        <v>394084</v>
      </c>
      <c r="P2275">
        <v>95890</v>
      </c>
    </row>
    <row r="2276" spans="13:16" x14ac:dyDescent="0.3">
      <c r="M2276">
        <v>2274</v>
      </c>
      <c r="N2276">
        <v>-315113</v>
      </c>
      <c r="P2276">
        <v>1005</v>
      </c>
    </row>
    <row r="2277" spans="13:16" x14ac:dyDescent="0.3">
      <c r="M2277">
        <v>2275</v>
      </c>
      <c r="N2277">
        <v>112667</v>
      </c>
      <c r="P2277">
        <v>147222</v>
      </c>
    </row>
    <row r="2278" spans="13:16" x14ac:dyDescent="0.3">
      <c r="M2278">
        <v>2276</v>
      </c>
      <c r="N2278">
        <v>127350</v>
      </c>
      <c r="P2278">
        <v>-334245</v>
      </c>
    </row>
    <row r="2279" spans="13:16" x14ac:dyDescent="0.3">
      <c r="M2279">
        <v>2277</v>
      </c>
      <c r="N2279">
        <v>-354972</v>
      </c>
      <c r="P2279">
        <v>489707</v>
      </c>
    </row>
    <row r="2280" spans="13:16" x14ac:dyDescent="0.3">
      <c r="M2280">
        <v>2278</v>
      </c>
      <c r="N2280">
        <v>-552916</v>
      </c>
      <c r="P2280">
        <v>-123854</v>
      </c>
    </row>
    <row r="2281" spans="13:16" x14ac:dyDescent="0.3">
      <c r="M2281">
        <v>2279</v>
      </c>
      <c r="N2281">
        <v>118818</v>
      </c>
      <c r="P2281">
        <v>-328077</v>
      </c>
    </row>
    <row r="2282" spans="13:16" x14ac:dyDescent="0.3">
      <c r="M2282">
        <v>2280</v>
      </c>
      <c r="N2282">
        <v>604110</v>
      </c>
      <c r="P2282">
        <v>374856</v>
      </c>
    </row>
    <row r="2283" spans="13:16" x14ac:dyDescent="0.3">
      <c r="M2283">
        <v>2281</v>
      </c>
      <c r="N2283">
        <v>536664</v>
      </c>
      <c r="P2283">
        <v>-239335</v>
      </c>
    </row>
    <row r="2284" spans="13:16" x14ac:dyDescent="0.3">
      <c r="M2284">
        <v>2282</v>
      </c>
      <c r="N2284">
        <v>-67866</v>
      </c>
      <c r="P2284">
        <v>403583</v>
      </c>
    </row>
    <row r="2285" spans="13:16" x14ac:dyDescent="0.3">
      <c r="M2285">
        <v>2283</v>
      </c>
      <c r="N2285">
        <v>690484</v>
      </c>
      <c r="P2285">
        <v>625229</v>
      </c>
    </row>
    <row r="2286" spans="13:16" x14ac:dyDescent="0.3">
      <c r="M2286">
        <v>2284</v>
      </c>
      <c r="N2286">
        <v>-166423</v>
      </c>
      <c r="P2286">
        <v>-537353</v>
      </c>
    </row>
    <row r="2287" spans="13:16" x14ac:dyDescent="0.3">
      <c r="M2287">
        <v>2285</v>
      </c>
      <c r="N2287">
        <v>100351</v>
      </c>
      <c r="P2287">
        <v>-120034</v>
      </c>
    </row>
    <row r="2288" spans="13:16" x14ac:dyDescent="0.3">
      <c r="M2288">
        <v>2286</v>
      </c>
      <c r="N2288">
        <v>466784</v>
      </c>
      <c r="P2288">
        <v>32450</v>
      </c>
    </row>
    <row r="2289" spans="13:16" x14ac:dyDescent="0.3">
      <c r="M2289">
        <v>2287</v>
      </c>
      <c r="N2289">
        <v>166261</v>
      </c>
      <c r="P2289">
        <v>156833</v>
      </c>
    </row>
    <row r="2290" spans="13:16" x14ac:dyDescent="0.3">
      <c r="M2290">
        <v>2288</v>
      </c>
      <c r="N2290">
        <v>-225120</v>
      </c>
      <c r="P2290">
        <v>134379</v>
      </c>
    </row>
    <row r="2291" spans="13:16" x14ac:dyDescent="0.3">
      <c r="M2291">
        <v>2289</v>
      </c>
      <c r="N2291">
        <v>-423365</v>
      </c>
      <c r="P2291">
        <v>868430</v>
      </c>
    </row>
    <row r="2292" spans="13:16" x14ac:dyDescent="0.3">
      <c r="M2292">
        <v>2290</v>
      </c>
      <c r="N2292">
        <v>-741965</v>
      </c>
      <c r="P2292">
        <v>-6811</v>
      </c>
    </row>
    <row r="2293" spans="13:16" x14ac:dyDescent="0.3">
      <c r="M2293">
        <v>2291</v>
      </c>
      <c r="N2293">
        <v>-25273</v>
      </c>
      <c r="P2293">
        <v>-617956</v>
      </c>
    </row>
    <row r="2294" spans="13:16" x14ac:dyDescent="0.3">
      <c r="M2294">
        <v>2292</v>
      </c>
      <c r="N2294">
        <v>-153232</v>
      </c>
      <c r="P2294">
        <v>194050</v>
      </c>
    </row>
    <row r="2295" spans="13:16" x14ac:dyDescent="0.3">
      <c r="M2295">
        <v>2293</v>
      </c>
      <c r="N2295">
        <v>319903</v>
      </c>
      <c r="P2295">
        <v>173522</v>
      </c>
    </row>
    <row r="2296" spans="13:16" x14ac:dyDescent="0.3">
      <c r="M2296">
        <v>2294</v>
      </c>
      <c r="N2296">
        <v>355966</v>
      </c>
      <c r="P2296">
        <v>271593</v>
      </c>
    </row>
    <row r="2297" spans="13:16" x14ac:dyDescent="0.3">
      <c r="M2297">
        <v>2295</v>
      </c>
      <c r="N2297">
        <v>101420</v>
      </c>
      <c r="P2297">
        <v>307063</v>
      </c>
    </row>
    <row r="2298" spans="13:16" x14ac:dyDescent="0.3">
      <c r="M2298">
        <v>2296</v>
      </c>
      <c r="N2298">
        <v>427448</v>
      </c>
      <c r="P2298">
        <v>119539</v>
      </c>
    </row>
    <row r="2299" spans="13:16" x14ac:dyDescent="0.3">
      <c r="M2299">
        <v>2297</v>
      </c>
      <c r="N2299">
        <v>-691465</v>
      </c>
      <c r="P2299">
        <v>-406002</v>
      </c>
    </row>
    <row r="2300" spans="13:16" x14ac:dyDescent="0.3">
      <c r="M2300">
        <v>2298</v>
      </c>
      <c r="N2300">
        <v>-160498</v>
      </c>
      <c r="P2300">
        <v>-308848</v>
      </c>
    </row>
    <row r="2301" spans="13:16" x14ac:dyDescent="0.3">
      <c r="M2301">
        <v>2299</v>
      </c>
      <c r="N2301">
        <v>339645</v>
      </c>
      <c r="P2301">
        <v>-34033</v>
      </c>
    </row>
    <row r="2302" spans="13:16" x14ac:dyDescent="0.3">
      <c r="M2302">
        <v>2300</v>
      </c>
      <c r="N2302">
        <v>124007</v>
      </c>
      <c r="P2302">
        <v>645388</v>
      </c>
    </row>
    <row r="2303" spans="13:16" x14ac:dyDescent="0.3">
      <c r="M2303">
        <v>2301</v>
      </c>
      <c r="N2303">
        <v>-136805</v>
      </c>
      <c r="P2303">
        <v>812346</v>
      </c>
    </row>
    <row r="2304" spans="13:16" x14ac:dyDescent="0.3">
      <c r="M2304">
        <v>2302</v>
      </c>
      <c r="N2304">
        <v>252094</v>
      </c>
      <c r="P2304">
        <v>610388</v>
      </c>
    </row>
    <row r="2305" spans="13:16" x14ac:dyDescent="0.3">
      <c r="M2305">
        <v>2303</v>
      </c>
      <c r="N2305">
        <v>-177070</v>
      </c>
      <c r="P2305">
        <v>-142764</v>
      </c>
    </row>
    <row r="2306" spans="13:16" x14ac:dyDescent="0.3">
      <c r="M2306">
        <v>2304</v>
      </c>
      <c r="N2306">
        <v>-348345</v>
      </c>
      <c r="P2306">
        <v>107233</v>
      </c>
    </row>
    <row r="2307" spans="13:16" x14ac:dyDescent="0.3">
      <c r="M2307">
        <v>2305</v>
      </c>
      <c r="N2307">
        <v>-221681</v>
      </c>
      <c r="P2307">
        <v>-445269</v>
      </c>
    </row>
    <row r="2308" spans="13:16" x14ac:dyDescent="0.3">
      <c r="M2308">
        <v>2306</v>
      </c>
      <c r="N2308">
        <v>-863120</v>
      </c>
      <c r="P2308">
        <v>-42264</v>
      </c>
    </row>
    <row r="2309" spans="13:16" x14ac:dyDescent="0.3">
      <c r="M2309">
        <v>2307</v>
      </c>
      <c r="N2309">
        <v>363812</v>
      </c>
      <c r="P2309">
        <v>500239</v>
      </c>
    </row>
    <row r="2310" spans="13:16" x14ac:dyDescent="0.3">
      <c r="M2310">
        <v>2308</v>
      </c>
      <c r="N2310">
        <v>-463752</v>
      </c>
      <c r="P2310">
        <v>59716</v>
      </c>
    </row>
    <row r="2311" spans="13:16" x14ac:dyDescent="0.3">
      <c r="M2311">
        <v>2309</v>
      </c>
      <c r="N2311">
        <v>475921</v>
      </c>
      <c r="P2311">
        <v>753756</v>
      </c>
    </row>
    <row r="2312" spans="13:16" x14ac:dyDescent="0.3">
      <c r="M2312">
        <v>2310</v>
      </c>
      <c r="N2312">
        <v>6563</v>
      </c>
      <c r="P2312">
        <v>31725</v>
      </c>
    </row>
    <row r="2313" spans="13:16" x14ac:dyDescent="0.3">
      <c r="M2313">
        <v>2311</v>
      </c>
      <c r="N2313">
        <v>-595845</v>
      </c>
      <c r="P2313">
        <v>523617</v>
      </c>
    </row>
    <row r="2314" spans="13:16" x14ac:dyDescent="0.3">
      <c r="M2314">
        <v>2312</v>
      </c>
      <c r="N2314">
        <v>-815105</v>
      </c>
      <c r="P2314">
        <v>-566688</v>
      </c>
    </row>
    <row r="2315" spans="13:16" x14ac:dyDescent="0.3">
      <c r="M2315">
        <v>2313</v>
      </c>
      <c r="N2315">
        <v>-694031</v>
      </c>
      <c r="P2315">
        <v>-606404</v>
      </c>
    </row>
    <row r="2316" spans="13:16" x14ac:dyDescent="0.3">
      <c r="M2316">
        <v>2314</v>
      </c>
      <c r="N2316">
        <v>469806</v>
      </c>
      <c r="P2316">
        <v>458400</v>
      </c>
    </row>
    <row r="2317" spans="13:16" x14ac:dyDescent="0.3">
      <c r="M2317">
        <v>2315</v>
      </c>
      <c r="N2317">
        <v>92893</v>
      </c>
      <c r="P2317">
        <v>-208142</v>
      </c>
    </row>
    <row r="2318" spans="13:16" x14ac:dyDescent="0.3">
      <c r="M2318">
        <v>2316</v>
      </c>
      <c r="N2318">
        <v>-17917</v>
      </c>
      <c r="P2318">
        <v>523945</v>
      </c>
    </row>
    <row r="2319" spans="13:16" x14ac:dyDescent="0.3">
      <c r="M2319">
        <v>2317</v>
      </c>
      <c r="N2319">
        <v>309526</v>
      </c>
      <c r="P2319">
        <v>-63036</v>
      </c>
    </row>
    <row r="2320" spans="13:16" x14ac:dyDescent="0.3">
      <c r="M2320">
        <v>2318</v>
      </c>
      <c r="N2320">
        <v>712018</v>
      </c>
      <c r="P2320">
        <v>237693</v>
      </c>
    </row>
    <row r="2321" spans="13:16" x14ac:dyDescent="0.3">
      <c r="M2321">
        <v>2319</v>
      </c>
      <c r="N2321">
        <v>456955</v>
      </c>
      <c r="P2321">
        <v>124093</v>
      </c>
    </row>
    <row r="2322" spans="13:16" x14ac:dyDescent="0.3">
      <c r="M2322">
        <v>2320</v>
      </c>
      <c r="N2322">
        <v>314114</v>
      </c>
      <c r="P2322">
        <v>-47460</v>
      </c>
    </row>
    <row r="2323" spans="13:16" x14ac:dyDescent="0.3">
      <c r="M2323">
        <v>2321</v>
      </c>
      <c r="N2323">
        <v>-338479</v>
      </c>
      <c r="P2323">
        <v>480510</v>
      </c>
    </row>
    <row r="2324" spans="13:16" x14ac:dyDescent="0.3">
      <c r="M2324">
        <v>2322</v>
      </c>
      <c r="N2324">
        <v>753538</v>
      </c>
      <c r="P2324">
        <v>-109343</v>
      </c>
    </row>
    <row r="2325" spans="13:16" x14ac:dyDescent="0.3">
      <c r="M2325">
        <v>2323</v>
      </c>
      <c r="N2325">
        <v>853458</v>
      </c>
      <c r="P2325">
        <v>-135463</v>
      </c>
    </row>
    <row r="2326" spans="13:16" x14ac:dyDescent="0.3">
      <c r="M2326">
        <v>2324</v>
      </c>
      <c r="N2326">
        <v>979327</v>
      </c>
      <c r="P2326">
        <v>-691416</v>
      </c>
    </row>
    <row r="2327" spans="13:16" x14ac:dyDescent="0.3">
      <c r="M2327">
        <v>2325</v>
      </c>
      <c r="N2327">
        <v>-197528</v>
      </c>
      <c r="P2327">
        <v>270313</v>
      </c>
    </row>
    <row r="2328" spans="13:16" x14ac:dyDescent="0.3">
      <c r="M2328">
        <v>2326</v>
      </c>
      <c r="N2328">
        <v>-127240</v>
      </c>
      <c r="P2328">
        <v>309599</v>
      </c>
    </row>
    <row r="2329" spans="13:16" x14ac:dyDescent="0.3">
      <c r="M2329">
        <v>2327</v>
      </c>
      <c r="N2329">
        <v>-46939</v>
      </c>
      <c r="P2329">
        <v>708594</v>
      </c>
    </row>
    <row r="2330" spans="13:16" x14ac:dyDescent="0.3">
      <c r="M2330">
        <v>2328</v>
      </c>
      <c r="N2330">
        <v>-573036</v>
      </c>
      <c r="P2330">
        <v>1053083</v>
      </c>
    </row>
    <row r="2331" spans="13:16" x14ac:dyDescent="0.3">
      <c r="M2331">
        <v>2329</v>
      </c>
      <c r="N2331">
        <v>313063</v>
      </c>
      <c r="P2331">
        <v>-395715</v>
      </c>
    </row>
    <row r="2332" spans="13:16" x14ac:dyDescent="0.3">
      <c r="M2332">
        <v>2330</v>
      </c>
      <c r="N2332">
        <v>50563</v>
      </c>
      <c r="P2332">
        <v>-382603</v>
      </c>
    </row>
    <row r="2333" spans="13:16" x14ac:dyDescent="0.3">
      <c r="M2333">
        <v>2331</v>
      </c>
      <c r="N2333">
        <v>-238755</v>
      </c>
      <c r="P2333">
        <v>191579</v>
      </c>
    </row>
    <row r="2334" spans="13:16" x14ac:dyDescent="0.3">
      <c r="M2334">
        <v>2332</v>
      </c>
      <c r="N2334">
        <v>410488</v>
      </c>
      <c r="P2334">
        <v>325402</v>
      </c>
    </row>
    <row r="2335" spans="13:16" x14ac:dyDescent="0.3">
      <c r="M2335">
        <v>2333</v>
      </c>
      <c r="N2335">
        <v>843234</v>
      </c>
      <c r="P2335">
        <v>-301367</v>
      </c>
    </row>
    <row r="2336" spans="13:16" x14ac:dyDescent="0.3">
      <c r="M2336">
        <v>2334</v>
      </c>
      <c r="N2336">
        <v>-213166</v>
      </c>
      <c r="P2336">
        <v>-202205</v>
      </c>
    </row>
    <row r="2337" spans="13:16" x14ac:dyDescent="0.3">
      <c r="M2337">
        <v>2335</v>
      </c>
      <c r="N2337">
        <v>677581</v>
      </c>
      <c r="P2337">
        <v>-22905</v>
      </c>
    </row>
    <row r="2338" spans="13:16" x14ac:dyDescent="0.3">
      <c r="M2338">
        <v>2336</v>
      </c>
      <c r="N2338">
        <v>-266857</v>
      </c>
      <c r="P2338">
        <v>547642</v>
      </c>
    </row>
    <row r="2339" spans="13:16" x14ac:dyDescent="0.3">
      <c r="M2339">
        <v>2337</v>
      </c>
      <c r="N2339">
        <v>328188</v>
      </c>
      <c r="P2339">
        <v>-806156</v>
      </c>
    </row>
    <row r="2340" spans="13:16" x14ac:dyDescent="0.3">
      <c r="M2340">
        <v>2338</v>
      </c>
      <c r="N2340">
        <v>413463</v>
      </c>
      <c r="P2340">
        <v>-38446</v>
      </c>
    </row>
    <row r="2341" spans="13:16" x14ac:dyDescent="0.3">
      <c r="M2341">
        <v>2339</v>
      </c>
      <c r="N2341">
        <v>-600508</v>
      </c>
      <c r="P2341">
        <v>106473</v>
      </c>
    </row>
    <row r="2342" spans="13:16" x14ac:dyDescent="0.3">
      <c r="M2342">
        <v>2340</v>
      </c>
      <c r="N2342">
        <v>18335</v>
      </c>
      <c r="P2342">
        <v>306689</v>
      </c>
    </row>
    <row r="2343" spans="13:16" x14ac:dyDescent="0.3">
      <c r="M2343">
        <v>2341</v>
      </c>
      <c r="N2343">
        <v>-435335</v>
      </c>
      <c r="P2343">
        <v>328922</v>
      </c>
    </row>
    <row r="2344" spans="13:16" x14ac:dyDescent="0.3">
      <c r="M2344">
        <v>2342</v>
      </c>
      <c r="N2344">
        <v>361948</v>
      </c>
      <c r="P2344">
        <v>679881</v>
      </c>
    </row>
    <row r="2345" spans="13:16" x14ac:dyDescent="0.3">
      <c r="M2345">
        <v>2343</v>
      </c>
      <c r="N2345">
        <v>920443</v>
      </c>
      <c r="P2345">
        <v>712110</v>
      </c>
    </row>
    <row r="2346" spans="13:16" x14ac:dyDescent="0.3">
      <c r="M2346">
        <v>2344</v>
      </c>
      <c r="N2346">
        <v>912634</v>
      </c>
      <c r="P2346">
        <v>146375</v>
      </c>
    </row>
    <row r="2347" spans="13:16" x14ac:dyDescent="0.3">
      <c r="M2347">
        <v>2345</v>
      </c>
      <c r="N2347">
        <v>-309331</v>
      </c>
      <c r="P2347">
        <v>-97922</v>
      </c>
    </row>
    <row r="2348" spans="13:16" x14ac:dyDescent="0.3">
      <c r="M2348">
        <v>2346</v>
      </c>
      <c r="N2348">
        <v>165251</v>
      </c>
      <c r="P2348">
        <v>-449778</v>
      </c>
    </row>
    <row r="2349" spans="13:16" x14ac:dyDescent="0.3">
      <c r="M2349">
        <v>2347</v>
      </c>
      <c r="N2349">
        <v>-295307</v>
      </c>
      <c r="P2349">
        <v>433874</v>
      </c>
    </row>
    <row r="2350" spans="13:16" x14ac:dyDescent="0.3">
      <c r="M2350">
        <v>2348</v>
      </c>
      <c r="N2350">
        <v>243157</v>
      </c>
      <c r="P2350">
        <v>212680</v>
      </c>
    </row>
    <row r="2351" spans="13:16" x14ac:dyDescent="0.3">
      <c r="M2351">
        <v>2349</v>
      </c>
      <c r="N2351">
        <v>427077</v>
      </c>
      <c r="P2351">
        <v>-141338</v>
      </c>
    </row>
    <row r="2352" spans="13:16" x14ac:dyDescent="0.3">
      <c r="M2352">
        <v>2350</v>
      </c>
      <c r="N2352">
        <v>-392452</v>
      </c>
      <c r="P2352">
        <v>1080508</v>
      </c>
    </row>
    <row r="2353" spans="13:16" x14ac:dyDescent="0.3">
      <c r="M2353">
        <v>2351</v>
      </c>
      <c r="N2353">
        <v>-235324</v>
      </c>
      <c r="P2353">
        <v>-559083</v>
      </c>
    </row>
    <row r="2354" spans="13:16" x14ac:dyDescent="0.3">
      <c r="M2354">
        <v>2352</v>
      </c>
      <c r="N2354">
        <v>-522935</v>
      </c>
      <c r="P2354">
        <v>-234409</v>
      </c>
    </row>
    <row r="2355" spans="13:16" x14ac:dyDescent="0.3">
      <c r="M2355">
        <v>2353</v>
      </c>
      <c r="N2355">
        <v>207609</v>
      </c>
      <c r="P2355">
        <v>674812</v>
      </c>
    </row>
    <row r="2356" spans="13:16" x14ac:dyDescent="0.3">
      <c r="M2356">
        <v>2354</v>
      </c>
      <c r="N2356">
        <v>20921</v>
      </c>
      <c r="P2356">
        <v>265756</v>
      </c>
    </row>
    <row r="2357" spans="13:16" x14ac:dyDescent="0.3">
      <c r="M2357">
        <v>2355</v>
      </c>
      <c r="N2357">
        <v>531902</v>
      </c>
      <c r="P2357">
        <v>-83183</v>
      </c>
    </row>
    <row r="2358" spans="13:16" x14ac:dyDescent="0.3">
      <c r="M2358">
        <v>2356</v>
      </c>
      <c r="N2358">
        <v>110015</v>
      </c>
      <c r="P2358">
        <v>240934</v>
      </c>
    </row>
    <row r="2359" spans="13:16" x14ac:dyDescent="0.3">
      <c r="M2359">
        <v>2357</v>
      </c>
      <c r="N2359">
        <v>-74671</v>
      </c>
      <c r="P2359">
        <v>676867</v>
      </c>
    </row>
    <row r="2360" spans="13:16" x14ac:dyDescent="0.3">
      <c r="M2360">
        <v>2358</v>
      </c>
      <c r="N2360">
        <v>-153274</v>
      </c>
      <c r="P2360">
        <v>-104760</v>
      </c>
    </row>
    <row r="2361" spans="13:16" x14ac:dyDescent="0.3">
      <c r="M2361">
        <v>2359</v>
      </c>
      <c r="N2361">
        <v>-27738</v>
      </c>
      <c r="P2361">
        <v>-185481</v>
      </c>
    </row>
    <row r="2362" spans="13:16" x14ac:dyDescent="0.3">
      <c r="M2362">
        <v>2360</v>
      </c>
      <c r="N2362">
        <v>43560</v>
      </c>
      <c r="P2362">
        <v>-588416</v>
      </c>
    </row>
    <row r="2363" spans="13:16" x14ac:dyDescent="0.3">
      <c r="M2363">
        <v>2361</v>
      </c>
      <c r="N2363">
        <v>-141285</v>
      </c>
      <c r="P2363">
        <v>-491380</v>
      </c>
    </row>
    <row r="2364" spans="13:16" x14ac:dyDescent="0.3">
      <c r="M2364">
        <v>2362</v>
      </c>
      <c r="N2364">
        <v>45636</v>
      </c>
      <c r="P2364">
        <v>797018</v>
      </c>
    </row>
    <row r="2365" spans="13:16" x14ac:dyDescent="0.3">
      <c r="M2365">
        <v>2363</v>
      </c>
      <c r="N2365">
        <v>257802</v>
      </c>
      <c r="P2365">
        <v>346152</v>
      </c>
    </row>
    <row r="2366" spans="13:16" x14ac:dyDescent="0.3">
      <c r="M2366">
        <v>2364</v>
      </c>
      <c r="N2366">
        <v>-23734</v>
      </c>
      <c r="P2366">
        <v>231860</v>
      </c>
    </row>
    <row r="2367" spans="13:16" x14ac:dyDescent="0.3">
      <c r="M2367">
        <v>2365</v>
      </c>
      <c r="N2367">
        <v>-543904</v>
      </c>
      <c r="P2367">
        <v>251558</v>
      </c>
    </row>
    <row r="2368" spans="13:16" x14ac:dyDescent="0.3">
      <c r="M2368">
        <v>2366</v>
      </c>
      <c r="N2368">
        <v>158936</v>
      </c>
      <c r="P2368">
        <v>335625</v>
      </c>
    </row>
    <row r="2369" spans="13:16" x14ac:dyDescent="0.3">
      <c r="M2369">
        <v>2367</v>
      </c>
      <c r="N2369">
        <v>419279</v>
      </c>
      <c r="P2369">
        <v>-235658</v>
      </c>
    </row>
    <row r="2370" spans="13:16" x14ac:dyDescent="0.3">
      <c r="M2370">
        <v>2368</v>
      </c>
      <c r="N2370">
        <v>759917</v>
      </c>
      <c r="P2370">
        <v>-63846</v>
      </c>
    </row>
    <row r="2371" spans="13:16" x14ac:dyDescent="0.3">
      <c r="M2371">
        <v>2369</v>
      </c>
      <c r="N2371">
        <v>-620252</v>
      </c>
      <c r="P2371">
        <v>-251920</v>
      </c>
    </row>
    <row r="2372" spans="13:16" x14ac:dyDescent="0.3">
      <c r="M2372">
        <v>2370</v>
      </c>
      <c r="N2372">
        <v>33962</v>
      </c>
      <c r="P2372">
        <v>-627138</v>
      </c>
    </row>
    <row r="2373" spans="13:16" x14ac:dyDescent="0.3">
      <c r="M2373">
        <v>2371</v>
      </c>
      <c r="N2373">
        <v>-438038</v>
      </c>
      <c r="P2373">
        <v>-22603</v>
      </c>
    </row>
    <row r="2374" spans="13:16" x14ac:dyDescent="0.3">
      <c r="M2374">
        <v>2372</v>
      </c>
      <c r="N2374">
        <v>540421</v>
      </c>
      <c r="P2374">
        <v>686860</v>
      </c>
    </row>
    <row r="2375" spans="13:16" x14ac:dyDescent="0.3">
      <c r="M2375">
        <v>2373</v>
      </c>
      <c r="N2375">
        <v>-472535</v>
      </c>
      <c r="P2375">
        <v>305564</v>
      </c>
    </row>
    <row r="2376" spans="13:16" x14ac:dyDescent="0.3">
      <c r="M2376">
        <v>2374</v>
      </c>
      <c r="N2376">
        <v>-307784</v>
      </c>
      <c r="P2376">
        <v>-42806</v>
      </c>
    </row>
    <row r="2377" spans="13:16" x14ac:dyDescent="0.3">
      <c r="M2377">
        <v>2375</v>
      </c>
      <c r="N2377">
        <v>474187</v>
      </c>
      <c r="P2377">
        <v>-193229</v>
      </c>
    </row>
    <row r="2378" spans="13:16" x14ac:dyDescent="0.3">
      <c r="M2378">
        <v>2376</v>
      </c>
      <c r="N2378">
        <v>924480</v>
      </c>
      <c r="P2378">
        <v>-6559</v>
      </c>
    </row>
    <row r="2379" spans="13:16" x14ac:dyDescent="0.3">
      <c r="M2379">
        <v>2377</v>
      </c>
      <c r="N2379">
        <v>24105</v>
      </c>
      <c r="P2379">
        <v>-51563</v>
      </c>
    </row>
    <row r="2380" spans="13:16" x14ac:dyDescent="0.3">
      <c r="M2380">
        <v>2378</v>
      </c>
      <c r="N2380">
        <v>231756</v>
      </c>
      <c r="P2380">
        <v>-230609</v>
      </c>
    </row>
    <row r="2381" spans="13:16" x14ac:dyDescent="0.3">
      <c r="M2381">
        <v>2379</v>
      </c>
      <c r="N2381">
        <v>-253197</v>
      </c>
      <c r="P2381">
        <v>259855</v>
      </c>
    </row>
    <row r="2382" spans="13:16" x14ac:dyDescent="0.3">
      <c r="M2382">
        <v>2380</v>
      </c>
      <c r="N2382">
        <v>-662447</v>
      </c>
      <c r="P2382">
        <v>-84999</v>
      </c>
    </row>
    <row r="2383" spans="13:16" x14ac:dyDescent="0.3">
      <c r="M2383">
        <v>2381</v>
      </c>
      <c r="N2383">
        <v>-112592</v>
      </c>
      <c r="P2383">
        <v>306937</v>
      </c>
    </row>
    <row r="2384" spans="13:16" x14ac:dyDescent="0.3">
      <c r="M2384">
        <v>2382</v>
      </c>
      <c r="N2384">
        <v>-153323</v>
      </c>
      <c r="P2384">
        <v>110442</v>
      </c>
    </row>
    <row r="2385" spans="13:16" x14ac:dyDescent="0.3">
      <c r="M2385">
        <v>2383</v>
      </c>
      <c r="N2385">
        <v>-333713</v>
      </c>
      <c r="P2385">
        <v>102605</v>
      </c>
    </row>
    <row r="2386" spans="13:16" x14ac:dyDescent="0.3">
      <c r="M2386">
        <v>2384</v>
      </c>
      <c r="N2386">
        <v>-615022</v>
      </c>
      <c r="P2386">
        <v>823839</v>
      </c>
    </row>
    <row r="2387" spans="13:16" x14ac:dyDescent="0.3">
      <c r="M2387">
        <v>2385</v>
      </c>
      <c r="N2387">
        <v>-91421</v>
      </c>
      <c r="P2387">
        <v>818246</v>
      </c>
    </row>
    <row r="2388" spans="13:16" x14ac:dyDescent="0.3">
      <c r="M2388">
        <v>2386</v>
      </c>
      <c r="N2388">
        <v>-309584</v>
      </c>
      <c r="P2388">
        <v>-375739</v>
      </c>
    </row>
    <row r="2389" spans="13:16" x14ac:dyDescent="0.3">
      <c r="M2389">
        <v>2387</v>
      </c>
      <c r="N2389">
        <v>224179</v>
      </c>
      <c r="P2389">
        <v>-338349</v>
      </c>
    </row>
    <row r="2390" spans="13:16" x14ac:dyDescent="0.3">
      <c r="M2390">
        <v>2388</v>
      </c>
      <c r="N2390">
        <v>400335</v>
      </c>
      <c r="P2390">
        <v>-587386</v>
      </c>
    </row>
    <row r="2391" spans="13:16" x14ac:dyDescent="0.3">
      <c r="M2391">
        <v>2389</v>
      </c>
      <c r="N2391">
        <v>-614805</v>
      </c>
      <c r="P2391">
        <v>324509</v>
      </c>
    </row>
    <row r="2392" spans="13:16" x14ac:dyDescent="0.3">
      <c r="M2392">
        <v>2390</v>
      </c>
      <c r="N2392">
        <v>-519863</v>
      </c>
      <c r="P2392">
        <v>-426931</v>
      </c>
    </row>
    <row r="2393" spans="13:16" x14ac:dyDescent="0.3">
      <c r="M2393">
        <v>2391</v>
      </c>
      <c r="N2393">
        <v>654841</v>
      </c>
      <c r="P2393">
        <v>293695</v>
      </c>
    </row>
    <row r="2394" spans="13:16" x14ac:dyDescent="0.3">
      <c r="M2394">
        <v>2392</v>
      </c>
      <c r="N2394">
        <v>-806915</v>
      </c>
      <c r="P2394">
        <v>290838</v>
      </c>
    </row>
    <row r="2395" spans="13:16" x14ac:dyDescent="0.3">
      <c r="M2395">
        <v>2393</v>
      </c>
      <c r="N2395">
        <v>-872595</v>
      </c>
      <c r="P2395">
        <v>354085</v>
      </c>
    </row>
    <row r="2396" spans="13:16" x14ac:dyDescent="0.3">
      <c r="M2396">
        <v>2394</v>
      </c>
      <c r="N2396">
        <v>-355393</v>
      </c>
      <c r="P2396">
        <v>-326346</v>
      </c>
    </row>
    <row r="2397" spans="13:16" x14ac:dyDescent="0.3">
      <c r="M2397">
        <v>2395</v>
      </c>
      <c r="N2397">
        <v>-348861</v>
      </c>
      <c r="P2397">
        <v>-648144</v>
      </c>
    </row>
    <row r="2398" spans="13:16" x14ac:dyDescent="0.3">
      <c r="M2398">
        <v>2396</v>
      </c>
      <c r="N2398">
        <v>194700</v>
      </c>
      <c r="P2398">
        <v>428683</v>
      </c>
    </row>
    <row r="2399" spans="13:16" x14ac:dyDescent="0.3">
      <c r="M2399">
        <v>2397</v>
      </c>
      <c r="N2399">
        <v>460088</v>
      </c>
      <c r="P2399">
        <v>-265598</v>
      </c>
    </row>
    <row r="2400" spans="13:16" x14ac:dyDescent="0.3">
      <c r="M2400">
        <v>2398</v>
      </c>
      <c r="N2400">
        <v>-369068</v>
      </c>
      <c r="P2400">
        <v>-287317</v>
      </c>
    </row>
    <row r="2401" spans="13:16" x14ac:dyDescent="0.3">
      <c r="M2401">
        <v>2399</v>
      </c>
      <c r="N2401">
        <v>-142752</v>
      </c>
      <c r="P2401">
        <v>-422841</v>
      </c>
    </row>
    <row r="2402" spans="13:16" x14ac:dyDescent="0.3">
      <c r="M2402">
        <v>2400</v>
      </c>
      <c r="N2402">
        <v>-324794</v>
      </c>
      <c r="P2402">
        <v>397936</v>
      </c>
    </row>
    <row r="2403" spans="13:16" x14ac:dyDescent="0.3">
      <c r="M2403">
        <v>2401</v>
      </c>
      <c r="N2403">
        <v>-955</v>
      </c>
      <c r="P2403">
        <v>-60568</v>
      </c>
    </row>
    <row r="2404" spans="13:16" x14ac:dyDescent="0.3">
      <c r="M2404">
        <v>2402</v>
      </c>
      <c r="N2404">
        <v>-200837</v>
      </c>
      <c r="P2404">
        <v>101583</v>
      </c>
    </row>
    <row r="2405" spans="13:16" x14ac:dyDescent="0.3">
      <c r="M2405">
        <v>2403</v>
      </c>
      <c r="N2405">
        <v>-228793</v>
      </c>
      <c r="P2405">
        <v>-652152</v>
      </c>
    </row>
    <row r="2406" spans="13:16" x14ac:dyDescent="0.3">
      <c r="M2406">
        <v>2404</v>
      </c>
      <c r="N2406">
        <v>815423</v>
      </c>
      <c r="P2406">
        <v>-562277</v>
      </c>
    </row>
    <row r="2407" spans="13:16" x14ac:dyDescent="0.3">
      <c r="M2407">
        <v>2405</v>
      </c>
      <c r="N2407">
        <v>-622136</v>
      </c>
      <c r="P2407">
        <v>784712</v>
      </c>
    </row>
    <row r="2408" spans="13:16" x14ac:dyDescent="0.3">
      <c r="M2408">
        <v>2406</v>
      </c>
      <c r="N2408">
        <v>233118</v>
      </c>
      <c r="P2408">
        <v>-447247</v>
      </c>
    </row>
    <row r="2409" spans="13:16" x14ac:dyDescent="0.3">
      <c r="M2409">
        <v>2407</v>
      </c>
      <c r="N2409">
        <v>79330</v>
      </c>
      <c r="P2409">
        <v>-560104</v>
      </c>
    </row>
    <row r="2410" spans="13:16" x14ac:dyDescent="0.3">
      <c r="M2410">
        <v>2408</v>
      </c>
      <c r="N2410">
        <v>433992</v>
      </c>
      <c r="P2410">
        <v>-402529</v>
      </c>
    </row>
    <row r="2411" spans="13:16" x14ac:dyDescent="0.3">
      <c r="M2411">
        <v>2409</v>
      </c>
      <c r="N2411">
        <v>-569043</v>
      </c>
      <c r="P2411">
        <v>609994</v>
      </c>
    </row>
    <row r="2412" spans="13:16" x14ac:dyDescent="0.3">
      <c r="M2412">
        <v>2410</v>
      </c>
      <c r="N2412">
        <v>-432423</v>
      </c>
      <c r="P2412">
        <v>607525</v>
      </c>
    </row>
    <row r="2413" spans="13:16" x14ac:dyDescent="0.3">
      <c r="M2413">
        <v>2411</v>
      </c>
      <c r="N2413">
        <v>-173624</v>
      </c>
      <c r="P2413">
        <v>-568520</v>
      </c>
    </row>
    <row r="2414" spans="13:16" x14ac:dyDescent="0.3">
      <c r="M2414">
        <v>2412</v>
      </c>
      <c r="N2414">
        <v>-389697</v>
      </c>
      <c r="P2414">
        <v>-17631</v>
      </c>
    </row>
    <row r="2415" spans="13:16" x14ac:dyDescent="0.3">
      <c r="M2415">
        <v>2413</v>
      </c>
      <c r="N2415">
        <v>114600</v>
      </c>
      <c r="P2415">
        <v>406853</v>
      </c>
    </row>
    <row r="2416" spans="13:16" x14ac:dyDescent="0.3">
      <c r="M2416">
        <v>2414</v>
      </c>
      <c r="N2416">
        <v>462744</v>
      </c>
      <c r="P2416">
        <v>302646</v>
      </c>
    </row>
    <row r="2417" spans="13:16" x14ac:dyDescent="0.3">
      <c r="M2417">
        <v>2415</v>
      </c>
      <c r="N2417">
        <v>-516922</v>
      </c>
      <c r="P2417">
        <v>745596</v>
      </c>
    </row>
    <row r="2418" spans="13:16" x14ac:dyDescent="0.3">
      <c r="M2418">
        <v>2416</v>
      </c>
      <c r="N2418">
        <v>335464</v>
      </c>
      <c r="P2418">
        <v>-787214</v>
      </c>
    </row>
    <row r="2419" spans="13:16" x14ac:dyDescent="0.3">
      <c r="M2419">
        <v>2417</v>
      </c>
      <c r="N2419">
        <v>-135153</v>
      </c>
      <c r="P2419">
        <v>37391</v>
      </c>
    </row>
    <row r="2420" spans="13:16" x14ac:dyDescent="0.3">
      <c r="M2420">
        <v>2418</v>
      </c>
      <c r="N2420">
        <v>-89336</v>
      </c>
      <c r="P2420">
        <v>-582696</v>
      </c>
    </row>
    <row r="2421" spans="13:16" x14ac:dyDescent="0.3">
      <c r="M2421">
        <v>2419</v>
      </c>
      <c r="N2421">
        <v>-792370</v>
      </c>
      <c r="P2421">
        <v>357175</v>
      </c>
    </row>
    <row r="2422" spans="13:16" x14ac:dyDescent="0.3">
      <c r="M2422">
        <v>2420</v>
      </c>
      <c r="N2422">
        <v>-747319</v>
      </c>
      <c r="P2422">
        <v>-630551</v>
      </c>
    </row>
    <row r="2423" spans="13:16" x14ac:dyDescent="0.3">
      <c r="M2423">
        <v>2421</v>
      </c>
      <c r="N2423">
        <v>-148786</v>
      </c>
      <c r="P2423">
        <v>150240</v>
      </c>
    </row>
    <row r="2424" spans="13:16" x14ac:dyDescent="0.3">
      <c r="M2424">
        <v>2422</v>
      </c>
      <c r="N2424">
        <v>447908</v>
      </c>
      <c r="P2424">
        <v>-399661</v>
      </c>
    </row>
    <row r="2425" spans="13:16" x14ac:dyDescent="0.3">
      <c r="M2425">
        <v>2423</v>
      </c>
      <c r="N2425">
        <v>-593405</v>
      </c>
      <c r="P2425">
        <v>28341</v>
      </c>
    </row>
    <row r="2426" spans="13:16" x14ac:dyDescent="0.3">
      <c r="M2426">
        <v>2424</v>
      </c>
      <c r="N2426">
        <v>-108979</v>
      </c>
      <c r="P2426">
        <v>4827</v>
      </c>
    </row>
    <row r="2427" spans="13:16" x14ac:dyDescent="0.3">
      <c r="M2427">
        <v>2425</v>
      </c>
      <c r="N2427">
        <v>-219441</v>
      </c>
      <c r="P2427">
        <v>453636</v>
      </c>
    </row>
    <row r="2428" spans="13:16" x14ac:dyDescent="0.3">
      <c r="M2428">
        <v>2426</v>
      </c>
      <c r="N2428">
        <v>-564958</v>
      </c>
      <c r="P2428">
        <v>486379</v>
      </c>
    </row>
    <row r="2429" spans="13:16" x14ac:dyDescent="0.3">
      <c r="M2429">
        <v>2427</v>
      </c>
      <c r="N2429">
        <v>-306516</v>
      </c>
      <c r="P2429">
        <v>-568782</v>
      </c>
    </row>
    <row r="2430" spans="13:16" x14ac:dyDescent="0.3">
      <c r="M2430">
        <v>2428</v>
      </c>
      <c r="N2430">
        <v>-288797</v>
      </c>
      <c r="P2430">
        <v>844253</v>
      </c>
    </row>
    <row r="2431" spans="13:16" x14ac:dyDescent="0.3">
      <c r="M2431">
        <v>2429</v>
      </c>
      <c r="N2431">
        <v>879168</v>
      </c>
      <c r="P2431">
        <v>-533737</v>
      </c>
    </row>
    <row r="2432" spans="13:16" x14ac:dyDescent="0.3">
      <c r="M2432">
        <v>2430</v>
      </c>
      <c r="N2432">
        <v>426124</v>
      </c>
      <c r="P2432">
        <v>374655</v>
      </c>
    </row>
    <row r="2433" spans="13:16" x14ac:dyDescent="0.3">
      <c r="M2433">
        <v>2431</v>
      </c>
      <c r="N2433">
        <v>194848</v>
      </c>
      <c r="P2433">
        <v>-399199</v>
      </c>
    </row>
    <row r="2434" spans="13:16" x14ac:dyDescent="0.3">
      <c r="M2434">
        <v>2432</v>
      </c>
      <c r="N2434">
        <v>155336</v>
      </c>
      <c r="P2434">
        <v>106316</v>
      </c>
    </row>
    <row r="2435" spans="13:16" x14ac:dyDescent="0.3">
      <c r="M2435">
        <v>2433</v>
      </c>
      <c r="N2435">
        <v>-243821</v>
      </c>
      <c r="P2435">
        <v>-389232</v>
      </c>
    </row>
    <row r="2436" spans="13:16" x14ac:dyDescent="0.3">
      <c r="M2436">
        <v>2434</v>
      </c>
      <c r="N2436">
        <v>577771</v>
      </c>
      <c r="P2436">
        <v>-60433</v>
      </c>
    </row>
    <row r="2437" spans="13:16" x14ac:dyDescent="0.3">
      <c r="M2437">
        <v>2435</v>
      </c>
      <c r="N2437">
        <v>-607454</v>
      </c>
      <c r="P2437">
        <v>-471116</v>
      </c>
    </row>
    <row r="2438" spans="13:16" x14ac:dyDescent="0.3">
      <c r="M2438">
        <v>2436</v>
      </c>
      <c r="N2438">
        <v>-161143</v>
      </c>
      <c r="P2438">
        <v>102520</v>
      </c>
    </row>
    <row r="2439" spans="13:16" x14ac:dyDescent="0.3">
      <c r="M2439">
        <v>2437</v>
      </c>
      <c r="N2439">
        <v>-639448</v>
      </c>
      <c r="P2439">
        <v>515684</v>
      </c>
    </row>
    <row r="2440" spans="13:16" x14ac:dyDescent="0.3">
      <c r="M2440">
        <v>2438</v>
      </c>
      <c r="N2440">
        <v>208618</v>
      </c>
      <c r="P2440">
        <v>-329618</v>
      </c>
    </row>
    <row r="2441" spans="13:16" x14ac:dyDescent="0.3">
      <c r="M2441">
        <v>2439</v>
      </c>
      <c r="N2441">
        <v>120869</v>
      </c>
      <c r="P2441">
        <v>-293085</v>
      </c>
    </row>
    <row r="2442" spans="13:16" x14ac:dyDescent="0.3">
      <c r="M2442">
        <v>2440</v>
      </c>
      <c r="N2442">
        <v>469306</v>
      </c>
      <c r="P2442">
        <v>208279</v>
      </c>
    </row>
    <row r="2443" spans="13:16" x14ac:dyDescent="0.3">
      <c r="M2443">
        <v>2441</v>
      </c>
      <c r="N2443">
        <v>-82779</v>
      </c>
      <c r="P2443">
        <v>-1948</v>
      </c>
    </row>
    <row r="2444" spans="13:16" x14ac:dyDescent="0.3">
      <c r="M2444">
        <v>2442</v>
      </c>
      <c r="N2444">
        <v>-808821</v>
      </c>
      <c r="P2444">
        <v>-277090</v>
      </c>
    </row>
    <row r="2445" spans="13:16" x14ac:dyDescent="0.3">
      <c r="M2445">
        <v>2443</v>
      </c>
      <c r="N2445">
        <v>205523</v>
      </c>
      <c r="P2445">
        <v>634576</v>
      </c>
    </row>
    <row r="2446" spans="13:16" x14ac:dyDescent="0.3">
      <c r="M2446">
        <v>2444</v>
      </c>
      <c r="N2446">
        <v>-418001</v>
      </c>
      <c r="P2446">
        <v>-367098</v>
      </c>
    </row>
    <row r="2447" spans="13:16" x14ac:dyDescent="0.3">
      <c r="M2447">
        <v>2445</v>
      </c>
      <c r="N2447">
        <v>50871</v>
      </c>
      <c r="P2447">
        <v>13364</v>
      </c>
    </row>
    <row r="2448" spans="13:16" x14ac:dyDescent="0.3">
      <c r="M2448">
        <v>2446</v>
      </c>
      <c r="N2448">
        <v>-775778</v>
      </c>
      <c r="P2448">
        <v>-388308</v>
      </c>
    </row>
    <row r="2449" spans="13:16" x14ac:dyDescent="0.3">
      <c r="M2449">
        <v>2447</v>
      </c>
      <c r="N2449">
        <v>-299389</v>
      </c>
      <c r="P2449">
        <v>45968</v>
      </c>
    </row>
    <row r="2450" spans="13:16" x14ac:dyDescent="0.3">
      <c r="M2450">
        <v>2448</v>
      </c>
      <c r="N2450">
        <v>71332</v>
      </c>
      <c r="P2450">
        <v>75696</v>
      </c>
    </row>
    <row r="2451" spans="13:16" x14ac:dyDescent="0.3">
      <c r="M2451">
        <v>2449</v>
      </c>
      <c r="N2451">
        <v>-538129</v>
      </c>
      <c r="P2451">
        <v>569993</v>
      </c>
    </row>
    <row r="2452" spans="13:16" x14ac:dyDescent="0.3">
      <c r="M2452">
        <v>2450</v>
      </c>
      <c r="N2452">
        <v>-268824</v>
      </c>
      <c r="P2452">
        <v>-143630</v>
      </c>
    </row>
    <row r="2453" spans="13:16" x14ac:dyDescent="0.3">
      <c r="M2453">
        <v>2451</v>
      </c>
      <c r="N2453">
        <v>-19768</v>
      </c>
      <c r="P2453">
        <v>-119452</v>
      </c>
    </row>
    <row r="2454" spans="13:16" x14ac:dyDescent="0.3">
      <c r="M2454">
        <v>2452</v>
      </c>
      <c r="N2454">
        <v>749746</v>
      </c>
      <c r="P2454">
        <v>122772</v>
      </c>
    </row>
    <row r="2455" spans="13:16" x14ac:dyDescent="0.3">
      <c r="M2455">
        <v>2453</v>
      </c>
      <c r="N2455">
        <v>-693744</v>
      </c>
      <c r="P2455">
        <v>25444</v>
      </c>
    </row>
    <row r="2456" spans="13:16" x14ac:dyDescent="0.3">
      <c r="M2456">
        <v>2454</v>
      </c>
      <c r="N2456">
        <v>-131700</v>
      </c>
      <c r="P2456">
        <v>163115</v>
      </c>
    </row>
    <row r="2457" spans="13:16" x14ac:dyDescent="0.3">
      <c r="M2457">
        <v>2455</v>
      </c>
      <c r="N2457">
        <v>5024</v>
      </c>
      <c r="P2457">
        <v>-88123</v>
      </c>
    </row>
    <row r="2458" spans="13:16" x14ac:dyDescent="0.3">
      <c r="M2458">
        <v>2456</v>
      </c>
      <c r="N2458">
        <v>334541</v>
      </c>
      <c r="P2458">
        <v>-434500</v>
      </c>
    </row>
    <row r="2459" spans="13:16" x14ac:dyDescent="0.3">
      <c r="M2459">
        <v>2457</v>
      </c>
      <c r="N2459">
        <v>-277792</v>
      </c>
      <c r="P2459">
        <v>-74929</v>
      </c>
    </row>
    <row r="2460" spans="13:16" x14ac:dyDescent="0.3">
      <c r="M2460">
        <v>2458</v>
      </c>
      <c r="N2460">
        <v>811646</v>
      </c>
      <c r="P2460">
        <v>-39919</v>
      </c>
    </row>
    <row r="2461" spans="13:16" x14ac:dyDescent="0.3">
      <c r="M2461">
        <v>2459</v>
      </c>
      <c r="N2461">
        <v>-178153</v>
      </c>
      <c r="P2461">
        <v>1154556</v>
      </c>
    </row>
    <row r="2462" spans="13:16" x14ac:dyDescent="0.3">
      <c r="M2462">
        <v>2460</v>
      </c>
      <c r="N2462">
        <v>291659</v>
      </c>
      <c r="P2462">
        <v>257364</v>
      </c>
    </row>
    <row r="2463" spans="13:16" x14ac:dyDescent="0.3">
      <c r="M2463">
        <v>2461</v>
      </c>
      <c r="N2463">
        <v>-658633</v>
      </c>
      <c r="P2463">
        <v>224238</v>
      </c>
    </row>
    <row r="2464" spans="13:16" x14ac:dyDescent="0.3">
      <c r="M2464">
        <v>2462</v>
      </c>
      <c r="N2464">
        <v>63318</v>
      </c>
      <c r="P2464">
        <v>-92273</v>
      </c>
    </row>
    <row r="2465" spans="13:16" x14ac:dyDescent="0.3">
      <c r="M2465">
        <v>2463</v>
      </c>
      <c r="N2465">
        <v>-368900</v>
      </c>
      <c r="P2465">
        <v>-638982</v>
      </c>
    </row>
    <row r="2466" spans="13:16" x14ac:dyDescent="0.3">
      <c r="M2466">
        <v>2464</v>
      </c>
      <c r="N2466">
        <v>-29807</v>
      </c>
      <c r="P2466">
        <v>-214602</v>
      </c>
    </row>
    <row r="2467" spans="13:16" x14ac:dyDescent="0.3">
      <c r="M2467">
        <v>2465</v>
      </c>
      <c r="N2467">
        <v>-273818</v>
      </c>
      <c r="P2467">
        <v>94501</v>
      </c>
    </row>
    <row r="2468" spans="13:16" x14ac:dyDescent="0.3">
      <c r="M2468">
        <v>2466</v>
      </c>
      <c r="N2468">
        <v>-15169</v>
      </c>
      <c r="P2468">
        <v>-97068</v>
      </c>
    </row>
    <row r="2469" spans="13:16" x14ac:dyDescent="0.3">
      <c r="M2469">
        <v>2467</v>
      </c>
      <c r="N2469">
        <v>317882</v>
      </c>
      <c r="P2469">
        <v>168058</v>
      </c>
    </row>
    <row r="2470" spans="13:16" x14ac:dyDescent="0.3">
      <c r="M2470">
        <v>2468</v>
      </c>
      <c r="N2470">
        <v>-501480</v>
      </c>
      <c r="P2470">
        <v>823957</v>
      </c>
    </row>
    <row r="2471" spans="13:16" x14ac:dyDescent="0.3">
      <c r="M2471">
        <v>2469</v>
      </c>
      <c r="N2471">
        <v>181989</v>
      </c>
      <c r="P2471">
        <v>-211782</v>
      </c>
    </row>
    <row r="2472" spans="13:16" x14ac:dyDescent="0.3">
      <c r="M2472">
        <v>2470</v>
      </c>
      <c r="N2472">
        <v>-520994</v>
      </c>
      <c r="P2472">
        <v>357694</v>
      </c>
    </row>
    <row r="2473" spans="13:16" x14ac:dyDescent="0.3">
      <c r="M2473">
        <v>2471</v>
      </c>
      <c r="N2473">
        <v>-364284</v>
      </c>
      <c r="P2473">
        <v>-719431</v>
      </c>
    </row>
    <row r="2474" spans="13:16" x14ac:dyDescent="0.3">
      <c r="M2474">
        <v>2472</v>
      </c>
      <c r="N2474">
        <v>238674</v>
      </c>
      <c r="P2474">
        <v>122250</v>
      </c>
    </row>
    <row r="2475" spans="13:16" x14ac:dyDescent="0.3">
      <c r="M2475">
        <v>2473</v>
      </c>
      <c r="N2475">
        <v>-377040</v>
      </c>
      <c r="P2475">
        <v>206413</v>
      </c>
    </row>
    <row r="2476" spans="13:16" x14ac:dyDescent="0.3">
      <c r="M2476">
        <v>2474</v>
      </c>
      <c r="N2476">
        <v>-503586</v>
      </c>
      <c r="P2476">
        <v>700342</v>
      </c>
    </row>
    <row r="2477" spans="13:16" x14ac:dyDescent="0.3">
      <c r="M2477">
        <v>2475</v>
      </c>
      <c r="N2477">
        <v>-39532</v>
      </c>
      <c r="P2477">
        <v>-401194</v>
      </c>
    </row>
    <row r="2478" spans="13:16" x14ac:dyDescent="0.3">
      <c r="M2478">
        <v>2476</v>
      </c>
      <c r="N2478">
        <v>976538</v>
      </c>
      <c r="P2478">
        <v>-128682</v>
      </c>
    </row>
    <row r="2479" spans="13:16" x14ac:dyDescent="0.3">
      <c r="M2479">
        <v>2477</v>
      </c>
      <c r="N2479">
        <v>344159</v>
      </c>
      <c r="P2479">
        <v>-539888</v>
      </c>
    </row>
    <row r="2480" spans="13:16" x14ac:dyDescent="0.3">
      <c r="M2480">
        <v>2478</v>
      </c>
      <c r="N2480">
        <v>240535</v>
      </c>
      <c r="P2480">
        <v>258622</v>
      </c>
    </row>
    <row r="2481" spans="13:16" x14ac:dyDescent="0.3">
      <c r="M2481">
        <v>2479</v>
      </c>
      <c r="N2481">
        <v>365207</v>
      </c>
      <c r="P2481">
        <v>-405904</v>
      </c>
    </row>
    <row r="2482" spans="13:16" x14ac:dyDescent="0.3">
      <c r="M2482">
        <v>2480</v>
      </c>
      <c r="N2482">
        <v>-431245</v>
      </c>
      <c r="P2482">
        <v>-103420</v>
      </c>
    </row>
    <row r="2483" spans="13:16" x14ac:dyDescent="0.3">
      <c r="M2483">
        <v>2481</v>
      </c>
      <c r="N2483">
        <v>203465</v>
      </c>
      <c r="P2483">
        <v>390072</v>
      </c>
    </row>
    <row r="2484" spans="13:16" x14ac:dyDescent="0.3">
      <c r="M2484">
        <v>2482</v>
      </c>
      <c r="N2484">
        <v>411121</v>
      </c>
      <c r="P2484">
        <v>-370513</v>
      </c>
    </row>
    <row r="2485" spans="13:16" x14ac:dyDescent="0.3">
      <c r="M2485">
        <v>2483</v>
      </c>
      <c r="N2485">
        <v>-343785</v>
      </c>
      <c r="P2485">
        <v>446157</v>
      </c>
    </row>
    <row r="2486" spans="13:16" x14ac:dyDescent="0.3">
      <c r="M2486">
        <v>2484</v>
      </c>
      <c r="N2486">
        <v>6086</v>
      </c>
      <c r="P2486">
        <v>514408</v>
      </c>
    </row>
    <row r="2487" spans="13:16" x14ac:dyDescent="0.3">
      <c r="M2487">
        <v>2485</v>
      </c>
      <c r="N2487">
        <v>-208633</v>
      </c>
      <c r="P2487">
        <v>833017</v>
      </c>
    </row>
    <row r="2488" spans="13:16" x14ac:dyDescent="0.3">
      <c r="M2488">
        <v>2486</v>
      </c>
      <c r="N2488">
        <v>-595933</v>
      </c>
      <c r="P2488">
        <v>701656</v>
      </c>
    </row>
    <row r="2489" spans="13:16" x14ac:dyDescent="0.3">
      <c r="M2489">
        <v>2487</v>
      </c>
      <c r="N2489">
        <v>647294</v>
      </c>
      <c r="P2489">
        <v>341612</v>
      </c>
    </row>
    <row r="2490" spans="13:16" x14ac:dyDescent="0.3">
      <c r="M2490">
        <v>2488</v>
      </c>
      <c r="N2490">
        <v>-195328</v>
      </c>
      <c r="P2490">
        <v>-425525</v>
      </c>
    </row>
    <row r="2491" spans="13:16" x14ac:dyDescent="0.3">
      <c r="M2491">
        <v>2489</v>
      </c>
      <c r="N2491">
        <v>413445</v>
      </c>
      <c r="P2491">
        <v>755783</v>
      </c>
    </row>
    <row r="2492" spans="13:16" x14ac:dyDescent="0.3">
      <c r="M2492">
        <v>2490</v>
      </c>
      <c r="N2492">
        <v>-21453</v>
      </c>
      <c r="P2492">
        <v>-697806</v>
      </c>
    </row>
    <row r="2493" spans="13:16" x14ac:dyDescent="0.3">
      <c r="M2493">
        <v>2491</v>
      </c>
      <c r="N2493">
        <v>-35837</v>
      </c>
      <c r="P2493">
        <v>-7399</v>
      </c>
    </row>
    <row r="2494" spans="13:16" x14ac:dyDescent="0.3">
      <c r="M2494">
        <v>2492</v>
      </c>
      <c r="N2494">
        <v>-215653</v>
      </c>
      <c r="P2494">
        <v>498702</v>
      </c>
    </row>
    <row r="2495" spans="13:16" x14ac:dyDescent="0.3">
      <c r="M2495">
        <v>2493</v>
      </c>
      <c r="N2495">
        <v>-112109</v>
      </c>
      <c r="P2495">
        <v>-160427</v>
      </c>
    </row>
    <row r="2496" spans="13:16" x14ac:dyDescent="0.3">
      <c r="M2496">
        <v>2494</v>
      </c>
      <c r="N2496">
        <v>-254576</v>
      </c>
      <c r="P2496">
        <v>-289118</v>
      </c>
    </row>
    <row r="2497" spans="13:16" x14ac:dyDescent="0.3">
      <c r="M2497">
        <v>2495</v>
      </c>
      <c r="N2497">
        <v>-220458</v>
      </c>
      <c r="P2497">
        <v>-749629</v>
      </c>
    </row>
    <row r="2498" spans="13:16" x14ac:dyDescent="0.3">
      <c r="M2498">
        <v>2496</v>
      </c>
      <c r="N2498">
        <v>-384169</v>
      </c>
      <c r="P2498">
        <v>747155</v>
      </c>
    </row>
    <row r="2499" spans="13:16" x14ac:dyDescent="0.3">
      <c r="M2499">
        <v>2497</v>
      </c>
      <c r="N2499">
        <v>-165606</v>
      </c>
      <c r="P2499">
        <v>22701</v>
      </c>
    </row>
    <row r="2500" spans="13:16" x14ac:dyDescent="0.3">
      <c r="M2500">
        <v>2498</v>
      </c>
      <c r="N2500">
        <v>116272</v>
      </c>
      <c r="P2500">
        <v>20542</v>
      </c>
    </row>
    <row r="2501" spans="13:16" x14ac:dyDescent="0.3">
      <c r="M2501">
        <v>2499</v>
      </c>
      <c r="N2501">
        <v>214246</v>
      </c>
      <c r="P2501">
        <v>-271964</v>
      </c>
    </row>
    <row r="2502" spans="13:16" x14ac:dyDescent="0.3">
      <c r="M2502">
        <v>2500</v>
      </c>
      <c r="N2502">
        <v>375650</v>
      </c>
      <c r="P2502">
        <v>52076</v>
      </c>
    </row>
    <row r="2503" spans="13:16" x14ac:dyDescent="0.3">
      <c r="M2503">
        <v>2501</v>
      </c>
      <c r="N2503">
        <v>1101823</v>
      </c>
      <c r="P2503">
        <v>653550</v>
      </c>
    </row>
    <row r="2504" spans="13:16" x14ac:dyDescent="0.3">
      <c r="M2504">
        <v>2502</v>
      </c>
      <c r="N2504">
        <v>-4018</v>
      </c>
      <c r="P2504">
        <v>260365</v>
      </c>
    </row>
    <row r="2505" spans="13:16" x14ac:dyDescent="0.3">
      <c r="M2505">
        <v>2503</v>
      </c>
      <c r="N2505">
        <v>-510581</v>
      </c>
      <c r="P2505">
        <v>-445904</v>
      </c>
    </row>
    <row r="2506" spans="13:16" x14ac:dyDescent="0.3">
      <c r="M2506">
        <v>2504</v>
      </c>
      <c r="N2506">
        <v>-93179</v>
      </c>
      <c r="P2506">
        <v>254309</v>
      </c>
    </row>
    <row r="2507" spans="13:16" x14ac:dyDescent="0.3">
      <c r="M2507">
        <v>2505</v>
      </c>
      <c r="N2507">
        <v>355051</v>
      </c>
      <c r="P2507">
        <v>-540980</v>
      </c>
    </row>
    <row r="2508" spans="13:16" x14ac:dyDescent="0.3">
      <c r="M2508">
        <v>2506</v>
      </c>
      <c r="N2508">
        <v>180209</v>
      </c>
      <c r="P2508">
        <v>-501826</v>
      </c>
    </row>
    <row r="2509" spans="13:16" x14ac:dyDescent="0.3">
      <c r="M2509">
        <v>2507</v>
      </c>
      <c r="N2509">
        <v>202471</v>
      </c>
      <c r="P2509">
        <v>-501015</v>
      </c>
    </row>
    <row r="2510" spans="13:16" x14ac:dyDescent="0.3">
      <c r="M2510">
        <v>2508</v>
      </c>
      <c r="N2510">
        <v>-276424</v>
      </c>
      <c r="P2510">
        <v>-295415</v>
      </c>
    </row>
    <row r="2511" spans="13:16" x14ac:dyDescent="0.3">
      <c r="M2511">
        <v>2509</v>
      </c>
      <c r="N2511">
        <v>823511</v>
      </c>
      <c r="P2511">
        <v>-26086</v>
      </c>
    </row>
    <row r="2512" spans="13:16" x14ac:dyDescent="0.3">
      <c r="M2512">
        <v>2510</v>
      </c>
      <c r="N2512">
        <v>-78031</v>
      </c>
      <c r="P2512">
        <v>-417538</v>
      </c>
    </row>
    <row r="2513" spans="13:16" x14ac:dyDescent="0.3">
      <c r="M2513">
        <v>2511</v>
      </c>
      <c r="N2513">
        <v>524002</v>
      </c>
      <c r="P2513">
        <v>-564919</v>
      </c>
    </row>
    <row r="2514" spans="13:16" x14ac:dyDescent="0.3">
      <c r="M2514">
        <v>2512</v>
      </c>
      <c r="N2514">
        <v>-81536</v>
      </c>
      <c r="P2514">
        <v>-148419</v>
      </c>
    </row>
    <row r="2515" spans="13:16" x14ac:dyDescent="0.3">
      <c r="M2515">
        <v>2513</v>
      </c>
      <c r="N2515">
        <v>518951</v>
      </c>
      <c r="P2515">
        <v>-217989</v>
      </c>
    </row>
    <row r="2516" spans="13:16" x14ac:dyDescent="0.3">
      <c r="M2516">
        <v>2514</v>
      </c>
      <c r="N2516">
        <v>-832331</v>
      </c>
      <c r="P2516">
        <v>-310040</v>
      </c>
    </row>
    <row r="2517" spans="13:16" x14ac:dyDescent="0.3">
      <c r="M2517">
        <v>2515</v>
      </c>
      <c r="N2517">
        <v>275552</v>
      </c>
      <c r="P2517">
        <v>830210</v>
      </c>
    </row>
    <row r="2518" spans="13:16" x14ac:dyDescent="0.3">
      <c r="M2518">
        <v>2516</v>
      </c>
      <c r="N2518">
        <v>-273664</v>
      </c>
      <c r="P2518">
        <v>-389625</v>
      </c>
    </row>
    <row r="2519" spans="13:16" x14ac:dyDescent="0.3">
      <c r="M2519">
        <v>2517</v>
      </c>
      <c r="N2519">
        <v>523791</v>
      </c>
      <c r="P2519">
        <v>200162</v>
      </c>
    </row>
    <row r="2520" spans="13:16" x14ac:dyDescent="0.3">
      <c r="M2520">
        <v>2518</v>
      </c>
      <c r="N2520">
        <v>864246</v>
      </c>
      <c r="P2520">
        <v>-251936</v>
      </c>
    </row>
    <row r="2521" spans="13:16" x14ac:dyDescent="0.3">
      <c r="M2521">
        <v>2519</v>
      </c>
      <c r="N2521">
        <v>170154</v>
      </c>
      <c r="P2521">
        <v>543825</v>
      </c>
    </row>
    <row r="2522" spans="13:16" x14ac:dyDescent="0.3">
      <c r="M2522">
        <v>2520</v>
      </c>
      <c r="N2522">
        <v>-528566</v>
      </c>
      <c r="P2522">
        <v>-474647</v>
      </c>
    </row>
    <row r="2523" spans="13:16" x14ac:dyDescent="0.3">
      <c r="M2523">
        <v>2521</v>
      </c>
      <c r="N2523">
        <v>96106</v>
      </c>
      <c r="P2523">
        <v>-693573</v>
      </c>
    </row>
    <row r="2524" spans="13:16" x14ac:dyDescent="0.3">
      <c r="M2524">
        <v>2522</v>
      </c>
      <c r="N2524">
        <v>609874</v>
      </c>
      <c r="P2524">
        <v>-378877</v>
      </c>
    </row>
    <row r="2525" spans="13:16" x14ac:dyDescent="0.3">
      <c r="M2525">
        <v>2523</v>
      </c>
      <c r="N2525">
        <v>625811</v>
      </c>
      <c r="P2525">
        <v>-143538</v>
      </c>
    </row>
    <row r="2526" spans="13:16" x14ac:dyDescent="0.3">
      <c r="M2526">
        <v>2524</v>
      </c>
      <c r="N2526">
        <v>403794</v>
      </c>
      <c r="P2526">
        <v>-124980</v>
      </c>
    </row>
    <row r="2527" spans="13:16" x14ac:dyDescent="0.3">
      <c r="M2527">
        <v>2525</v>
      </c>
      <c r="N2527">
        <v>-397544</v>
      </c>
      <c r="P2527">
        <v>-112485</v>
      </c>
    </row>
    <row r="2528" spans="13:16" x14ac:dyDescent="0.3">
      <c r="M2528">
        <v>2526</v>
      </c>
      <c r="N2528">
        <v>115308</v>
      </c>
      <c r="P2528">
        <v>-343715</v>
      </c>
    </row>
    <row r="2529" spans="13:16" x14ac:dyDescent="0.3">
      <c r="M2529">
        <v>2527</v>
      </c>
      <c r="N2529">
        <v>399772</v>
      </c>
      <c r="P2529">
        <v>119977</v>
      </c>
    </row>
    <row r="2530" spans="13:16" x14ac:dyDescent="0.3">
      <c r="M2530">
        <v>2528</v>
      </c>
      <c r="N2530">
        <v>-99854</v>
      </c>
      <c r="P2530">
        <v>-3128</v>
      </c>
    </row>
    <row r="2531" spans="13:16" x14ac:dyDescent="0.3">
      <c r="M2531">
        <v>2529</v>
      </c>
      <c r="N2531">
        <v>607362</v>
      </c>
      <c r="P2531">
        <v>447900</v>
      </c>
    </row>
    <row r="2532" spans="13:16" x14ac:dyDescent="0.3">
      <c r="M2532">
        <v>2530</v>
      </c>
      <c r="N2532">
        <v>-478132</v>
      </c>
      <c r="P2532">
        <v>847782</v>
      </c>
    </row>
    <row r="2533" spans="13:16" x14ac:dyDescent="0.3">
      <c r="M2533">
        <v>2531</v>
      </c>
      <c r="N2533">
        <v>-336358</v>
      </c>
      <c r="P2533">
        <v>625200</v>
      </c>
    </row>
    <row r="2534" spans="13:16" x14ac:dyDescent="0.3">
      <c r="M2534">
        <v>2532</v>
      </c>
      <c r="N2534">
        <v>-313510</v>
      </c>
      <c r="P2534">
        <v>-348099</v>
      </c>
    </row>
    <row r="2535" spans="13:16" x14ac:dyDescent="0.3">
      <c r="M2535">
        <v>2533</v>
      </c>
      <c r="N2535">
        <v>-103654</v>
      </c>
      <c r="P2535">
        <v>-494549</v>
      </c>
    </row>
    <row r="2536" spans="13:16" x14ac:dyDescent="0.3">
      <c r="M2536">
        <v>2534</v>
      </c>
      <c r="N2536">
        <v>467535</v>
      </c>
      <c r="P2536">
        <v>16923</v>
      </c>
    </row>
    <row r="2537" spans="13:16" x14ac:dyDescent="0.3">
      <c r="M2537">
        <v>2535</v>
      </c>
      <c r="N2537">
        <v>445890</v>
      </c>
      <c r="P2537">
        <v>247995</v>
      </c>
    </row>
    <row r="2538" spans="13:16" x14ac:dyDescent="0.3">
      <c r="M2538">
        <v>2536</v>
      </c>
      <c r="N2538">
        <v>-202208</v>
      </c>
      <c r="P2538">
        <v>65277</v>
      </c>
    </row>
    <row r="2539" spans="13:16" x14ac:dyDescent="0.3">
      <c r="M2539">
        <v>2537</v>
      </c>
      <c r="N2539">
        <v>-415103</v>
      </c>
      <c r="P2539">
        <v>-344538</v>
      </c>
    </row>
    <row r="2540" spans="13:16" x14ac:dyDescent="0.3">
      <c r="M2540">
        <v>2538</v>
      </c>
      <c r="N2540">
        <v>647276</v>
      </c>
      <c r="P2540">
        <v>-269506</v>
      </c>
    </row>
    <row r="2541" spans="13:16" x14ac:dyDescent="0.3">
      <c r="M2541">
        <v>2539</v>
      </c>
      <c r="N2541">
        <v>-30683</v>
      </c>
      <c r="P2541">
        <v>-206266</v>
      </c>
    </row>
    <row r="2542" spans="13:16" x14ac:dyDescent="0.3">
      <c r="M2542">
        <v>2540</v>
      </c>
      <c r="N2542">
        <v>-317983</v>
      </c>
      <c r="P2542">
        <v>-326391</v>
      </c>
    </row>
    <row r="2543" spans="13:16" x14ac:dyDescent="0.3">
      <c r="M2543">
        <v>2541</v>
      </c>
      <c r="N2543">
        <v>-283684</v>
      </c>
      <c r="P2543">
        <v>-118112</v>
      </c>
    </row>
    <row r="2544" spans="13:16" x14ac:dyDescent="0.3">
      <c r="M2544">
        <v>2542</v>
      </c>
      <c r="N2544">
        <v>200980</v>
      </c>
      <c r="P2544">
        <v>-518239</v>
      </c>
    </row>
    <row r="2545" spans="13:16" x14ac:dyDescent="0.3">
      <c r="M2545">
        <v>2543</v>
      </c>
      <c r="N2545">
        <v>318753</v>
      </c>
      <c r="P2545">
        <v>717270</v>
      </c>
    </row>
    <row r="2546" spans="13:16" x14ac:dyDescent="0.3">
      <c r="M2546">
        <v>2544</v>
      </c>
      <c r="N2546">
        <v>-2831</v>
      </c>
      <c r="P2546">
        <v>-231913</v>
      </c>
    </row>
    <row r="2547" spans="13:16" x14ac:dyDescent="0.3">
      <c r="M2547">
        <v>2545</v>
      </c>
      <c r="N2547">
        <v>592633</v>
      </c>
      <c r="P2547">
        <v>200160</v>
      </c>
    </row>
    <row r="2548" spans="13:16" x14ac:dyDescent="0.3">
      <c r="M2548">
        <v>2546</v>
      </c>
      <c r="N2548">
        <v>773431</v>
      </c>
      <c r="P2548">
        <v>218265</v>
      </c>
    </row>
    <row r="2549" spans="13:16" x14ac:dyDescent="0.3">
      <c r="M2549">
        <v>2547</v>
      </c>
      <c r="N2549">
        <v>643013</v>
      </c>
      <c r="P2549">
        <v>-119151</v>
      </c>
    </row>
    <row r="2550" spans="13:16" x14ac:dyDescent="0.3">
      <c r="M2550">
        <v>2548</v>
      </c>
      <c r="N2550">
        <v>-494705</v>
      </c>
      <c r="P2550">
        <v>-67101</v>
      </c>
    </row>
    <row r="2551" spans="13:16" x14ac:dyDescent="0.3">
      <c r="M2551">
        <v>2549</v>
      </c>
      <c r="N2551">
        <v>-822375</v>
      </c>
      <c r="P2551">
        <v>-657680</v>
      </c>
    </row>
    <row r="2552" spans="13:16" x14ac:dyDescent="0.3">
      <c r="M2552">
        <v>2550</v>
      </c>
      <c r="N2552">
        <v>96465</v>
      </c>
      <c r="P2552">
        <v>233921</v>
      </c>
    </row>
    <row r="2553" spans="13:16" x14ac:dyDescent="0.3">
      <c r="M2553">
        <v>2551</v>
      </c>
      <c r="N2553">
        <v>20701</v>
      </c>
      <c r="P2553">
        <v>-335923</v>
      </c>
    </row>
    <row r="2554" spans="13:16" x14ac:dyDescent="0.3">
      <c r="M2554">
        <v>2552</v>
      </c>
      <c r="N2554">
        <v>-62020</v>
      </c>
      <c r="P2554">
        <v>-26982</v>
      </c>
    </row>
    <row r="2555" spans="13:16" x14ac:dyDescent="0.3">
      <c r="M2555">
        <v>2553</v>
      </c>
      <c r="N2555">
        <v>-572477</v>
      </c>
      <c r="P2555">
        <v>-602917</v>
      </c>
    </row>
    <row r="2556" spans="13:16" x14ac:dyDescent="0.3">
      <c r="M2556">
        <v>2554</v>
      </c>
      <c r="N2556">
        <v>-59785</v>
      </c>
      <c r="P2556">
        <v>-402030</v>
      </c>
    </row>
    <row r="2557" spans="13:16" x14ac:dyDescent="0.3">
      <c r="M2557">
        <v>2555</v>
      </c>
      <c r="N2557">
        <v>-613538</v>
      </c>
      <c r="P2557">
        <v>-495057</v>
      </c>
    </row>
    <row r="2558" spans="13:16" x14ac:dyDescent="0.3">
      <c r="M2558">
        <v>2556</v>
      </c>
      <c r="N2558">
        <v>663907</v>
      </c>
      <c r="P2558">
        <v>854585</v>
      </c>
    </row>
    <row r="2559" spans="13:16" x14ac:dyDescent="0.3">
      <c r="M2559">
        <v>2557</v>
      </c>
      <c r="N2559">
        <v>-173096</v>
      </c>
      <c r="P2559">
        <v>284069</v>
      </c>
    </row>
    <row r="2560" spans="13:16" x14ac:dyDescent="0.3">
      <c r="M2560">
        <v>2558</v>
      </c>
      <c r="N2560">
        <v>-267228</v>
      </c>
      <c r="P2560">
        <v>645047</v>
      </c>
    </row>
    <row r="2561" spans="13:16" x14ac:dyDescent="0.3">
      <c r="M2561">
        <v>2559</v>
      </c>
      <c r="N2561">
        <v>171837</v>
      </c>
      <c r="P2561">
        <v>-224987</v>
      </c>
    </row>
    <row r="2562" spans="13:16" x14ac:dyDescent="0.3">
      <c r="M2562">
        <v>2560</v>
      </c>
      <c r="N2562">
        <v>-503593</v>
      </c>
      <c r="P2562">
        <v>786447</v>
      </c>
    </row>
    <row r="2563" spans="13:16" x14ac:dyDescent="0.3">
      <c r="M2563">
        <v>2561</v>
      </c>
      <c r="N2563">
        <v>559682</v>
      </c>
      <c r="P2563">
        <v>-526034</v>
      </c>
    </row>
    <row r="2564" spans="13:16" x14ac:dyDescent="0.3">
      <c r="M2564">
        <v>2562</v>
      </c>
      <c r="N2564">
        <v>-271693</v>
      </c>
      <c r="P2564">
        <v>12654</v>
      </c>
    </row>
    <row r="2565" spans="13:16" x14ac:dyDescent="0.3">
      <c r="M2565">
        <v>2563</v>
      </c>
      <c r="N2565">
        <v>-483763</v>
      </c>
      <c r="P2565">
        <v>172344</v>
      </c>
    </row>
    <row r="2566" spans="13:16" x14ac:dyDescent="0.3">
      <c r="M2566">
        <v>2564</v>
      </c>
      <c r="N2566">
        <v>772356</v>
      </c>
      <c r="P2566">
        <v>-646889</v>
      </c>
    </row>
    <row r="2567" spans="13:16" x14ac:dyDescent="0.3">
      <c r="M2567">
        <v>2565</v>
      </c>
      <c r="N2567">
        <v>25812</v>
      </c>
      <c r="P2567">
        <v>208562</v>
      </c>
    </row>
    <row r="2568" spans="13:16" x14ac:dyDescent="0.3">
      <c r="M2568">
        <v>2566</v>
      </c>
      <c r="N2568">
        <v>243034</v>
      </c>
      <c r="P2568">
        <v>544795</v>
      </c>
    </row>
    <row r="2569" spans="13:16" x14ac:dyDescent="0.3">
      <c r="M2569">
        <v>2567</v>
      </c>
      <c r="N2569">
        <v>-177686</v>
      </c>
      <c r="P2569">
        <v>85882</v>
      </c>
    </row>
    <row r="2570" spans="13:16" x14ac:dyDescent="0.3">
      <c r="M2570">
        <v>2568</v>
      </c>
      <c r="N2570">
        <v>-369259</v>
      </c>
      <c r="P2570">
        <v>286774</v>
      </c>
    </row>
    <row r="2571" spans="13:16" x14ac:dyDescent="0.3">
      <c r="M2571">
        <v>2569</v>
      </c>
      <c r="N2571">
        <v>6665</v>
      </c>
      <c r="P2571">
        <v>-709933</v>
      </c>
    </row>
    <row r="2572" spans="13:16" x14ac:dyDescent="0.3">
      <c r="M2572">
        <v>2570</v>
      </c>
      <c r="N2572">
        <v>238241</v>
      </c>
      <c r="P2572">
        <v>85081</v>
      </c>
    </row>
    <row r="2573" spans="13:16" x14ac:dyDescent="0.3">
      <c r="M2573">
        <v>2571</v>
      </c>
      <c r="N2573">
        <v>77181</v>
      </c>
      <c r="P2573">
        <v>344218</v>
      </c>
    </row>
    <row r="2574" spans="13:16" x14ac:dyDescent="0.3">
      <c r="M2574">
        <v>2572</v>
      </c>
      <c r="N2574">
        <v>322568</v>
      </c>
      <c r="P2574">
        <v>542426</v>
      </c>
    </row>
    <row r="2575" spans="13:16" x14ac:dyDescent="0.3">
      <c r="M2575">
        <v>2573</v>
      </c>
      <c r="N2575">
        <v>267257</v>
      </c>
      <c r="P2575">
        <v>-512958</v>
      </c>
    </row>
    <row r="2576" spans="13:16" x14ac:dyDescent="0.3">
      <c r="M2576">
        <v>2574</v>
      </c>
      <c r="N2576">
        <v>-163592</v>
      </c>
      <c r="P2576">
        <v>485881</v>
      </c>
    </row>
    <row r="2577" spans="13:16" x14ac:dyDescent="0.3">
      <c r="M2577">
        <v>2575</v>
      </c>
      <c r="N2577">
        <v>248922</v>
      </c>
      <c r="P2577">
        <v>333615</v>
      </c>
    </row>
    <row r="2578" spans="13:16" x14ac:dyDescent="0.3">
      <c r="M2578">
        <v>2576</v>
      </c>
      <c r="N2578">
        <v>-62007</v>
      </c>
      <c r="P2578">
        <v>-575743</v>
      </c>
    </row>
    <row r="2579" spans="13:16" x14ac:dyDescent="0.3">
      <c r="M2579">
        <v>2577</v>
      </c>
      <c r="N2579">
        <v>-10791</v>
      </c>
      <c r="P2579">
        <v>-559407</v>
      </c>
    </row>
    <row r="2580" spans="13:16" x14ac:dyDescent="0.3">
      <c r="M2580">
        <v>2578</v>
      </c>
      <c r="N2580">
        <v>642094</v>
      </c>
      <c r="P2580">
        <v>128849</v>
      </c>
    </row>
    <row r="2581" spans="13:16" x14ac:dyDescent="0.3">
      <c r="M2581">
        <v>2579</v>
      </c>
      <c r="N2581">
        <v>-575871</v>
      </c>
      <c r="P2581">
        <v>-730624</v>
      </c>
    </row>
    <row r="2582" spans="13:16" x14ac:dyDescent="0.3">
      <c r="M2582">
        <v>2580</v>
      </c>
      <c r="N2582">
        <v>-112728</v>
      </c>
      <c r="P2582">
        <v>-481454</v>
      </c>
    </row>
    <row r="2583" spans="13:16" x14ac:dyDescent="0.3">
      <c r="M2583">
        <v>2581</v>
      </c>
      <c r="N2583">
        <v>578795</v>
      </c>
      <c r="P2583">
        <v>216325</v>
      </c>
    </row>
    <row r="2584" spans="13:16" x14ac:dyDescent="0.3">
      <c r="M2584">
        <v>2582</v>
      </c>
      <c r="N2584">
        <v>-475203</v>
      </c>
      <c r="P2584">
        <v>364579</v>
      </c>
    </row>
    <row r="2585" spans="13:16" x14ac:dyDescent="0.3">
      <c r="M2585">
        <v>2583</v>
      </c>
      <c r="N2585">
        <v>-327975</v>
      </c>
      <c r="P2585">
        <v>542744</v>
      </c>
    </row>
    <row r="2586" spans="13:16" x14ac:dyDescent="0.3">
      <c r="M2586">
        <v>2584</v>
      </c>
      <c r="N2586">
        <v>285170</v>
      </c>
      <c r="P2586">
        <v>535677</v>
      </c>
    </row>
    <row r="2587" spans="13:16" x14ac:dyDescent="0.3">
      <c r="M2587">
        <v>2585</v>
      </c>
      <c r="N2587">
        <v>755501</v>
      </c>
      <c r="P2587">
        <v>-385678</v>
      </c>
    </row>
    <row r="2588" spans="13:16" x14ac:dyDescent="0.3">
      <c r="M2588">
        <v>2586</v>
      </c>
      <c r="N2588">
        <v>547432</v>
      </c>
      <c r="P2588">
        <v>344900</v>
      </c>
    </row>
    <row r="2589" spans="13:16" x14ac:dyDescent="0.3">
      <c r="M2589">
        <v>2587</v>
      </c>
      <c r="N2589">
        <v>692894</v>
      </c>
      <c r="P2589">
        <v>131027</v>
      </c>
    </row>
    <row r="2590" spans="13:16" x14ac:dyDescent="0.3">
      <c r="M2590">
        <v>2588</v>
      </c>
      <c r="N2590">
        <v>21477</v>
      </c>
      <c r="P2590">
        <v>126322</v>
      </c>
    </row>
    <row r="2591" spans="13:16" x14ac:dyDescent="0.3">
      <c r="M2591">
        <v>2589</v>
      </c>
      <c r="N2591">
        <v>205762</v>
      </c>
      <c r="P2591">
        <v>-623337</v>
      </c>
    </row>
    <row r="2592" spans="13:16" x14ac:dyDescent="0.3">
      <c r="M2592">
        <v>2590</v>
      </c>
      <c r="N2592">
        <v>172883</v>
      </c>
      <c r="P2592">
        <v>934323</v>
      </c>
    </row>
    <row r="2593" spans="13:16" x14ac:dyDescent="0.3">
      <c r="M2593">
        <v>2591</v>
      </c>
      <c r="N2593">
        <v>700097</v>
      </c>
      <c r="P2593">
        <v>362855</v>
      </c>
    </row>
    <row r="2594" spans="13:16" x14ac:dyDescent="0.3">
      <c r="M2594">
        <v>2592</v>
      </c>
      <c r="N2594">
        <v>697556</v>
      </c>
      <c r="P2594">
        <v>780460</v>
      </c>
    </row>
    <row r="2595" spans="13:16" x14ac:dyDescent="0.3">
      <c r="M2595">
        <v>2593</v>
      </c>
      <c r="N2595">
        <v>-460242</v>
      </c>
      <c r="P2595">
        <v>193940</v>
      </c>
    </row>
    <row r="2596" spans="13:16" x14ac:dyDescent="0.3">
      <c r="M2596">
        <v>2594</v>
      </c>
      <c r="N2596">
        <v>-441860</v>
      </c>
      <c r="P2596">
        <v>-517579</v>
      </c>
    </row>
    <row r="2597" spans="13:16" x14ac:dyDescent="0.3">
      <c r="M2597">
        <v>2595</v>
      </c>
      <c r="N2597">
        <v>-52782</v>
      </c>
      <c r="P2597">
        <v>-249691</v>
      </c>
    </row>
    <row r="2598" spans="13:16" x14ac:dyDescent="0.3">
      <c r="M2598">
        <v>2596</v>
      </c>
      <c r="N2598">
        <v>416928</v>
      </c>
      <c r="P2598">
        <v>-173125</v>
      </c>
    </row>
    <row r="2599" spans="13:16" x14ac:dyDescent="0.3">
      <c r="M2599">
        <v>2597</v>
      </c>
      <c r="N2599">
        <v>-242685</v>
      </c>
      <c r="P2599">
        <v>469224</v>
      </c>
    </row>
    <row r="2600" spans="13:16" x14ac:dyDescent="0.3">
      <c r="M2600">
        <v>2598</v>
      </c>
      <c r="N2600">
        <v>-601393</v>
      </c>
      <c r="P2600">
        <v>-559380</v>
      </c>
    </row>
    <row r="2601" spans="13:16" x14ac:dyDescent="0.3">
      <c r="M2601">
        <v>2599</v>
      </c>
      <c r="N2601">
        <v>177492</v>
      </c>
      <c r="P2601">
        <v>938325</v>
      </c>
    </row>
    <row r="2602" spans="13:16" x14ac:dyDescent="0.3">
      <c r="M2602">
        <v>2600</v>
      </c>
      <c r="N2602">
        <v>-98616</v>
      </c>
      <c r="P2602">
        <v>422312</v>
      </c>
    </row>
    <row r="2603" spans="13:16" x14ac:dyDescent="0.3">
      <c r="M2603">
        <v>2601</v>
      </c>
      <c r="N2603">
        <v>370581</v>
      </c>
      <c r="P2603">
        <v>-249760</v>
      </c>
    </row>
    <row r="2604" spans="13:16" x14ac:dyDescent="0.3">
      <c r="M2604">
        <v>2602</v>
      </c>
      <c r="N2604">
        <v>-21039</v>
      </c>
      <c r="P2604">
        <v>-67073</v>
      </c>
    </row>
    <row r="2605" spans="13:16" x14ac:dyDescent="0.3">
      <c r="M2605">
        <v>2603</v>
      </c>
      <c r="N2605">
        <v>-232352</v>
      </c>
      <c r="P2605">
        <v>377800</v>
      </c>
    </row>
    <row r="2606" spans="13:16" x14ac:dyDescent="0.3">
      <c r="M2606">
        <v>2604</v>
      </c>
      <c r="N2606">
        <v>-291940</v>
      </c>
      <c r="P2606">
        <v>421258</v>
      </c>
    </row>
    <row r="2607" spans="13:16" x14ac:dyDescent="0.3">
      <c r="M2607">
        <v>2605</v>
      </c>
      <c r="N2607">
        <v>-452981</v>
      </c>
      <c r="P2607">
        <v>819759</v>
      </c>
    </row>
    <row r="2608" spans="13:16" x14ac:dyDescent="0.3">
      <c r="M2608">
        <v>2606</v>
      </c>
      <c r="N2608">
        <v>755762</v>
      </c>
      <c r="P2608">
        <v>-5300</v>
      </c>
    </row>
    <row r="2609" spans="13:16" x14ac:dyDescent="0.3">
      <c r="M2609">
        <v>2607</v>
      </c>
      <c r="N2609">
        <v>-125318</v>
      </c>
      <c r="P2609">
        <v>407528</v>
      </c>
    </row>
    <row r="2610" spans="13:16" x14ac:dyDescent="0.3">
      <c r="M2610">
        <v>2608</v>
      </c>
      <c r="N2610">
        <v>-143990</v>
      </c>
      <c r="P2610">
        <v>711975</v>
      </c>
    </row>
    <row r="2611" spans="13:16" x14ac:dyDescent="0.3">
      <c r="M2611">
        <v>2609</v>
      </c>
      <c r="N2611">
        <v>220263</v>
      </c>
      <c r="P2611">
        <v>265663</v>
      </c>
    </row>
    <row r="2612" spans="13:16" x14ac:dyDescent="0.3">
      <c r="M2612">
        <v>2610</v>
      </c>
      <c r="N2612">
        <v>-289300</v>
      </c>
      <c r="P2612">
        <v>-648109</v>
      </c>
    </row>
    <row r="2613" spans="13:16" x14ac:dyDescent="0.3">
      <c r="M2613">
        <v>2611</v>
      </c>
      <c r="N2613">
        <v>100115</v>
      </c>
      <c r="P2613">
        <v>107902</v>
      </c>
    </row>
    <row r="2614" spans="13:16" x14ac:dyDescent="0.3">
      <c r="M2614">
        <v>2612</v>
      </c>
      <c r="N2614">
        <v>269467</v>
      </c>
      <c r="P2614">
        <v>-505297</v>
      </c>
    </row>
    <row r="2615" spans="13:16" x14ac:dyDescent="0.3">
      <c r="M2615">
        <v>2613</v>
      </c>
      <c r="N2615">
        <v>-77683</v>
      </c>
      <c r="P2615">
        <v>320578</v>
      </c>
    </row>
    <row r="2616" spans="13:16" x14ac:dyDescent="0.3">
      <c r="M2616">
        <v>2614</v>
      </c>
      <c r="N2616">
        <v>952629</v>
      </c>
      <c r="P2616">
        <v>-76859</v>
      </c>
    </row>
    <row r="2617" spans="13:16" x14ac:dyDescent="0.3">
      <c r="M2617">
        <v>2615</v>
      </c>
      <c r="N2617">
        <v>-690358</v>
      </c>
      <c r="P2617">
        <v>132886</v>
      </c>
    </row>
    <row r="2618" spans="13:16" x14ac:dyDescent="0.3">
      <c r="M2618">
        <v>2616</v>
      </c>
      <c r="N2618">
        <v>-78196</v>
      </c>
      <c r="P2618">
        <v>-322324</v>
      </c>
    </row>
    <row r="2619" spans="13:16" x14ac:dyDescent="0.3">
      <c r="M2619">
        <v>2617</v>
      </c>
      <c r="N2619">
        <v>-326871</v>
      </c>
      <c r="P2619">
        <v>-130051</v>
      </c>
    </row>
    <row r="2620" spans="13:16" x14ac:dyDescent="0.3">
      <c r="M2620">
        <v>2618</v>
      </c>
      <c r="N2620">
        <v>297831</v>
      </c>
      <c r="P2620">
        <v>-38277</v>
      </c>
    </row>
    <row r="2621" spans="13:16" x14ac:dyDescent="0.3">
      <c r="M2621">
        <v>2619</v>
      </c>
      <c r="N2621">
        <v>166759</v>
      </c>
      <c r="P2621">
        <v>-236812</v>
      </c>
    </row>
    <row r="2622" spans="13:16" x14ac:dyDescent="0.3">
      <c r="M2622">
        <v>2620</v>
      </c>
      <c r="N2622">
        <v>423441</v>
      </c>
      <c r="P2622">
        <v>-590534</v>
      </c>
    </row>
    <row r="2623" spans="13:16" x14ac:dyDescent="0.3">
      <c r="M2623">
        <v>2621</v>
      </c>
      <c r="N2623">
        <v>-341326</v>
      </c>
      <c r="P2623">
        <v>306734</v>
      </c>
    </row>
    <row r="2624" spans="13:16" x14ac:dyDescent="0.3">
      <c r="M2624">
        <v>2622</v>
      </c>
      <c r="N2624">
        <v>432833</v>
      </c>
      <c r="P2624">
        <v>411940</v>
      </c>
    </row>
    <row r="2625" spans="13:16" x14ac:dyDescent="0.3">
      <c r="M2625">
        <v>2623</v>
      </c>
      <c r="N2625">
        <v>504595</v>
      </c>
      <c r="P2625">
        <v>-408648</v>
      </c>
    </row>
    <row r="2626" spans="13:16" x14ac:dyDescent="0.3">
      <c r="M2626">
        <v>2624</v>
      </c>
      <c r="N2626">
        <v>-393198</v>
      </c>
      <c r="P2626">
        <v>227285</v>
      </c>
    </row>
    <row r="2627" spans="13:16" x14ac:dyDescent="0.3">
      <c r="M2627">
        <v>2625</v>
      </c>
      <c r="N2627">
        <v>-682771</v>
      </c>
      <c r="P2627">
        <v>155960</v>
      </c>
    </row>
    <row r="2628" spans="13:16" x14ac:dyDescent="0.3">
      <c r="M2628">
        <v>2626</v>
      </c>
      <c r="N2628">
        <v>508488</v>
      </c>
      <c r="P2628">
        <v>-452067</v>
      </c>
    </row>
    <row r="2629" spans="13:16" x14ac:dyDescent="0.3">
      <c r="M2629">
        <v>2627</v>
      </c>
      <c r="N2629">
        <v>437333</v>
      </c>
      <c r="P2629">
        <v>-198765</v>
      </c>
    </row>
    <row r="2630" spans="13:16" x14ac:dyDescent="0.3">
      <c r="M2630">
        <v>2628</v>
      </c>
      <c r="N2630">
        <v>559947</v>
      </c>
      <c r="P2630">
        <v>1005621</v>
      </c>
    </row>
    <row r="2631" spans="13:16" x14ac:dyDescent="0.3">
      <c r="M2631">
        <v>2629</v>
      </c>
      <c r="N2631">
        <v>29519</v>
      </c>
      <c r="P2631">
        <v>-51256</v>
      </c>
    </row>
    <row r="2632" spans="13:16" x14ac:dyDescent="0.3">
      <c r="M2632">
        <v>2630</v>
      </c>
      <c r="N2632">
        <v>425052</v>
      </c>
      <c r="P2632">
        <v>-128722</v>
      </c>
    </row>
    <row r="2633" spans="13:16" x14ac:dyDescent="0.3">
      <c r="M2633">
        <v>2631</v>
      </c>
      <c r="N2633">
        <v>-387451</v>
      </c>
      <c r="P2633">
        <v>5350</v>
      </c>
    </row>
    <row r="2634" spans="13:16" x14ac:dyDescent="0.3">
      <c r="M2634">
        <v>2632</v>
      </c>
      <c r="N2634">
        <v>719430</v>
      </c>
      <c r="P2634">
        <v>-585554</v>
      </c>
    </row>
    <row r="2635" spans="13:16" x14ac:dyDescent="0.3">
      <c r="M2635">
        <v>2633</v>
      </c>
      <c r="N2635">
        <v>461338</v>
      </c>
      <c r="P2635">
        <v>-566178</v>
      </c>
    </row>
    <row r="2636" spans="13:16" x14ac:dyDescent="0.3">
      <c r="M2636">
        <v>2634</v>
      </c>
      <c r="N2636">
        <v>118553</v>
      </c>
      <c r="P2636">
        <v>112499</v>
      </c>
    </row>
    <row r="2637" spans="13:16" x14ac:dyDescent="0.3">
      <c r="M2637">
        <v>2635</v>
      </c>
      <c r="N2637">
        <v>590728</v>
      </c>
      <c r="P2637">
        <v>799290</v>
      </c>
    </row>
    <row r="2638" spans="13:16" x14ac:dyDescent="0.3">
      <c r="M2638">
        <v>2636</v>
      </c>
      <c r="N2638">
        <v>-231480</v>
      </c>
      <c r="P2638">
        <v>-313006</v>
      </c>
    </row>
    <row r="2639" spans="13:16" x14ac:dyDescent="0.3">
      <c r="M2639">
        <v>2637</v>
      </c>
      <c r="N2639">
        <v>251592</v>
      </c>
      <c r="P2639">
        <v>-2935</v>
      </c>
    </row>
    <row r="2640" spans="13:16" x14ac:dyDescent="0.3">
      <c r="M2640">
        <v>2638</v>
      </c>
      <c r="N2640">
        <v>-589666</v>
      </c>
      <c r="P2640">
        <v>255476</v>
      </c>
    </row>
    <row r="2641" spans="13:16" x14ac:dyDescent="0.3">
      <c r="M2641">
        <v>2639</v>
      </c>
      <c r="N2641">
        <v>109429</v>
      </c>
      <c r="P2641">
        <v>-718990</v>
      </c>
    </row>
    <row r="2642" spans="13:16" x14ac:dyDescent="0.3">
      <c r="M2642">
        <v>2640</v>
      </c>
      <c r="N2642">
        <v>-551765</v>
      </c>
      <c r="P2642">
        <v>-826571</v>
      </c>
    </row>
    <row r="2643" spans="13:16" x14ac:dyDescent="0.3">
      <c r="M2643">
        <v>2641</v>
      </c>
      <c r="N2643">
        <v>140956</v>
      </c>
      <c r="P2643">
        <v>-4628</v>
      </c>
    </row>
    <row r="2644" spans="13:16" x14ac:dyDescent="0.3">
      <c r="M2644">
        <v>2642</v>
      </c>
      <c r="N2644">
        <v>41752</v>
      </c>
      <c r="P2644">
        <v>202480</v>
      </c>
    </row>
    <row r="2645" spans="13:16" x14ac:dyDescent="0.3">
      <c r="M2645">
        <v>2643</v>
      </c>
      <c r="N2645">
        <v>-293308</v>
      </c>
      <c r="P2645">
        <v>422710</v>
      </c>
    </row>
    <row r="2646" spans="13:16" x14ac:dyDescent="0.3">
      <c r="M2646">
        <v>2644</v>
      </c>
      <c r="N2646">
        <v>819256</v>
      </c>
      <c r="P2646">
        <v>9318</v>
      </c>
    </row>
    <row r="2647" spans="13:16" x14ac:dyDescent="0.3">
      <c r="M2647">
        <v>2645</v>
      </c>
      <c r="N2647">
        <v>-398348</v>
      </c>
      <c r="P2647">
        <v>477821</v>
      </c>
    </row>
    <row r="2648" spans="13:16" x14ac:dyDescent="0.3">
      <c r="M2648">
        <v>2646</v>
      </c>
      <c r="N2648">
        <v>793437</v>
      </c>
      <c r="P2648">
        <v>770413</v>
      </c>
    </row>
    <row r="2649" spans="13:16" x14ac:dyDescent="0.3">
      <c r="M2649">
        <v>2647</v>
      </c>
      <c r="N2649">
        <v>-94962</v>
      </c>
      <c r="P2649">
        <v>-358646</v>
      </c>
    </row>
    <row r="2650" spans="13:16" x14ac:dyDescent="0.3">
      <c r="M2650">
        <v>2648</v>
      </c>
      <c r="N2650">
        <v>-613160</v>
      </c>
      <c r="P2650">
        <v>-367877</v>
      </c>
    </row>
    <row r="2651" spans="13:16" x14ac:dyDescent="0.3">
      <c r="M2651">
        <v>2649</v>
      </c>
      <c r="N2651">
        <v>183185</v>
      </c>
      <c r="P2651">
        <v>-216881</v>
      </c>
    </row>
    <row r="2652" spans="13:16" x14ac:dyDescent="0.3">
      <c r="M2652">
        <v>2650</v>
      </c>
      <c r="N2652">
        <v>-244320</v>
      </c>
      <c r="P2652">
        <v>653469</v>
      </c>
    </row>
    <row r="2653" spans="13:16" x14ac:dyDescent="0.3">
      <c r="M2653">
        <v>2651</v>
      </c>
      <c r="N2653">
        <v>-188704</v>
      </c>
      <c r="P2653">
        <v>-240871</v>
      </c>
    </row>
    <row r="2654" spans="13:16" x14ac:dyDescent="0.3">
      <c r="M2654">
        <v>2652</v>
      </c>
      <c r="N2654">
        <v>409635</v>
      </c>
      <c r="P2654">
        <v>-206033</v>
      </c>
    </row>
    <row r="2655" spans="13:16" x14ac:dyDescent="0.3">
      <c r="M2655">
        <v>2653</v>
      </c>
      <c r="N2655">
        <v>-389934</v>
      </c>
      <c r="P2655">
        <v>-686267</v>
      </c>
    </row>
    <row r="2656" spans="13:16" x14ac:dyDescent="0.3">
      <c r="M2656">
        <v>2654</v>
      </c>
      <c r="N2656">
        <v>79848</v>
      </c>
      <c r="P2656">
        <v>-546000</v>
      </c>
    </row>
    <row r="2657" spans="13:16" x14ac:dyDescent="0.3">
      <c r="M2657">
        <v>2655</v>
      </c>
      <c r="N2657">
        <v>-589248</v>
      </c>
      <c r="P2657">
        <v>-106796</v>
      </c>
    </row>
    <row r="2658" spans="13:16" x14ac:dyDescent="0.3">
      <c r="M2658">
        <v>2656</v>
      </c>
      <c r="N2658">
        <v>-415279</v>
      </c>
      <c r="P2658">
        <v>640006</v>
      </c>
    </row>
    <row r="2659" spans="13:16" x14ac:dyDescent="0.3">
      <c r="M2659">
        <v>2657</v>
      </c>
      <c r="N2659">
        <v>-17275</v>
      </c>
      <c r="P2659">
        <v>-470551</v>
      </c>
    </row>
    <row r="2660" spans="13:16" x14ac:dyDescent="0.3">
      <c r="M2660">
        <v>2658</v>
      </c>
      <c r="N2660">
        <v>311447</v>
      </c>
      <c r="P2660">
        <v>-169727</v>
      </c>
    </row>
    <row r="2661" spans="13:16" x14ac:dyDescent="0.3">
      <c r="M2661">
        <v>2659</v>
      </c>
      <c r="N2661">
        <v>-422241</v>
      </c>
      <c r="P2661">
        <v>436742</v>
      </c>
    </row>
    <row r="2662" spans="13:16" x14ac:dyDescent="0.3">
      <c r="M2662">
        <v>2660</v>
      </c>
      <c r="N2662">
        <v>-452826</v>
      </c>
      <c r="P2662">
        <v>-799107</v>
      </c>
    </row>
    <row r="2663" spans="13:16" x14ac:dyDescent="0.3">
      <c r="M2663">
        <v>2661</v>
      </c>
      <c r="N2663">
        <v>-167142</v>
      </c>
      <c r="P2663">
        <v>1068233</v>
      </c>
    </row>
    <row r="2664" spans="13:16" x14ac:dyDescent="0.3">
      <c r="M2664">
        <v>2662</v>
      </c>
      <c r="N2664">
        <v>-566388</v>
      </c>
      <c r="P2664">
        <v>-55902</v>
      </c>
    </row>
    <row r="2665" spans="13:16" x14ac:dyDescent="0.3">
      <c r="M2665">
        <v>2663</v>
      </c>
      <c r="N2665">
        <v>461360</v>
      </c>
      <c r="P2665">
        <v>-749228</v>
      </c>
    </row>
    <row r="2666" spans="13:16" x14ac:dyDescent="0.3">
      <c r="M2666">
        <v>2664</v>
      </c>
      <c r="N2666">
        <v>491964</v>
      </c>
      <c r="P2666">
        <v>-196135</v>
      </c>
    </row>
    <row r="2667" spans="13:16" x14ac:dyDescent="0.3">
      <c r="M2667">
        <v>2665</v>
      </c>
      <c r="N2667">
        <v>643128</v>
      </c>
      <c r="P2667">
        <v>488744</v>
      </c>
    </row>
    <row r="2668" spans="13:16" x14ac:dyDescent="0.3">
      <c r="M2668">
        <v>2666</v>
      </c>
      <c r="N2668">
        <v>-467152</v>
      </c>
      <c r="P2668">
        <v>-841390</v>
      </c>
    </row>
    <row r="2669" spans="13:16" x14ac:dyDescent="0.3">
      <c r="M2669">
        <v>2667</v>
      </c>
      <c r="N2669">
        <v>-528199</v>
      </c>
      <c r="P2669">
        <v>-438</v>
      </c>
    </row>
    <row r="2670" spans="13:16" x14ac:dyDescent="0.3">
      <c r="M2670">
        <v>2668</v>
      </c>
      <c r="N2670">
        <v>-474059</v>
      </c>
      <c r="P2670">
        <v>-248632</v>
      </c>
    </row>
    <row r="2671" spans="13:16" x14ac:dyDescent="0.3">
      <c r="M2671">
        <v>2669</v>
      </c>
      <c r="N2671">
        <v>16922</v>
      </c>
      <c r="P2671">
        <v>242712</v>
      </c>
    </row>
    <row r="2672" spans="13:16" x14ac:dyDescent="0.3">
      <c r="M2672">
        <v>2670</v>
      </c>
      <c r="N2672">
        <v>-482681</v>
      </c>
      <c r="P2672">
        <v>-440685</v>
      </c>
    </row>
    <row r="2673" spans="13:16" x14ac:dyDescent="0.3">
      <c r="M2673">
        <v>2671</v>
      </c>
      <c r="N2673">
        <v>-62481</v>
      </c>
      <c r="P2673">
        <v>311148</v>
      </c>
    </row>
    <row r="2674" spans="13:16" x14ac:dyDescent="0.3">
      <c r="M2674">
        <v>2672</v>
      </c>
      <c r="N2674">
        <v>217298</v>
      </c>
      <c r="P2674">
        <v>219498</v>
      </c>
    </row>
    <row r="2675" spans="13:16" x14ac:dyDescent="0.3">
      <c r="M2675">
        <v>2673</v>
      </c>
      <c r="N2675">
        <v>306726</v>
      </c>
      <c r="P2675">
        <v>-738595</v>
      </c>
    </row>
    <row r="2676" spans="13:16" x14ac:dyDescent="0.3">
      <c r="M2676">
        <v>2674</v>
      </c>
      <c r="N2676">
        <v>340716</v>
      </c>
      <c r="P2676">
        <v>-423255</v>
      </c>
    </row>
    <row r="2677" spans="13:16" x14ac:dyDescent="0.3">
      <c r="M2677">
        <v>2675</v>
      </c>
      <c r="N2677">
        <v>-497678</v>
      </c>
      <c r="P2677">
        <v>-248022</v>
      </c>
    </row>
    <row r="2678" spans="13:16" x14ac:dyDescent="0.3">
      <c r="M2678">
        <v>2676</v>
      </c>
      <c r="N2678">
        <v>312526</v>
      </c>
      <c r="P2678">
        <v>431764</v>
      </c>
    </row>
    <row r="2679" spans="13:16" x14ac:dyDescent="0.3">
      <c r="M2679">
        <v>2677</v>
      </c>
      <c r="N2679">
        <v>-245040</v>
      </c>
      <c r="P2679">
        <v>-753129</v>
      </c>
    </row>
    <row r="2680" spans="13:16" x14ac:dyDescent="0.3">
      <c r="M2680">
        <v>2678</v>
      </c>
      <c r="N2680">
        <v>673883</v>
      </c>
      <c r="P2680">
        <v>262855</v>
      </c>
    </row>
    <row r="2681" spans="13:16" x14ac:dyDescent="0.3">
      <c r="M2681">
        <v>2679</v>
      </c>
      <c r="N2681">
        <v>189549</v>
      </c>
      <c r="P2681">
        <v>8309</v>
      </c>
    </row>
    <row r="2682" spans="13:16" x14ac:dyDescent="0.3">
      <c r="M2682">
        <v>2680</v>
      </c>
      <c r="N2682">
        <v>50465</v>
      </c>
      <c r="P2682">
        <v>-603277</v>
      </c>
    </row>
    <row r="2683" spans="13:16" x14ac:dyDescent="0.3">
      <c r="M2683">
        <v>2681</v>
      </c>
      <c r="N2683">
        <v>-485917</v>
      </c>
      <c r="P2683">
        <v>557667</v>
      </c>
    </row>
    <row r="2684" spans="13:16" x14ac:dyDescent="0.3">
      <c r="M2684">
        <v>2682</v>
      </c>
      <c r="N2684">
        <v>-610980</v>
      </c>
      <c r="P2684">
        <v>-96687</v>
      </c>
    </row>
    <row r="2685" spans="13:16" x14ac:dyDescent="0.3">
      <c r="M2685">
        <v>2683</v>
      </c>
      <c r="N2685">
        <v>148506</v>
      </c>
      <c r="P2685">
        <v>-76732</v>
      </c>
    </row>
    <row r="2686" spans="13:16" x14ac:dyDescent="0.3">
      <c r="M2686">
        <v>2684</v>
      </c>
      <c r="N2686">
        <v>-382832</v>
      </c>
      <c r="P2686">
        <v>707058</v>
      </c>
    </row>
    <row r="2687" spans="13:16" x14ac:dyDescent="0.3">
      <c r="M2687">
        <v>2685</v>
      </c>
      <c r="N2687">
        <v>215090</v>
      </c>
      <c r="P2687">
        <v>714502</v>
      </c>
    </row>
    <row r="2688" spans="13:16" x14ac:dyDescent="0.3">
      <c r="M2688">
        <v>2686</v>
      </c>
      <c r="N2688">
        <v>-778802</v>
      </c>
      <c r="P2688">
        <v>-449344</v>
      </c>
    </row>
    <row r="2689" spans="13:16" x14ac:dyDescent="0.3">
      <c r="M2689">
        <v>2687</v>
      </c>
      <c r="N2689">
        <v>-194743</v>
      </c>
      <c r="P2689">
        <v>194430</v>
      </c>
    </row>
    <row r="2690" spans="13:16" x14ac:dyDescent="0.3">
      <c r="M2690">
        <v>2688</v>
      </c>
      <c r="N2690">
        <v>653338</v>
      </c>
      <c r="P2690">
        <v>264114</v>
      </c>
    </row>
    <row r="2691" spans="13:16" x14ac:dyDescent="0.3">
      <c r="M2691">
        <v>2689</v>
      </c>
      <c r="N2691">
        <v>-325971</v>
      </c>
      <c r="P2691">
        <v>-416496</v>
      </c>
    </row>
    <row r="2692" spans="13:16" x14ac:dyDescent="0.3">
      <c r="M2692">
        <v>2690</v>
      </c>
      <c r="N2692">
        <v>919535</v>
      </c>
      <c r="P2692">
        <v>-246132</v>
      </c>
    </row>
    <row r="2693" spans="13:16" x14ac:dyDescent="0.3">
      <c r="M2693">
        <v>2691</v>
      </c>
      <c r="N2693">
        <v>272291</v>
      </c>
      <c r="P2693">
        <v>580156</v>
      </c>
    </row>
    <row r="2694" spans="13:16" x14ac:dyDescent="0.3">
      <c r="M2694">
        <v>2692</v>
      </c>
      <c r="N2694">
        <v>-59559</v>
      </c>
      <c r="P2694">
        <v>-167462</v>
      </c>
    </row>
    <row r="2695" spans="13:16" x14ac:dyDescent="0.3">
      <c r="M2695">
        <v>2693</v>
      </c>
      <c r="N2695">
        <v>-741550</v>
      </c>
      <c r="P2695">
        <v>292692</v>
      </c>
    </row>
    <row r="2696" spans="13:16" x14ac:dyDescent="0.3">
      <c r="M2696">
        <v>2694</v>
      </c>
      <c r="N2696">
        <v>-649089</v>
      </c>
      <c r="P2696">
        <v>438841</v>
      </c>
    </row>
    <row r="2697" spans="13:16" x14ac:dyDescent="0.3">
      <c r="M2697">
        <v>2695</v>
      </c>
      <c r="N2697">
        <v>57448</v>
      </c>
      <c r="P2697">
        <v>-206445</v>
      </c>
    </row>
    <row r="2698" spans="13:16" x14ac:dyDescent="0.3">
      <c r="M2698">
        <v>2696</v>
      </c>
      <c r="N2698">
        <v>467023</v>
      </c>
      <c r="P2698">
        <v>623968</v>
      </c>
    </row>
    <row r="2699" spans="13:16" x14ac:dyDescent="0.3">
      <c r="M2699">
        <v>2697</v>
      </c>
      <c r="N2699">
        <v>62205</v>
      </c>
      <c r="P2699">
        <v>706600</v>
      </c>
    </row>
    <row r="2700" spans="13:16" x14ac:dyDescent="0.3">
      <c r="M2700">
        <v>2698</v>
      </c>
      <c r="N2700">
        <v>-553830</v>
      </c>
      <c r="P2700">
        <v>-271998</v>
      </c>
    </row>
    <row r="2701" spans="13:16" x14ac:dyDescent="0.3">
      <c r="M2701">
        <v>2699</v>
      </c>
      <c r="N2701">
        <v>319403</v>
      </c>
      <c r="P2701">
        <v>-307266</v>
      </c>
    </row>
    <row r="2702" spans="13:16" x14ac:dyDescent="0.3">
      <c r="M2702">
        <v>2700</v>
      </c>
      <c r="N2702">
        <v>-423505</v>
      </c>
      <c r="P2702">
        <v>-374979</v>
      </c>
    </row>
    <row r="2703" spans="13:16" x14ac:dyDescent="0.3">
      <c r="M2703">
        <v>2701</v>
      </c>
      <c r="N2703">
        <v>-465489</v>
      </c>
      <c r="P2703">
        <v>-71138</v>
      </c>
    </row>
    <row r="2704" spans="13:16" x14ac:dyDescent="0.3">
      <c r="M2704">
        <v>2702</v>
      </c>
      <c r="N2704">
        <v>-8804</v>
      </c>
      <c r="P2704">
        <v>-403913</v>
      </c>
    </row>
    <row r="2705" spans="13:16" x14ac:dyDescent="0.3">
      <c r="M2705">
        <v>2703</v>
      </c>
      <c r="N2705">
        <v>912257</v>
      </c>
      <c r="P2705">
        <v>476151</v>
      </c>
    </row>
    <row r="2706" spans="13:16" x14ac:dyDescent="0.3">
      <c r="M2706">
        <v>2704</v>
      </c>
      <c r="N2706">
        <v>52322</v>
      </c>
      <c r="P2706">
        <v>121091</v>
      </c>
    </row>
    <row r="2707" spans="13:16" x14ac:dyDescent="0.3">
      <c r="M2707">
        <v>2705</v>
      </c>
      <c r="N2707">
        <v>-490243</v>
      </c>
      <c r="P2707">
        <v>550341</v>
      </c>
    </row>
    <row r="2708" spans="13:16" x14ac:dyDescent="0.3">
      <c r="M2708">
        <v>2706</v>
      </c>
      <c r="N2708">
        <v>620583</v>
      </c>
      <c r="P2708">
        <v>609510</v>
      </c>
    </row>
    <row r="2709" spans="13:16" x14ac:dyDescent="0.3">
      <c r="M2709">
        <v>2707</v>
      </c>
      <c r="N2709">
        <v>217783</v>
      </c>
      <c r="P2709">
        <v>23047</v>
      </c>
    </row>
    <row r="2710" spans="13:16" x14ac:dyDescent="0.3">
      <c r="M2710">
        <v>2708</v>
      </c>
      <c r="N2710">
        <v>-22057</v>
      </c>
      <c r="P2710">
        <v>-534956</v>
      </c>
    </row>
    <row r="2711" spans="13:16" x14ac:dyDescent="0.3">
      <c r="M2711">
        <v>2709</v>
      </c>
      <c r="N2711">
        <v>-821668</v>
      </c>
      <c r="P2711">
        <v>-160658</v>
      </c>
    </row>
    <row r="2712" spans="13:16" x14ac:dyDescent="0.3">
      <c r="M2712">
        <v>2710</v>
      </c>
      <c r="N2712">
        <v>-180796</v>
      </c>
      <c r="P2712">
        <v>296580</v>
      </c>
    </row>
    <row r="2713" spans="13:16" x14ac:dyDescent="0.3">
      <c r="M2713">
        <v>2711</v>
      </c>
      <c r="N2713">
        <v>20170</v>
      </c>
      <c r="P2713">
        <v>875889</v>
      </c>
    </row>
    <row r="2714" spans="13:16" x14ac:dyDescent="0.3">
      <c r="M2714">
        <v>2712</v>
      </c>
      <c r="N2714">
        <v>-235705</v>
      </c>
      <c r="P2714">
        <v>41951</v>
      </c>
    </row>
    <row r="2715" spans="13:16" x14ac:dyDescent="0.3">
      <c r="M2715">
        <v>2713</v>
      </c>
      <c r="N2715">
        <v>28113</v>
      </c>
      <c r="P2715">
        <v>508415</v>
      </c>
    </row>
    <row r="2716" spans="13:16" x14ac:dyDescent="0.3">
      <c r="M2716">
        <v>2714</v>
      </c>
      <c r="N2716">
        <v>-423653</v>
      </c>
      <c r="P2716">
        <v>764987</v>
      </c>
    </row>
    <row r="2717" spans="13:16" x14ac:dyDescent="0.3">
      <c r="M2717">
        <v>2715</v>
      </c>
      <c r="N2717">
        <v>-435056</v>
      </c>
      <c r="P2717">
        <v>-547222</v>
      </c>
    </row>
    <row r="2718" spans="13:16" x14ac:dyDescent="0.3">
      <c r="M2718">
        <v>2716</v>
      </c>
      <c r="N2718">
        <v>50539</v>
      </c>
      <c r="P2718">
        <v>-90603</v>
      </c>
    </row>
    <row r="2719" spans="13:16" x14ac:dyDescent="0.3">
      <c r="M2719">
        <v>2717</v>
      </c>
      <c r="N2719">
        <v>-250747</v>
      </c>
      <c r="P2719">
        <v>870238</v>
      </c>
    </row>
    <row r="2720" spans="13:16" x14ac:dyDescent="0.3">
      <c r="M2720">
        <v>2718</v>
      </c>
      <c r="N2720">
        <v>-498735</v>
      </c>
      <c r="P2720">
        <v>689079</v>
      </c>
    </row>
    <row r="2721" spans="13:16" x14ac:dyDescent="0.3">
      <c r="M2721">
        <v>2719</v>
      </c>
      <c r="N2721">
        <v>-291351</v>
      </c>
      <c r="P2721">
        <v>-648910</v>
      </c>
    </row>
    <row r="2722" spans="13:16" x14ac:dyDescent="0.3">
      <c r="M2722">
        <v>2720</v>
      </c>
      <c r="N2722">
        <v>-261742</v>
      </c>
      <c r="P2722">
        <v>179495</v>
      </c>
    </row>
    <row r="2723" spans="13:16" x14ac:dyDescent="0.3">
      <c r="M2723">
        <v>2721</v>
      </c>
      <c r="N2723">
        <v>292554</v>
      </c>
      <c r="P2723">
        <v>-125928</v>
      </c>
    </row>
    <row r="2724" spans="13:16" x14ac:dyDescent="0.3">
      <c r="M2724">
        <v>2722</v>
      </c>
      <c r="N2724">
        <v>421656</v>
      </c>
      <c r="P2724">
        <v>464889</v>
      </c>
    </row>
    <row r="2725" spans="13:16" x14ac:dyDescent="0.3">
      <c r="M2725">
        <v>2723</v>
      </c>
      <c r="N2725">
        <v>522815</v>
      </c>
      <c r="P2725">
        <v>168692</v>
      </c>
    </row>
    <row r="2726" spans="13:16" x14ac:dyDescent="0.3">
      <c r="M2726">
        <v>2724</v>
      </c>
      <c r="N2726">
        <v>-140081</v>
      </c>
      <c r="P2726">
        <v>-234460</v>
      </c>
    </row>
    <row r="2727" spans="13:16" x14ac:dyDescent="0.3">
      <c r="M2727">
        <v>2725</v>
      </c>
      <c r="N2727">
        <v>69006</v>
      </c>
      <c r="P2727">
        <v>6080</v>
      </c>
    </row>
    <row r="2728" spans="13:16" x14ac:dyDescent="0.3">
      <c r="M2728">
        <v>2726</v>
      </c>
      <c r="N2728">
        <v>888247</v>
      </c>
      <c r="P2728">
        <v>-325893</v>
      </c>
    </row>
    <row r="2729" spans="13:16" x14ac:dyDescent="0.3">
      <c r="M2729">
        <v>2727</v>
      </c>
      <c r="N2729">
        <v>56971</v>
      </c>
      <c r="P2729">
        <v>-733605</v>
      </c>
    </row>
    <row r="2730" spans="13:16" x14ac:dyDescent="0.3">
      <c r="M2730">
        <v>2728</v>
      </c>
      <c r="N2730">
        <v>520933</v>
      </c>
      <c r="P2730">
        <v>-436395</v>
      </c>
    </row>
    <row r="2731" spans="13:16" x14ac:dyDescent="0.3">
      <c r="M2731">
        <v>2729</v>
      </c>
      <c r="N2731">
        <v>122146</v>
      </c>
      <c r="P2731">
        <v>-337464</v>
      </c>
    </row>
    <row r="2732" spans="13:16" x14ac:dyDescent="0.3">
      <c r="M2732">
        <v>2730</v>
      </c>
      <c r="N2732">
        <v>225460</v>
      </c>
      <c r="P2732">
        <v>494418</v>
      </c>
    </row>
    <row r="2733" spans="13:16" x14ac:dyDescent="0.3">
      <c r="M2733">
        <v>2731</v>
      </c>
      <c r="N2733">
        <v>383760</v>
      </c>
      <c r="P2733">
        <v>184239</v>
      </c>
    </row>
    <row r="2734" spans="13:16" x14ac:dyDescent="0.3">
      <c r="M2734">
        <v>2732</v>
      </c>
      <c r="N2734">
        <v>-204435</v>
      </c>
      <c r="P2734">
        <v>57276</v>
      </c>
    </row>
    <row r="2735" spans="13:16" x14ac:dyDescent="0.3">
      <c r="M2735">
        <v>2733</v>
      </c>
      <c r="N2735">
        <v>-238787</v>
      </c>
      <c r="P2735">
        <v>674927</v>
      </c>
    </row>
    <row r="2736" spans="13:16" x14ac:dyDescent="0.3">
      <c r="M2736">
        <v>2734</v>
      </c>
      <c r="N2736">
        <v>-519635</v>
      </c>
      <c r="P2736">
        <v>-171476</v>
      </c>
    </row>
    <row r="2737" spans="13:16" x14ac:dyDescent="0.3">
      <c r="M2737">
        <v>2735</v>
      </c>
      <c r="N2737">
        <v>354783</v>
      </c>
      <c r="P2737">
        <v>-95351</v>
      </c>
    </row>
    <row r="2738" spans="13:16" x14ac:dyDescent="0.3">
      <c r="M2738">
        <v>2736</v>
      </c>
      <c r="N2738">
        <v>312482</v>
      </c>
      <c r="P2738">
        <v>-98162</v>
      </c>
    </row>
    <row r="2739" spans="13:16" x14ac:dyDescent="0.3">
      <c r="M2739">
        <v>2737</v>
      </c>
      <c r="N2739">
        <v>437686</v>
      </c>
      <c r="P2739">
        <v>83252</v>
      </c>
    </row>
    <row r="2740" spans="13:16" x14ac:dyDescent="0.3">
      <c r="M2740">
        <v>2738</v>
      </c>
      <c r="N2740">
        <v>-601071</v>
      </c>
      <c r="P2740">
        <v>-690310</v>
      </c>
    </row>
    <row r="2741" spans="13:16" x14ac:dyDescent="0.3">
      <c r="M2741">
        <v>2739</v>
      </c>
      <c r="N2741">
        <v>518421</v>
      </c>
      <c r="P2741">
        <v>-72408</v>
      </c>
    </row>
    <row r="2742" spans="13:16" x14ac:dyDescent="0.3">
      <c r="M2742">
        <v>2740</v>
      </c>
      <c r="N2742">
        <v>-353705</v>
      </c>
      <c r="P2742">
        <v>386992</v>
      </c>
    </row>
    <row r="2743" spans="13:16" x14ac:dyDescent="0.3">
      <c r="M2743">
        <v>2741</v>
      </c>
      <c r="N2743">
        <v>74084</v>
      </c>
      <c r="P2743">
        <v>-441071</v>
      </c>
    </row>
    <row r="2744" spans="13:16" x14ac:dyDescent="0.3">
      <c r="M2744">
        <v>2742</v>
      </c>
      <c r="N2744">
        <v>78717</v>
      </c>
      <c r="P2744">
        <v>-636440</v>
      </c>
    </row>
    <row r="2745" spans="13:16" x14ac:dyDescent="0.3">
      <c r="M2745">
        <v>2743</v>
      </c>
      <c r="N2745">
        <v>-581403</v>
      </c>
      <c r="P2745">
        <v>-465465</v>
      </c>
    </row>
    <row r="2746" spans="13:16" x14ac:dyDescent="0.3">
      <c r="M2746">
        <v>2744</v>
      </c>
      <c r="N2746">
        <v>619302</v>
      </c>
      <c r="P2746">
        <v>-214366</v>
      </c>
    </row>
    <row r="2747" spans="13:16" x14ac:dyDescent="0.3">
      <c r="M2747">
        <v>2745</v>
      </c>
      <c r="N2747">
        <v>-258306</v>
      </c>
      <c r="P2747">
        <v>-288016</v>
      </c>
    </row>
    <row r="2748" spans="13:16" x14ac:dyDescent="0.3">
      <c r="M2748">
        <v>2746</v>
      </c>
      <c r="N2748">
        <v>-401060</v>
      </c>
      <c r="P2748">
        <v>535831</v>
      </c>
    </row>
    <row r="2749" spans="13:16" x14ac:dyDescent="0.3">
      <c r="M2749">
        <v>2747</v>
      </c>
      <c r="N2749">
        <v>-646397</v>
      </c>
      <c r="P2749">
        <v>-307052</v>
      </c>
    </row>
    <row r="2750" spans="13:16" x14ac:dyDescent="0.3">
      <c r="M2750">
        <v>2748</v>
      </c>
      <c r="N2750">
        <v>-212571</v>
      </c>
      <c r="P2750">
        <v>371324</v>
      </c>
    </row>
    <row r="2751" spans="13:16" x14ac:dyDescent="0.3">
      <c r="M2751">
        <v>2749</v>
      </c>
      <c r="N2751">
        <v>-510032</v>
      </c>
      <c r="P2751">
        <v>767497</v>
      </c>
    </row>
    <row r="2752" spans="13:16" x14ac:dyDescent="0.3">
      <c r="M2752">
        <v>2750</v>
      </c>
      <c r="N2752">
        <v>-381911</v>
      </c>
      <c r="P2752">
        <v>811747</v>
      </c>
    </row>
    <row r="2753" spans="13:16" x14ac:dyDescent="0.3">
      <c r="M2753">
        <v>2751</v>
      </c>
      <c r="N2753">
        <v>-71515</v>
      </c>
      <c r="P2753">
        <v>1073162</v>
      </c>
    </row>
    <row r="2754" spans="13:16" x14ac:dyDescent="0.3">
      <c r="M2754">
        <v>2752</v>
      </c>
      <c r="N2754">
        <v>-340322</v>
      </c>
      <c r="P2754">
        <v>77284</v>
      </c>
    </row>
    <row r="2755" spans="13:16" x14ac:dyDescent="0.3">
      <c r="M2755">
        <v>2753</v>
      </c>
      <c r="N2755">
        <v>572489</v>
      </c>
      <c r="P2755">
        <v>636911</v>
      </c>
    </row>
    <row r="2756" spans="13:16" x14ac:dyDescent="0.3">
      <c r="M2756">
        <v>2754</v>
      </c>
      <c r="N2756">
        <v>436671</v>
      </c>
      <c r="P2756">
        <v>-243665</v>
      </c>
    </row>
    <row r="2757" spans="13:16" x14ac:dyDescent="0.3">
      <c r="M2757">
        <v>2755</v>
      </c>
      <c r="N2757">
        <v>844577</v>
      </c>
      <c r="P2757">
        <v>748080</v>
      </c>
    </row>
    <row r="2758" spans="13:16" x14ac:dyDescent="0.3">
      <c r="M2758">
        <v>2756</v>
      </c>
      <c r="N2758">
        <v>617727</v>
      </c>
      <c r="P2758">
        <v>141040</v>
      </c>
    </row>
    <row r="2759" spans="13:16" x14ac:dyDescent="0.3">
      <c r="M2759">
        <v>2757</v>
      </c>
      <c r="N2759">
        <v>173605</v>
      </c>
      <c r="P2759">
        <v>-124282</v>
      </c>
    </row>
    <row r="2760" spans="13:16" x14ac:dyDescent="0.3">
      <c r="M2760">
        <v>2758</v>
      </c>
      <c r="N2760">
        <v>-379371</v>
      </c>
      <c r="P2760">
        <v>-399880</v>
      </c>
    </row>
    <row r="2761" spans="13:16" x14ac:dyDescent="0.3">
      <c r="M2761">
        <v>2759</v>
      </c>
      <c r="N2761">
        <v>929174</v>
      </c>
      <c r="P2761">
        <v>-628440</v>
      </c>
    </row>
    <row r="2762" spans="13:16" x14ac:dyDescent="0.3">
      <c r="M2762">
        <v>2760</v>
      </c>
      <c r="N2762">
        <v>17451</v>
      </c>
      <c r="P2762">
        <v>-332080</v>
      </c>
    </row>
    <row r="2763" spans="13:16" x14ac:dyDescent="0.3">
      <c r="M2763">
        <v>2761</v>
      </c>
      <c r="N2763">
        <v>-309678</v>
      </c>
      <c r="P2763">
        <v>-424168</v>
      </c>
    </row>
    <row r="2764" spans="13:16" x14ac:dyDescent="0.3">
      <c r="M2764">
        <v>2762</v>
      </c>
      <c r="N2764">
        <v>-425913</v>
      </c>
      <c r="P2764">
        <v>370828</v>
      </c>
    </row>
    <row r="2765" spans="13:16" x14ac:dyDescent="0.3">
      <c r="M2765">
        <v>2763</v>
      </c>
      <c r="N2765">
        <v>-213511</v>
      </c>
      <c r="P2765">
        <v>443367</v>
      </c>
    </row>
    <row r="2766" spans="13:16" x14ac:dyDescent="0.3">
      <c r="M2766">
        <v>2764</v>
      </c>
      <c r="N2766">
        <v>-204470</v>
      </c>
      <c r="P2766">
        <v>-31014</v>
      </c>
    </row>
    <row r="2767" spans="13:16" x14ac:dyDescent="0.3">
      <c r="M2767">
        <v>2765</v>
      </c>
      <c r="N2767">
        <v>246462</v>
      </c>
      <c r="P2767">
        <v>-492415</v>
      </c>
    </row>
    <row r="2768" spans="13:16" x14ac:dyDescent="0.3">
      <c r="M2768">
        <v>2766</v>
      </c>
      <c r="N2768">
        <v>110018</v>
      </c>
      <c r="P2768">
        <v>11199</v>
      </c>
    </row>
    <row r="2769" spans="13:16" x14ac:dyDescent="0.3">
      <c r="M2769">
        <v>2767</v>
      </c>
      <c r="N2769">
        <v>-148034</v>
      </c>
      <c r="P2769">
        <v>517442</v>
      </c>
    </row>
    <row r="2770" spans="13:16" x14ac:dyDescent="0.3">
      <c r="M2770">
        <v>2768</v>
      </c>
      <c r="N2770">
        <v>445236</v>
      </c>
      <c r="P2770">
        <v>302720</v>
      </c>
    </row>
    <row r="2771" spans="13:16" x14ac:dyDescent="0.3">
      <c r="M2771">
        <v>2769</v>
      </c>
      <c r="N2771">
        <v>-601018</v>
      </c>
      <c r="P2771">
        <v>-588160</v>
      </c>
    </row>
    <row r="2772" spans="13:16" x14ac:dyDescent="0.3">
      <c r="M2772">
        <v>2770</v>
      </c>
      <c r="N2772">
        <v>605351</v>
      </c>
      <c r="P2772">
        <v>-304828</v>
      </c>
    </row>
    <row r="2773" spans="13:16" x14ac:dyDescent="0.3">
      <c r="M2773">
        <v>2771</v>
      </c>
      <c r="N2773">
        <v>484443</v>
      </c>
      <c r="P2773">
        <v>-345224</v>
      </c>
    </row>
    <row r="2774" spans="13:16" x14ac:dyDescent="0.3">
      <c r="M2774">
        <v>2772</v>
      </c>
      <c r="N2774">
        <v>283510</v>
      </c>
      <c r="P2774">
        <v>153405</v>
      </c>
    </row>
    <row r="2775" spans="13:16" x14ac:dyDescent="0.3">
      <c r="M2775">
        <v>2773</v>
      </c>
      <c r="N2775">
        <v>762128</v>
      </c>
      <c r="P2775">
        <v>-428109</v>
      </c>
    </row>
    <row r="2776" spans="13:16" x14ac:dyDescent="0.3">
      <c r="M2776">
        <v>2774</v>
      </c>
      <c r="N2776">
        <v>-31959</v>
      </c>
      <c r="P2776">
        <v>424042</v>
      </c>
    </row>
    <row r="2777" spans="13:16" x14ac:dyDescent="0.3">
      <c r="M2777">
        <v>2775</v>
      </c>
      <c r="N2777">
        <v>-52321</v>
      </c>
      <c r="P2777">
        <v>-254988</v>
      </c>
    </row>
    <row r="2778" spans="13:16" x14ac:dyDescent="0.3">
      <c r="M2778">
        <v>2776</v>
      </c>
      <c r="N2778">
        <v>34039</v>
      </c>
      <c r="P2778">
        <v>-476809</v>
      </c>
    </row>
    <row r="2779" spans="13:16" x14ac:dyDescent="0.3">
      <c r="M2779">
        <v>2777</v>
      </c>
      <c r="N2779">
        <v>633567</v>
      </c>
      <c r="P2779">
        <v>-376958</v>
      </c>
    </row>
    <row r="2780" spans="13:16" x14ac:dyDescent="0.3">
      <c r="M2780">
        <v>2778</v>
      </c>
      <c r="N2780">
        <v>-408650</v>
      </c>
      <c r="P2780">
        <v>-42057</v>
      </c>
    </row>
    <row r="2781" spans="13:16" x14ac:dyDescent="0.3">
      <c r="M2781">
        <v>2779</v>
      </c>
      <c r="N2781">
        <v>-796027</v>
      </c>
      <c r="P2781">
        <v>-563382</v>
      </c>
    </row>
    <row r="2782" spans="13:16" x14ac:dyDescent="0.3">
      <c r="M2782">
        <v>2780</v>
      </c>
      <c r="N2782">
        <v>395738</v>
      </c>
      <c r="P2782">
        <v>233656</v>
      </c>
    </row>
    <row r="2783" spans="13:16" x14ac:dyDescent="0.3">
      <c r="M2783">
        <v>2781</v>
      </c>
      <c r="N2783">
        <v>-281610</v>
      </c>
      <c r="P2783">
        <v>175411</v>
      </c>
    </row>
    <row r="2784" spans="13:16" x14ac:dyDescent="0.3">
      <c r="M2784">
        <v>2782</v>
      </c>
      <c r="N2784">
        <v>-454601</v>
      </c>
      <c r="P2784">
        <v>36484</v>
      </c>
    </row>
    <row r="2785" spans="13:16" x14ac:dyDescent="0.3">
      <c r="M2785">
        <v>2783</v>
      </c>
      <c r="N2785">
        <v>68858</v>
      </c>
      <c r="P2785">
        <v>-312746</v>
      </c>
    </row>
    <row r="2786" spans="13:16" x14ac:dyDescent="0.3">
      <c r="M2786">
        <v>2784</v>
      </c>
      <c r="N2786">
        <v>81865</v>
      </c>
      <c r="P2786">
        <v>735496</v>
      </c>
    </row>
    <row r="2787" spans="13:16" x14ac:dyDescent="0.3">
      <c r="M2787">
        <v>2785</v>
      </c>
      <c r="N2787">
        <v>141172</v>
      </c>
      <c r="P2787">
        <v>253950</v>
      </c>
    </row>
    <row r="2788" spans="13:16" x14ac:dyDescent="0.3">
      <c r="M2788">
        <v>2786</v>
      </c>
      <c r="N2788">
        <v>615512</v>
      </c>
      <c r="P2788">
        <v>523884</v>
      </c>
    </row>
    <row r="2789" spans="13:16" x14ac:dyDescent="0.3">
      <c r="M2789">
        <v>2787</v>
      </c>
      <c r="N2789">
        <v>-8029</v>
      </c>
      <c r="P2789">
        <v>-271120</v>
      </c>
    </row>
    <row r="2790" spans="13:16" x14ac:dyDescent="0.3">
      <c r="M2790">
        <v>2788</v>
      </c>
      <c r="N2790">
        <v>531539</v>
      </c>
      <c r="P2790">
        <v>-812025</v>
      </c>
    </row>
    <row r="2791" spans="13:16" x14ac:dyDescent="0.3">
      <c r="M2791">
        <v>2789</v>
      </c>
      <c r="N2791">
        <v>399548</v>
      </c>
      <c r="P2791">
        <v>-677390</v>
      </c>
    </row>
    <row r="2792" spans="13:16" x14ac:dyDescent="0.3">
      <c r="M2792">
        <v>2790</v>
      </c>
      <c r="N2792">
        <v>-173530</v>
      </c>
      <c r="P2792">
        <v>803390</v>
      </c>
    </row>
    <row r="2793" spans="13:16" x14ac:dyDescent="0.3">
      <c r="M2793">
        <v>2791</v>
      </c>
      <c r="N2793">
        <v>128690</v>
      </c>
      <c r="P2793">
        <v>-277791</v>
      </c>
    </row>
    <row r="2794" spans="13:16" x14ac:dyDescent="0.3">
      <c r="M2794">
        <v>2792</v>
      </c>
      <c r="N2794">
        <v>-237225</v>
      </c>
      <c r="P2794">
        <v>-172988</v>
      </c>
    </row>
    <row r="2795" spans="13:16" x14ac:dyDescent="0.3">
      <c r="M2795">
        <v>2793</v>
      </c>
      <c r="N2795">
        <v>-454477</v>
      </c>
      <c r="P2795">
        <v>364790</v>
      </c>
    </row>
    <row r="2796" spans="13:16" x14ac:dyDescent="0.3">
      <c r="M2796">
        <v>2794</v>
      </c>
      <c r="N2796">
        <v>86362</v>
      </c>
      <c r="P2796">
        <v>192137</v>
      </c>
    </row>
    <row r="2797" spans="13:16" x14ac:dyDescent="0.3">
      <c r="M2797">
        <v>2795</v>
      </c>
      <c r="N2797">
        <v>-299212</v>
      </c>
      <c r="P2797">
        <v>-153570</v>
      </c>
    </row>
    <row r="2798" spans="13:16" x14ac:dyDescent="0.3">
      <c r="M2798">
        <v>2796</v>
      </c>
      <c r="N2798">
        <v>353569</v>
      </c>
      <c r="P2798">
        <v>-247210</v>
      </c>
    </row>
    <row r="2799" spans="13:16" x14ac:dyDescent="0.3">
      <c r="M2799">
        <v>2797</v>
      </c>
      <c r="N2799">
        <v>-21184</v>
      </c>
      <c r="P2799">
        <v>-262099</v>
      </c>
    </row>
    <row r="2800" spans="13:16" x14ac:dyDescent="0.3">
      <c r="M2800">
        <v>2798</v>
      </c>
      <c r="N2800">
        <v>237803</v>
      </c>
      <c r="P2800">
        <v>334748</v>
      </c>
    </row>
    <row r="2801" spans="13:16" x14ac:dyDescent="0.3">
      <c r="M2801">
        <v>2799</v>
      </c>
      <c r="N2801">
        <v>737479</v>
      </c>
      <c r="P2801">
        <v>-406781</v>
      </c>
    </row>
    <row r="2802" spans="13:16" x14ac:dyDescent="0.3">
      <c r="M2802">
        <v>2800</v>
      </c>
      <c r="N2802">
        <v>-69862</v>
      </c>
      <c r="P2802">
        <v>-668416</v>
      </c>
    </row>
    <row r="2803" spans="13:16" x14ac:dyDescent="0.3">
      <c r="M2803">
        <v>2801</v>
      </c>
      <c r="N2803">
        <v>-281558</v>
      </c>
      <c r="P2803">
        <v>451743</v>
      </c>
    </row>
    <row r="2804" spans="13:16" x14ac:dyDescent="0.3">
      <c r="M2804">
        <v>2802</v>
      </c>
      <c r="N2804">
        <v>-386963</v>
      </c>
      <c r="P2804">
        <v>-522723</v>
      </c>
    </row>
    <row r="2805" spans="13:16" x14ac:dyDescent="0.3">
      <c r="M2805">
        <v>2803</v>
      </c>
      <c r="N2805">
        <v>-352840</v>
      </c>
      <c r="P2805">
        <v>231382</v>
      </c>
    </row>
    <row r="2806" spans="13:16" x14ac:dyDescent="0.3">
      <c r="M2806">
        <v>2804</v>
      </c>
      <c r="N2806">
        <v>75309</v>
      </c>
      <c r="P2806">
        <v>634810</v>
      </c>
    </row>
    <row r="2807" spans="13:16" x14ac:dyDescent="0.3">
      <c r="M2807">
        <v>2805</v>
      </c>
      <c r="N2807">
        <v>290268</v>
      </c>
      <c r="P2807">
        <v>-412729</v>
      </c>
    </row>
    <row r="2808" spans="13:16" x14ac:dyDescent="0.3">
      <c r="M2808">
        <v>2806</v>
      </c>
      <c r="N2808">
        <v>-121939</v>
      </c>
      <c r="P2808">
        <v>242499</v>
      </c>
    </row>
    <row r="2809" spans="13:16" x14ac:dyDescent="0.3">
      <c r="M2809">
        <v>2807</v>
      </c>
      <c r="N2809">
        <v>-563602</v>
      </c>
      <c r="P2809">
        <v>482561</v>
      </c>
    </row>
    <row r="2810" spans="13:16" x14ac:dyDescent="0.3">
      <c r="M2810">
        <v>2808</v>
      </c>
      <c r="N2810">
        <v>5228</v>
      </c>
      <c r="P2810">
        <v>-326287</v>
      </c>
    </row>
    <row r="2811" spans="13:16" x14ac:dyDescent="0.3">
      <c r="M2811">
        <v>2809</v>
      </c>
      <c r="N2811">
        <v>61547</v>
      </c>
      <c r="P2811">
        <v>-415887</v>
      </c>
    </row>
    <row r="2812" spans="13:16" x14ac:dyDescent="0.3">
      <c r="M2812">
        <v>2810</v>
      </c>
      <c r="N2812">
        <v>257619</v>
      </c>
      <c r="P2812">
        <v>498648</v>
      </c>
    </row>
    <row r="2813" spans="13:16" x14ac:dyDescent="0.3">
      <c r="M2813">
        <v>2811</v>
      </c>
      <c r="N2813">
        <v>32747</v>
      </c>
      <c r="P2813">
        <v>500686</v>
      </c>
    </row>
    <row r="2814" spans="13:16" x14ac:dyDescent="0.3">
      <c r="M2814">
        <v>2812</v>
      </c>
      <c r="N2814">
        <v>-15216</v>
      </c>
      <c r="P2814">
        <v>85847</v>
      </c>
    </row>
    <row r="2815" spans="13:16" x14ac:dyDescent="0.3">
      <c r="M2815">
        <v>2813</v>
      </c>
      <c r="N2815">
        <v>327477</v>
      </c>
      <c r="P2815">
        <v>-657203</v>
      </c>
    </row>
    <row r="2816" spans="13:16" x14ac:dyDescent="0.3">
      <c r="M2816">
        <v>2814</v>
      </c>
      <c r="N2816">
        <v>-212414</v>
      </c>
      <c r="P2816">
        <v>95394</v>
      </c>
    </row>
    <row r="2817" spans="13:16" x14ac:dyDescent="0.3">
      <c r="M2817">
        <v>2815</v>
      </c>
      <c r="N2817">
        <v>622792</v>
      </c>
      <c r="P2817">
        <v>313384</v>
      </c>
    </row>
    <row r="2818" spans="13:16" x14ac:dyDescent="0.3">
      <c r="M2818">
        <v>2816</v>
      </c>
      <c r="N2818">
        <v>463916</v>
      </c>
      <c r="P2818">
        <v>-11584</v>
      </c>
    </row>
    <row r="2819" spans="13:16" x14ac:dyDescent="0.3">
      <c r="M2819">
        <v>2817</v>
      </c>
      <c r="N2819">
        <v>74204</v>
      </c>
      <c r="P2819">
        <v>629229</v>
      </c>
    </row>
    <row r="2820" spans="13:16" x14ac:dyDescent="0.3">
      <c r="M2820">
        <v>2818</v>
      </c>
      <c r="N2820">
        <v>-189737</v>
      </c>
      <c r="P2820">
        <v>-728133</v>
      </c>
    </row>
    <row r="2821" spans="13:16" x14ac:dyDescent="0.3">
      <c r="M2821">
        <v>2819</v>
      </c>
      <c r="N2821">
        <v>577177</v>
      </c>
      <c r="P2821">
        <v>475571</v>
      </c>
    </row>
    <row r="2822" spans="13:16" x14ac:dyDescent="0.3">
      <c r="M2822">
        <v>2820</v>
      </c>
      <c r="N2822">
        <v>-464166</v>
      </c>
      <c r="P2822">
        <v>-270522</v>
      </c>
    </row>
    <row r="2823" spans="13:16" x14ac:dyDescent="0.3">
      <c r="M2823">
        <v>2821</v>
      </c>
      <c r="N2823">
        <v>385957</v>
      </c>
      <c r="P2823">
        <v>-37874</v>
      </c>
    </row>
    <row r="2824" spans="13:16" x14ac:dyDescent="0.3">
      <c r="M2824">
        <v>2822</v>
      </c>
      <c r="N2824">
        <v>-214232</v>
      </c>
      <c r="P2824">
        <v>-108162</v>
      </c>
    </row>
    <row r="2825" spans="13:16" x14ac:dyDescent="0.3">
      <c r="M2825">
        <v>2823</v>
      </c>
      <c r="N2825">
        <v>640372</v>
      </c>
      <c r="P2825">
        <v>317636</v>
      </c>
    </row>
    <row r="2826" spans="13:16" x14ac:dyDescent="0.3">
      <c r="M2826">
        <v>2824</v>
      </c>
      <c r="N2826">
        <v>88090</v>
      </c>
      <c r="P2826">
        <v>423503</v>
      </c>
    </row>
    <row r="2827" spans="13:16" x14ac:dyDescent="0.3">
      <c r="M2827">
        <v>2825</v>
      </c>
      <c r="N2827">
        <v>-354059</v>
      </c>
      <c r="P2827">
        <v>-645448</v>
      </c>
    </row>
    <row r="2828" spans="13:16" x14ac:dyDescent="0.3">
      <c r="M2828">
        <v>2826</v>
      </c>
      <c r="N2828">
        <v>201467</v>
      </c>
      <c r="P2828">
        <v>214279</v>
      </c>
    </row>
    <row r="2829" spans="13:16" x14ac:dyDescent="0.3">
      <c r="M2829">
        <v>2827</v>
      </c>
      <c r="N2829">
        <v>-359125</v>
      </c>
      <c r="P2829">
        <v>152869</v>
      </c>
    </row>
    <row r="2830" spans="13:16" x14ac:dyDescent="0.3">
      <c r="M2830">
        <v>2828</v>
      </c>
      <c r="N2830">
        <v>393474</v>
      </c>
      <c r="P2830">
        <v>263049</v>
      </c>
    </row>
    <row r="2831" spans="13:16" x14ac:dyDescent="0.3">
      <c r="M2831">
        <v>2829</v>
      </c>
      <c r="N2831">
        <v>528786</v>
      </c>
      <c r="P2831">
        <v>-133424</v>
      </c>
    </row>
    <row r="2832" spans="13:16" x14ac:dyDescent="0.3">
      <c r="M2832">
        <v>2830</v>
      </c>
      <c r="N2832">
        <v>-233640</v>
      </c>
      <c r="P2832">
        <v>107555</v>
      </c>
    </row>
    <row r="2833" spans="13:16" x14ac:dyDescent="0.3">
      <c r="M2833">
        <v>2831</v>
      </c>
      <c r="N2833">
        <v>-496959</v>
      </c>
      <c r="P2833">
        <v>-87063</v>
      </c>
    </row>
    <row r="2834" spans="13:16" x14ac:dyDescent="0.3">
      <c r="M2834">
        <v>2832</v>
      </c>
      <c r="N2834">
        <v>-439623</v>
      </c>
      <c r="P2834">
        <v>-112894</v>
      </c>
    </row>
    <row r="2835" spans="13:16" x14ac:dyDescent="0.3">
      <c r="M2835">
        <v>2833</v>
      </c>
      <c r="N2835">
        <v>-669596</v>
      </c>
      <c r="P2835">
        <v>271672</v>
      </c>
    </row>
    <row r="2836" spans="13:16" x14ac:dyDescent="0.3">
      <c r="M2836">
        <v>2834</v>
      </c>
      <c r="N2836">
        <v>-70031</v>
      </c>
      <c r="P2836">
        <v>74798</v>
      </c>
    </row>
    <row r="2837" spans="13:16" x14ac:dyDescent="0.3">
      <c r="M2837">
        <v>2835</v>
      </c>
      <c r="N2837">
        <v>-316150</v>
      </c>
      <c r="P2837">
        <v>-238973</v>
      </c>
    </row>
    <row r="2838" spans="13:16" x14ac:dyDescent="0.3">
      <c r="M2838">
        <v>2836</v>
      </c>
      <c r="N2838">
        <v>123287</v>
      </c>
      <c r="P2838">
        <v>-178359</v>
      </c>
    </row>
    <row r="2839" spans="13:16" x14ac:dyDescent="0.3">
      <c r="M2839">
        <v>2837</v>
      </c>
      <c r="N2839">
        <v>-67309</v>
      </c>
      <c r="P2839">
        <v>84738</v>
      </c>
    </row>
    <row r="2840" spans="13:16" x14ac:dyDescent="0.3">
      <c r="M2840">
        <v>2838</v>
      </c>
      <c r="N2840">
        <v>-483652</v>
      </c>
      <c r="P2840">
        <v>623774</v>
      </c>
    </row>
    <row r="2841" spans="13:16" x14ac:dyDescent="0.3">
      <c r="M2841">
        <v>2839</v>
      </c>
      <c r="N2841">
        <v>724137</v>
      </c>
      <c r="P2841">
        <v>4658</v>
      </c>
    </row>
    <row r="2842" spans="13:16" x14ac:dyDescent="0.3">
      <c r="M2842">
        <v>2840</v>
      </c>
      <c r="N2842">
        <v>-147778</v>
      </c>
      <c r="P2842">
        <v>680409</v>
      </c>
    </row>
    <row r="2843" spans="13:16" x14ac:dyDescent="0.3">
      <c r="M2843">
        <v>2841</v>
      </c>
      <c r="N2843">
        <v>311521</v>
      </c>
      <c r="P2843">
        <v>227408</v>
      </c>
    </row>
    <row r="2844" spans="13:16" x14ac:dyDescent="0.3">
      <c r="M2844">
        <v>2842</v>
      </c>
      <c r="N2844">
        <v>724654</v>
      </c>
      <c r="P2844">
        <v>-8367</v>
      </c>
    </row>
    <row r="2845" spans="13:16" x14ac:dyDescent="0.3">
      <c r="M2845">
        <v>2843</v>
      </c>
      <c r="N2845">
        <v>16920</v>
      </c>
      <c r="P2845">
        <v>-9590</v>
      </c>
    </row>
    <row r="2846" spans="13:16" x14ac:dyDescent="0.3">
      <c r="M2846">
        <v>2844</v>
      </c>
      <c r="N2846">
        <v>-394163</v>
      </c>
      <c r="P2846">
        <v>-40369</v>
      </c>
    </row>
    <row r="2847" spans="13:16" x14ac:dyDescent="0.3">
      <c r="M2847">
        <v>2845</v>
      </c>
      <c r="N2847">
        <v>-724437</v>
      </c>
      <c r="P2847">
        <v>-516861</v>
      </c>
    </row>
    <row r="2848" spans="13:16" x14ac:dyDescent="0.3">
      <c r="M2848">
        <v>2846</v>
      </c>
      <c r="N2848">
        <v>-310170</v>
      </c>
      <c r="P2848">
        <v>-347630</v>
      </c>
    </row>
    <row r="2849" spans="13:16" x14ac:dyDescent="0.3">
      <c r="M2849">
        <v>2847</v>
      </c>
      <c r="N2849">
        <v>-308302</v>
      </c>
      <c r="P2849">
        <v>-610737</v>
      </c>
    </row>
    <row r="2850" spans="13:16" x14ac:dyDescent="0.3">
      <c r="M2850">
        <v>2848</v>
      </c>
      <c r="N2850">
        <v>-756010</v>
      </c>
      <c r="P2850">
        <v>-215828</v>
      </c>
    </row>
    <row r="2851" spans="13:16" x14ac:dyDescent="0.3">
      <c r="M2851">
        <v>2849</v>
      </c>
      <c r="N2851">
        <v>-320272</v>
      </c>
      <c r="P2851">
        <v>-321392</v>
      </c>
    </row>
    <row r="2852" spans="13:16" x14ac:dyDescent="0.3">
      <c r="M2852">
        <v>2850</v>
      </c>
      <c r="N2852">
        <v>4874</v>
      </c>
      <c r="P2852">
        <v>128974</v>
      </c>
    </row>
    <row r="2853" spans="13:16" x14ac:dyDescent="0.3">
      <c r="M2853">
        <v>2851</v>
      </c>
      <c r="N2853">
        <v>-134878</v>
      </c>
      <c r="P2853">
        <v>264779</v>
      </c>
    </row>
    <row r="2854" spans="13:16" x14ac:dyDescent="0.3">
      <c r="M2854">
        <v>2852</v>
      </c>
      <c r="N2854">
        <v>-167355</v>
      </c>
      <c r="P2854">
        <v>677981</v>
      </c>
    </row>
    <row r="2855" spans="13:16" x14ac:dyDescent="0.3">
      <c r="M2855">
        <v>2853</v>
      </c>
      <c r="N2855">
        <v>-146588</v>
      </c>
      <c r="P2855">
        <v>-142169</v>
      </c>
    </row>
    <row r="2856" spans="13:16" x14ac:dyDescent="0.3">
      <c r="M2856">
        <v>2854</v>
      </c>
      <c r="N2856">
        <v>3044</v>
      </c>
      <c r="P2856">
        <v>-156598</v>
      </c>
    </row>
    <row r="2857" spans="13:16" x14ac:dyDescent="0.3">
      <c r="M2857">
        <v>2855</v>
      </c>
      <c r="N2857">
        <v>-501821</v>
      </c>
      <c r="P2857">
        <v>-63861</v>
      </c>
    </row>
    <row r="2858" spans="13:16" x14ac:dyDescent="0.3">
      <c r="M2858">
        <v>2856</v>
      </c>
      <c r="N2858">
        <v>476328</v>
      </c>
      <c r="P2858">
        <v>163920</v>
      </c>
    </row>
    <row r="2859" spans="13:16" x14ac:dyDescent="0.3">
      <c r="M2859">
        <v>2857</v>
      </c>
      <c r="N2859">
        <v>59646</v>
      </c>
      <c r="P2859">
        <v>-22448</v>
      </c>
    </row>
    <row r="2860" spans="13:16" x14ac:dyDescent="0.3">
      <c r="M2860">
        <v>2858</v>
      </c>
      <c r="N2860">
        <v>592145</v>
      </c>
      <c r="P2860">
        <v>764194</v>
      </c>
    </row>
    <row r="2861" spans="13:16" x14ac:dyDescent="0.3">
      <c r="M2861">
        <v>2859</v>
      </c>
      <c r="N2861">
        <v>-248726</v>
      </c>
      <c r="P2861">
        <v>-321181</v>
      </c>
    </row>
    <row r="2862" spans="13:16" x14ac:dyDescent="0.3">
      <c r="M2862">
        <v>2860</v>
      </c>
      <c r="N2862">
        <v>151544</v>
      </c>
      <c r="P2862">
        <v>126890</v>
      </c>
    </row>
    <row r="2863" spans="13:16" x14ac:dyDescent="0.3">
      <c r="M2863">
        <v>2861</v>
      </c>
      <c r="N2863">
        <v>207183</v>
      </c>
      <c r="P2863">
        <v>9454</v>
      </c>
    </row>
    <row r="2864" spans="13:16" x14ac:dyDescent="0.3">
      <c r="M2864">
        <v>2862</v>
      </c>
      <c r="N2864">
        <v>542837</v>
      </c>
      <c r="P2864">
        <v>468026</v>
      </c>
    </row>
    <row r="2865" spans="13:16" x14ac:dyDescent="0.3">
      <c r="M2865">
        <v>2863</v>
      </c>
      <c r="N2865">
        <v>495898</v>
      </c>
      <c r="P2865">
        <v>-63666</v>
      </c>
    </row>
    <row r="2866" spans="13:16" x14ac:dyDescent="0.3">
      <c r="M2866">
        <v>2864</v>
      </c>
      <c r="N2866">
        <v>398198</v>
      </c>
      <c r="P2866">
        <v>-664261</v>
      </c>
    </row>
    <row r="2867" spans="13:16" x14ac:dyDescent="0.3">
      <c r="M2867">
        <v>2865</v>
      </c>
      <c r="N2867">
        <v>152319</v>
      </c>
      <c r="P2867">
        <v>-642923</v>
      </c>
    </row>
    <row r="2868" spans="13:16" x14ac:dyDescent="0.3">
      <c r="M2868">
        <v>2866</v>
      </c>
      <c r="N2868">
        <v>-412434</v>
      </c>
      <c r="P2868">
        <v>-223063</v>
      </c>
    </row>
    <row r="2869" spans="13:16" x14ac:dyDescent="0.3">
      <c r="M2869">
        <v>2867</v>
      </c>
      <c r="N2869">
        <v>-601904</v>
      </c>
      <c r="P2869">
        <v>151449</v>
      </c>
    </row>
    <row r="2870" spans="13:16" x14ac:dyDescent="0.3">
      <c r="M2870">
        <v>2868</v>
      </c>
      <c r="N2870">
        <v>737563</v>
      </c>
      <c r="P2870">
        <v>-98728</v>
      </c>
    </row>
    <row r="2871" spans="13:16" x14ac:dyDescent="0.3">
      <c r="M2871">
        <v>2869</v>
      </c>
      <c r="N2871">
        <v>-497770</v>
      </c>
      <c r="P2871">
        <v>357008</v>
      </c>
    </row>
    <row r="2872" spans="13:16" x14ac:dyDescent="0.3">
      <c r="M2872">
        <v>2870</v>
      </c>
      <c r="N2872">
        <v>256552</v>
      </c>
      <c r="P2872">
        <v>210586</v>
      </c>
    </row>
    <row r="2873" spans="13:16" x14ac:dyDescent="0.3">
      <c r="M2873">
        <v>2871</v>
      </c>
      <c r="N2873">
        <v>648435</v>
      </c>
      <c r="P2873">
        <v>269244</v>
      </c>
    </row>
    <row r="2874" spans="13:16" x14ac:dyDescent="0.3">
      <c r="M2874">
        <v>2872</v>
      </c>
      <c r="N2874">
        <v>276116</v>
      </c>
      <c r="P2874">
        <v>251206</v>
      </c>
    </row>
    <row r="2875" spans="13:16" x14ac:dyDescent="0.3">
      <c r="M2875">
        <v>2873</v>
      </c>
      <c r="N2875">
        <v>451733</v>
      </c>
      <c r="P2875">
        <v>-597041</v>
      </c>
    </row>
    <row r="2876" spans="13:16" x14ac:dyDescent="0.3">
      <c r="M2876">
        <v>2874</v>
      </c>
      <c r="N2876">
        <v>133217</v>
      </c>
      <c r="P2876">
        <v>-218092</v>
      </c>
    </row>
    <row r="2877" spans="13:16" x14ac:dyDescent="0.3">
      <c r="M2877">
        <v>2875</v>
      </c>
      <c r="N2877">
        <v>616836</v>
      </c>
      <c r="P2877">
        <v>210604</v>
      </c>
    </row>
    <row r="2878" spans="13:16" x14ac:dyDescent="0.3">
      <c r="M2878">
        <v>2876</v>
      </c>
      <c r="N2878">
        <v>301983</v>
      </c>
      <c r="P2878">
        <v>-104760</v>
      </c>
    </row>
    <row r="2879" spans="13:16" x14ac:dyDescent="0.3">
      <c r="M2879">
        <v>2877</v>
      </c>
      <c r="N2879">
        <v>644649</v>
      </c>
      <c r="P2879">
        <v>262842</v>
      </c>
    </row>
    <row r="2880" spans="13:16" x14ac:dyDescent="0.3">
      <c r="M2880">
        <v>2878</v>
      </c>
      <c r="N2880">
        <v>-98623</v>
      </c>
      <c r="P2880">
        <v>320364</v>
      </c>
    </row>
    <row r="2881" spans="13:16" x14ac:dyDescent="0.3">
      <c r="M2881">
        <v>2879</v>
      </c>
      <c r="N2881">
        <v>171357</v>
      </c>
      <c r="P2881">
        <v>476843</v>
      </c>
    </row>
    <row r="2882" spans="13:16" x14ac:dyDescent="0.3">
      <c r="M2882">
        <v>2880</v>
      </c>
      <c r="N2882">
        <v>137881</v>
      </c>
      <c r="P2882">
        <v>140572</v>
      </c>
    </row>
    <row r="2883" spans="13:16" x14ac:dyDescent="0.3">
      <c r="M2883">
        <v>2881</v>
      </c>
      <c r="N2883">
        <v>900931</v>
      </c>
      <c r="P2883">
        <v>677840</v>
      </c>
    </row>
    <row r="2884" spans="13:16" x14ac:dyDescent="0.3">
      <c r="M2884">
        <v>2882</v>
      </c>
      <c r="N2884">
        <v>187224</v>
      </c>
      <c r="P2884">
        <v>375397</v>
      </c>
    </row>
    <row r="2885" spans="13:16" x14ac:dyDescent="0.3">
      <c r="M2885">
        <v>2883</v>
      </c>
      <c r="N2885">
        <v>327603</v>
      </c>
      <c r="P2885">
        <v>81015</v>
      </c>
    </row>
    <row r="2886" spans="13:16" x14ac:dyDescent="0.3">
      <c r="M2886">
        <v>2884</v>
      </c>
      <c r="N2886">
        <v>442494</v>
      </c>
      <c r="P2886">
        <v>-183022</v>
      </c>
    </row>
    <row r="2887" spans="13:16" x14ac:dyDescent="0.3">
      <c r="M2887">
        <v>2885</v>
      </c>
      <c r="N2887">
        <v>-218312</v>
      </c>
      <c r="P2887">
        <v>436417</v>
      </c>
    </row>
    <row r="2888" spans="13:16" x14ac:dyDescent="0.3">
      <c r="M2888">
        <v>2886</v>
      </c>
      <c r="N2888">
        <v>804477</v>
      </c>
      <c r="P2888">
        <v>-565737</v>
      </c>
    </row>
    <row r="2889" spans="13:16" x14ac:dyDescent="0.3">
      <c r="M2889">
        <v>2887</v>
      </c>
      <c r="N2889">
        <v>-528420</v>
      </c>
      <c r="P2889">
        <v>202124</v>
      </c>
    </row>
    <row r="2890" spans="13:16" x14ac:dyDescent="0.3">
      <c r="M2890">
        <v>2888</v>
      </c>
      <c r="N2890">
        <v>428236</v>
      </c>
      <c r="P2890">
        <v>289443</v>
      </c>
    </row>
    <row r="2891" spans="13:16" x14ac:dyDescent="0.3">
      <c r="M2891">
        <v>2889</v>
      </c>
      <c r="N2891">
        <v>-772977</v>
      </c>
      <c r="P2891">
        <v>193825</v>
      </c>
    </row>
    <row r="2892" spans="13:16" x14ac:dyDescent="0.3">
      <c r="M2892">
        <v>2890</v>
      </c>
      <c r="N2892">
        <v>-363499</v>
      </c>
      <c r="P2892">
        <v>-549075</v>
      </c>
    </row>
    <row r="2893" spans="13:16" x14ac:dyDescent="0.3">
      <c r="M2893">
        <v>2891</v>
      </c>
      <c r="N2893">
        <v>-197714</v>
      </c>
      <c r="P2893">
        <v>496570</v>
      </c>
    </row>
    <row r="2894" spans="13:16" x14ac:dyDescent="0.3">
      <c r="M2894">
        <v>2892</v>
      </c>
      <c r="N2894">
        <v>-705823</v>
      </c>
      <c r="P2894">
        <v>-593007</v>
      </c>
    </row>
    <row r="2895" spans="13:16" x14ac:dyDescent="0.3">
      <c r="M2895">
        <v>2893</v>
      </c>
      <c r="N2895">
        <v>-546102</v>
      </c>
      <c r="P2895">
        <v>-416272</v>
      </c>
    </row>
    <row r="2896" spans="13:16" x14ac:dyDescent="0.3">
      <c r="M2896">
        <v>2894</v>
      </c>
      <c r="N2896">
        <v>326156</v>
      </c>
      <c r="P2896">
        <v>211228</v>
      </c>
    </row>
    <row r="2897" spans="13:16" x14ac:dyDescent="0.3">
      <c r="M2897">
        <v>2895</v>
      </c>
      <c r="N2897">
        <v>211194</v>
      </c>
      <c r="P2897">
        <v>-547057</v>
      </c>
    </row>
    <row r="2898" spans="13:16" x14ac:dyDescent="0.3">
      <c r="M2898">
        <v>2896</v>
      </c>
      <c r="N2898">
        <v>406756</v>
      </c>
      <c r="P2898">
        <v>933942</v>
      </c>
    </row>
    <row r="2899" spans="13:16" x14ac:dyDescent="0.3">
      <c r="M2899">
        <v>2897</v>
      </c>
      <c r="N2899">
        <v>-346362</v>
      </c>
      <c r="P2899">
        <v>-533565</v>
      </c>
    </row>
    <row r="2900" spans="13:16" x14ac:dyDescent="0.3">
      <c r="M2900">
        <v>2898</v>
      </c>
      <c r="N2900">
        <v>-392000</v>
      </c>
      <c r="P2900">
        <v>-554320</v>
      </c>
    </row>
    <row r="2901" spans="13:16" x14ac:dyDescent="0.3">
      <c r="M2901">
        <v>2899</v>
      </c>
      <c r="N2901">
        <v>-662384</v>
      </c>
      <c r="P2901">
        <v>433635</v>
      </c>
    </row>
    <row r="2902" spans="13:16" x14ac:dyDescent="0.3">
      <c r="M2902">
        <v>2900</v>
      </c>
      <c r="N2902">
        <v>-257503</v>
      </c>
      <c r="P2902">
        <v>744326</v>
      </c>
    </row>
    <row r="2903" spans="13:16" x14ac:dyDescent="0.3">
      <c r="M2903">
        <v>2901</v>
      </c>
      <c r="N2903">
        <v>102843</v>
      </c>
      <c r="P2903">
        <v>-405373</v>
      </c>
    </row>
    <row r="2904" spans="13:16" x14ac:dyDescent="0.3">
      <c r="M2904">
        <v>2902</v>
      </c>
      <c r="N2904">
        <v>399433</v>
      </c>
      <c r="P2904">
        <v>-469575</v>
      </c>
    </row>
    <row r="2905" spans="13:16" x14ac:dyDescent="0.3">
      <c r="M2905">
        <v>2903</v>
      </c>
      <c r="N2905">
        <v>100423</v>
      </c>
      <c r="P2905">
        <v>74315</v>
      </c>
    </row>
    <row r="2906" spans="13:16" x14ac:dyDescent="0.3">
      <c r="M2906">
        <v>2904</v>
      </c>
      <c r="N2906">
        <v>-641909</v>
      </c>
      <c r="P2906">
        <v>370795</v>
      </c>
    </row>
    <row r="2907" spans="13:16" x14ac:dyDescent="0.3">
      <c r="M2907">
        <v>2905</v>
      </c>
      <c r="N2907">
        <v>-864345</v>
      </c>
      <c r="P2907">
        <v>-410489</v>
      </c>
    </row>
    <row r="2908" spans="13:16" x14ac:dyDescent="0.3">
      <c r="M2908">
        <v>2906</v>
      </c>
      <c r="N2908">
        <v>245482</v>
      </c>
      <c r="P2908">
        <v>10634</v>
      </c>
    </row>
    <row r="2909" spans="13:16" x14ac:dyDescent="0.3">
      <c r="M2909">
        <v>2907</v>
      </c>
      <c r="N2909">
        <v>302305</v>
      </c>
      <c r="P2909">
        <v>484289</v>
      </c>
    </row>
    <row r="2910" spans="13:16" x14ac:dyDescent="0.3">
      <c r="M2910">
        <v>2908</v>
      </c>
      <c r="N2910">
        <v>-414762</v>
      </c>
      <c r="P2910">
        <v>214395</v>
      </c>
    </row>
    <row r="2911" spans="13:16" x14ac:dyDescent="0.3">
      <c r="M2911">
        <v>2909</v>
      </c>
      <c r="N2911">
        <v>-110898</v>
      </c>
      <c r="P2911">
        <v>-166325</v>
      </c>
    </row>
    <row r="2912" spans="13:16" x14ac:dyDescent="0.3">
      <c r="M2912">
        <v>2910</v>
      </c>
      <c r="N2912">
        <v>-589528</v>
      </c>
      <c r="P2912">
        <v>-18299</v>
      </c>
    </row>
    <row r="2913" spans="13:16" x14ac:dyDescent="0.3">
      <c r="M2913">
        <v>2911</v>
      </c>
      <c r="N2913">
        <v>696262</v>
      </c>
      <c r="P2913">
        <v>-144667</v>
      </c>
    </row>
    <row r="2914" spans="13:16" x14ac:dyDescent="0.3">
      <c r="M2914">
        <v>2912</v>
      </c>
      <c r="N2914">
        <v>-224472</v>
      </c>
      <c r="P2914">
        <v>531877</v>
      </c>
    </row>
    <row r="2915" spans="13:16" x14ac:dyDescent="0.3">
      <c r="M2915">
        <v>2913</v>
      </c>
      <c r="N2915">
        <v>-681722</v>
      </c>
      <c r="P2915">
        <v>337847</v>
      </c>
    </row>
    <row r="2916" spans="13:16" x14ac:dyDescent="0.3">
      <c r="M2916">
        <v>2914</v>
      </c>
      <c r="N2916">
        <v>-366984</v>
      </c>
      <c r="P2916">
        <v>-46618</v>
      </c>
    </row>
    <row r="2917" spans="13:16" x14ac:dyDescent="0.3">
      <c r="M2917">
        <v>2915</v>
      </c>
      <c r="N2917">
        <v>-127719</v>
      </c>
      <c r="P2917">
        <v>172617</v>
      </c>
    </row>
    <row r="2918" spans="13:16" x14ac:dyDescent="0.3">
      <c r="M2918">
        <v>2916</v>
      </c>
      <c r="N2918">
        <v>-586495</v>
      </c>
      <c r="P2918">
        <v>-777668</v>
      </c>
    </row>
    <row r="2919" spans="13:16" x14ac:dyDescent="0.3">
      <c r="M2919">
        <v>2917</v>
      </c>
      <c r="N2919">
        <v>-79089</v>
      </c>
      <c r="P2919">
        <v>476898</v>
      </c>
    </row>
    <row r="2920" spans="13:16" x14ac:dyDescent="0.3">
      <c r="M2920">
        <v>2918</v>
      </c>
      <c r="N2920">
        <v>-428870</v>
      </c>
      <c r="P2920">
        <v>-438626</v>
      </c>
    </row>
    <row r="2921" spans="13:16" x14ac:dyDescent="0.3">
      <c r="M2921">
        <v>2919</v>
      </c>
      <c r="N2921">
        <v>-37848</v>
      </c>
      <c r="P2921">
        <v>-33923</v>
      </c>
    </row>
    <row r="2922" spans="13:16" x14ac:dyDescent="0.3">
      <c r="M2922">
        <v>2920</v>
      </c>
      <c r="N2922">
        <v>-330314</v>
      </c>
      <c r="P2922">
        <v>386053</v>
      </c>
    </row>
    <row r="2923" spans="13:16" x14ac:dyDescent="0.3">
      <c r="M2923">
        <v>2921</v>
      </c>
      <c r="N2923">
        <v>206701</v>
      </c>
      <c r="P2923">
        <v>155080</v>
      </c>
    </row>
    <row r="2924" spans="13:16" x14ac:dyDescent="0.3">
      <c r="M2924">
        <v>2922</v>
      </c>
      <c r="N2924">
        <v>-460670</v>
      </c>
      <c r="P2924">
        <v>-199228</v>
      </c>
    </row>
    <row r="2925" spans="13:16" x14ac:dyDescent="0.3">
      <c r="M2925">
        <v>2923</v>
      </c>
      <c r="N2925">
        <v>-665647</v>
      </c>
      <c r="P2925">
        <v>-74206</v>
      </c>
    </row>
    <row r="2926" spans="13:16" x14ac:dyDescent="0.3">
      <c r="M2926">
        <v>2924</v>
      </c>
      <c r="N2926">
        <v>-374832</v>
      </c>
      <c r="P2926">
        <v>-494695</v>
      </c>
    </row>
    <row r="2927" spans="13:16" x14ac:dyDescent="0.3">
      <c r="M2927">
        <v>2925</v>
      </c>
      <c r="N2927">
        <v>286953</v>
      </c>
      <c r="P2927">
        <v>156116</v>
      </c>
    </row>
    <row r="2928" spans="13:16" x14ac:dyDescent="0.3">
      <c r="M2928">
        <v>2926</v>
      </c>
      <c r="N2928">
        <v>137776</v>
      </c>
      <c r="P2928">
        <v>-313565</v>
      </c>
    </row>
    <row r="2929" spans="13:16" x14ac:dyDescent="0.3">
      <c r="M2929">
        <v>2927</v>
      </c>
      <c r="N2929">
        <v>-674480</v>
      </c>
      <c r="P2929">
        <v>687460</v>
      </c>
    </row>
    <row r="2930" spans="13:16" x14ac:dyDescent="0.3">
      <c r="M2930">
        <v>2928</v>
      </c>
      <c r="N2930">
        <v>880759</v>
      </c>
      <c r="P2930">
        <v>524828</v>
      </c>
    </row>
    <row r="2931" spans="13:16" x14ac:dyDescent="0.3">
      <c r="M2931">
        <v>2929</v>
      </c>
      <c r="N2931">
        <v>298753</v>
      </c>
      <c r="P2931">
        <v>158581</v>
      </c>
    </row>
    <row r="2932" spans="13:16" x14ac:dyDescent="0.3">
      <c r="M2932">
        <v>2930</v>
      </c>
      <c r="N2932">
        <v>58739</v>
      </c>
      <c r="P2932">
        <v>236848</v>
      </c>
    </row>
    <row r="2933" spans="13:16" x14ac:dyDescent="0.3">
      <c r="M2933">
        <v>2931</v>
      </c>
      <c r="N2933">
        <v>-206787</v>
      </c>
      <c r="P2933">
        <v>697671</v>
      </c>
    </row>
    <row r="2934" spans="13:16" x14ac:dyDescent="0.3">
      <c r="M2934">
        <v>2932</v>
      </c>
      <c r="N2934">
        <v>-406272</v>
      </c>
      <c r="P2934">
        <v>-253748</v>
      </c>
    </row>
    <row r="2935" spans="13:16" x14ac:dyDescent="0.3">
      <c r="M2935">
        <v>2933</v>
      </c>
      <c r="N2935">
        <v>-618939</v>
      </c>
      <c r="P2935">
        <v>436930</v>
      </c>
    </row>
    <row r="2936" spans="13:16" x14ac:dyDescent="0.3">
      <c r="M2936">
        <v>2934</v>
      </c>
      <c r="N2936">
        <v>-47987</v>
      </c>
      <c r="P2936">
        <v>-893930</v>
      </c>
    </row>
    <row r="2937" spans="13:16" x14ac:dyDescent="0.3">
      <c r="M2937">
        <v>2935</v>
      </c>
      <c r="N2937">
        <v>38743</v>
      </c>
      <c r="P2937">
        <v>379749</v>
      </c>
    </row>
    <row r="2938" spans="13:16" x14ac:dyDescent="0.3">
      <c r="M2938">
        <v>2936</v>
      </c>
      <c r="N2938">
        <v>562873</v>
      </c>
      <c r="P2938">
        <v>823621</v>
      </c>
    </row>
    <row r="2939" spans="13:16" x14ac:dyDescent="0.3">
      <c r="M2939">
        <v>2937</v>
      </c>
      <c r="N2939">
        <v>148845</v>
      </c>
      <c r="P2939">
        <v>-253182</v>
      </c>
    </row>
    <row r="2940" spans="13:16" x14ac:dyDescent="0.3">
      <c r="M2940">
        <v>2938</v>
      </c>
      <c r="N2940">
        <v>61756</v>
      </c>
      <c r="P2940">
        <v>-30676</v>
      </c>
    </row>
    <row r="2941" spans="13:16" x14ac:dyDescent="0.3">
      <c r="M2941">
        <v>2939</v>
      </c>
      <c r="N2941">
        <v>580054</v>
      </c>
      <c r="P2941">
        <v>-43372</v>
      </c>
    </row>
    <row r="2942" spans="13:16" x14ac:dyDescent="0.3">
      <c r="M2942">
        <v>2940</v>
      </c>
      <c r="N2942">
        <v>-175544</v>
      </c>
      <c r="P2942">
        <v>155760</v>
      </c>
    </row>
    <row r="2943" spans="13:16" x14ac:dyDescent="0.3">
      <c r="M2943">
        <v>2941</v>
      </c>
      <c r="N2943">
        <v>34141</v>
      </c>
      <c r="P2943">
        <v>-554188</v>
      </c>
    </row>
    <row r="2944" spans="13:16" x14ac:dyDescent="0.3">
      <c r="M2944">
        <v>2942</v>
      </c>
      <c r="N2944">
        <v>103959</v>
      </c>
      <c r="P2944">
        <v>-267376</v>
      </c>
    </row>
    <row r="2945" spans="13:16" x14ac:dyDescent="0.3">
      <c r="M2945">
        <v>2943</v>
      </c>
      <c r="N2945">
        <v>572929</v>
      </c>
      <c r="P2945">
        <v>120442</v>
      </c>
    </row>
    <row r="2946" spans="13:16" x14ac:dyDescent="0.3">
      <c r="M2946">
        <v>2944</v>
      </c>
      <c r="N2946">
        <v>507679</v>
      </c>
      <c r="P2946">
        <v>-398788</v>
      </c>
    </row>
    <row r="2947" spans="13:16" x14ac:dyDescent="0.3">
      <c r="M2947">
        <v>2945</v>
      </c>
      <c r="N2947">
        <v>616013</v>
      </c>
      <c r="P2947">
        <v>-707227</v>
      </c>
    </row>
    <row r="2948" spans="13:16" x14ac:dyDescent="0.3">
      <c r="M2948">
        <v>2946</v>
      </c>
      <c r="N2948">
        <v>404241</v>
      </c>
      <c r="P2948">
        <v>-322821</v>
      </c>
    </row>
    <row r="2949" spans="13:16" x14ac:dyDescent="0.3">
      <c r="M2949">
        <v>2947</v>
      </c>
      <c r="N2949">
        <v>636199</v>
      </c>
      <c r="P2949">
        <v>-861231</v>
      </c>
    </row>
    <row r="2950" spans="13:16" x14ac:dyDescent="0.3">
      <c r="M2950">
        <v>2948</v>
      </c>
      <c r="N2950">
        <v>217750</v>
      </c>
      <c r="P2950">
        <v>-573229</v>
      </c>
    </row>
    <row r="2951" spans="13:16" x14ac:dyDescent="0.3">
      <c r="M2951">
        <v>2949</v>
      </c>
      <c r="N2951">
        <v>-110845</v>
      </c>
      <c r="P2951">
        <v>376004</v>
      </c>
    </row>
    <row r="2952" spans="13:16" x14ac:dyDescent="0.3">
      <c r="M2952">
        <v>2950</v>
      </c>
      <c r="N2952">
        <v>-836242</v>
      </c>
      <c r="P2952">
        <v>600144</v>
      </c>
    </row>
    <row r="2953" spans="13:16" x14ac:dyDescent="0.3">
      <c r="M2953">
        <v>2951</v>
      </c>
      <c r="N2953">
        <v>-561725</v>
      </c>
      <c r="P2953">
        <v>331990</v>
      </c>
    </row>
    <row r="2954" spans="13:16" x14ac:dyDescent="0.3">
      <c r="M2954">
        <v>2952</v>
      </c>
      <c r="N2954">
        <v>445525</v>
      </c>
      <c r="P2954">
        <v>137851</v>
      </c>
    </row>
    <row r="2955" spans="13:16" x14ac:dyDescent="0.3">
      <c r="M2955">
        <v>2953</v>
      </c>
      <c r="N2955">
        <v>-475983</v>
      </c>
      <c r="P2955">
        <v>-666639</v>
      </c>
    </row>
    <row r="2956" spans="13:16" x14ac:dyDescent="0.3">
      <c r="M2956">
        <v>2954</v>
      </c>
      <c r="N2956">
        <v>-99344</v>
      </c>
      <c r="P2956">
        <v>-294596</v>
      </c>
    </row>
    <row r="2957" spans="13:16" x14ac:dyDescent="0.3">
      <c r="M2957">
        <v>2955</v>
      </c>
      <c r="N2957">
        <v>508417</v>
      </c>
      <c r="P2957">
        <v>3523</v>
      </c>
    </row>
    <row r="2958" spans="13:16" x14ac:dyDescent="0.3">
      <c r="M2958">
        <v>2956</v>
      </c>
      <c r="N2958">
        <v>-309294</v>
      </c>
      <c r="P2958">
        <v>-406640</v>
      </c>
    </row>
    <row r="2959" spans="13:16" x14ac:dyDescent="0.3">
      <c r="M2959">
        <v>2957</v>
      </c>
      <c r="N2959">
        <v>-156212</v>
      </c>
      <c r="P2959">
        <v>-214535</v>
      </c>
    </row>
    <row r="2960" spans="13:16" x14ac:dyDescent="0.3">
      <c r="M2960">
        <v>2958</v>
      </c>
      <c r="N2960">
        <v>85853</v>
      </c>
      <c r="P2960">
        <v>88502</v>
      </c>
    </row>
    <row r="2961" spans="13:16" x14ac:dyDescent="0.3">
      <c r="M2961">
        <v>2959</v>
      </c>
      <c r="N2961">
        <v>452582</v>
      </c>
      <c r="P2961">
        <v>-430278</v>
      </c>
    </row>
    <row r="2962" spans="13:16" x14ac:dyDescent="0.3">
      <c r="M2962">
        <v>2960</v>
      </c>
      <c r="N2962">
        <v>636896</v>
      </c>
      <c r="P2962">
        <v>-821802</v>
      </c>
    </row>
    <row r="2963" spans="13:16" x14ac:dyDescent="0.3">
      <c r="M2963">
        <v>2961</v>
      </c>
      <c r="N2963">
        <v>737514</v>
      </c>
      <c r="P2963">
        <v>135317</v>
      </c>
    </row>
    <row r="2964" spans="13:16" x14ac:dyDescent="0.3">
      <c r="M2964">
        <v>2962</v>
      </c>
      <c r="N2964">
        <v>743715</v>
      </c>
      <c r="P2964">
        <v>-127845</v>
      </c>
    </row>
    <row r="2965" spans="13:16" x14ac:dyDescent="0.3">
      <c r="M2965">
        <v>2963</v>
      </c>
      <c r="N2965">
        <v>646990</v>
      </c>
      <c r="P2965">
        <v>-302726</v>
      </c>
    </row>
    <row r="2966" spans="13:16" x14ac:dyDescent="0.3">
      <c r="M2966">
        <v>2964</v>
      </c>
      <c r="N2966">
        <v>-165704</v>
      </c>
      <c r="P2966">
        <v>677588</v>
      </c>
    </row>
    <row r="2967" spans="13:16" x14ac:dyDescent="0.3">
      <c r="M2967">
        <v>2965</v>
      </c>
      <c r="N2967">
        <v>-765831</v>
      </c>
      <c r="P2967">
        <v>-213094</v>
      </c>
    </row>
    <row r="2968" spans="13:16" x14ac:dyDescent="0.3">
      <c r="M2968">
        <v>2966</v>
      </c>
      <c r="N2968">
        <v>356937</v>
      </c>
      <c r="P2968">
        <v>-82817</v>
      </c>
    </row>
    <row r="2969" spans="13:16" x14ac:dyDescent="0.3">
      <c r="M2969">
        <v>2967</v>
      </c>
      <c r="N2969">
        <v>-667726</v>
      </c>
      <c r="P2969">
        <v>321122</v>
      </c>
    </row>
    <row r="2970" spans="13:16" x14ac:dyDescent="0.3">
      <c r="M2970">
        <v>2968</v>
      </c>
      <c r="N2970">
        <v>-145049</v>
      </c>
      <c r="P2970">
        <v>-356353</v>
      </c>
    </row>
    <row r="2971" spans="13:16" x14ac:dyDescent="0.3">
      <c r="M2971">
        <v>2969</v>
      </c>
      <c r="N2971">
        <v>-111040</v>
      </c>
      <c r="P2971">
        <v>760417</v>
      </c>
    </row>
    <row r="2972" spans="13:16" x14ac:dyDescent="0.3">
      <c r="M2972">
        <v>2970</v>
      </c>
      <c r="N2972">
        <v>-430367</v>
      </c>
      <c r="P2972">
        <v>-408135</v>
      </c>
    </row>
    <row r="2973" spans="13:16" x14ac:dyDescent="0.3">
      <c r="M2973">
        <v>2971</v>
      </c>
      <c r="N2973">
        <v>813110</v>
      </c>
      <c r="P2973">
        <v>5075</v>
      </c>
    </row>
    <row r="2974" spans="13:16" x14ac:dyDescent="0.3">
      <c r="M2974">
        <v>2972</v>
      </c>
      <c r="N2974">
        <v>-239392</v>
      </c>
      <c r="P2974">
        <v>-318499</v>
      </c>
    </row>
    <row r="2975" spans="13:16" x14ac:dyDescent="0.3">
      <c r="M2975">
        <v>2973</v>
      </c>
      <c r="N2975">
        <v>-48796</v>
      </c>
      <c r="P2975">
        <v>215128</v>
      </c>
    </row>
    <row r="2976" spans="13:16" x14ac:dyDescent="0.3">
      <c r="M2976">
        <v>2974</v>
      </c>
      <c r="N2976">
        <v>-82019</v>
      </c>
      <c r="P2976">
        <v>-689130</v>
      </c>
    </row>
    <row r="2977" spans="13:16" x14ac:dyDescent="0.3">
      <c r="M2977">
        <v>2975</v>
      </c>
      <c r="N2977">
        <v>-395375</v>
      </c>
      <c r="P2977">
        <v>134866</v>
      </c>
    </row>
    <row r="2978" spans="13:16" x14ac:dyDescent="0.3">
      <c r="M2978">
        <v>2976</v>
      </c>
      <c r="N2978">
        <v>-497602</v>
      </c>
      <c r="P2978">
        <v>-876684</v>
      </c>
    </row>
    <row r="2979" spans="13:16" x14ac:dyDescent="0.3">
      <c r="M2979">
        <v>2977</v>
      </c>
      <c r="N2979">
        <v>-61612</v>
      </c>
      <c r="P2979">
        <v>627791</v>
      </c>
    </row>
    <row r="2980" spans="13:16" x14ac:dyDescent="0.3">
      <c r="M2980">
        <v>2978</v>
      </c>
      <c r="N2980">
        <v>58547</v>
      </c>
      <c r="P2980">
        <v>42635</v>
      </c>
    </row>
    <row r="2981" spans="13:16" x14ac:dyDescent="0.3">
      <c r="M2981">
        <v>2979</v>
      </c>
      <c r="N2981">
        <v>-49902</v>
      </c>
      <c r="P2981">
        <v>460491</v>
      </c>
    </row>
    <row r="2982" spans="13:16" x14ac:dyDescent="0.3">
      <c r="M2982">
        <v>2980</v>
      </c>
      <c r="N2982">
        <v>-557806</v>
      </c>
      <c r="P2982">
        <v>-484062</v>
      </c>
    </row>
    <row r="2983" spans="13:16" x14ac:dyDescent="0.3">
      <c r="M2983">
        <v>2981</v>
      </c>
      <c r="N2983">
        <v>551620</v>
      </c>
      <c r="P2983">
        <v>598355</v>
      </c>
    </row>
    <row r="2984" spans="13:16" x14ac:dyDescent="0.3">
      <c r="M2984">
        <v>2982</v>
      </c>
      <c r="N2984">
        <v>-431812</v>
      </c>
      <c r="P2984">
        <v>-391558</v>
      </c>
    </row>
    <row r="2985" spans="13:16" x14ac:dyDescent="0.3">
      <c r="M2985">
        <v>2983</v>
      </c>
      <c r="N2985">
        <v>-9447</v>
      </c>
      <c r="P2985">
        <v>-380809</v>
      </c>
    </row>
    <row r="2986" spans="13:16" x14ac:dyDescent="0.3">
      <c r="M2986">
        <v>2984</v>
      </c>
      <c r="N2986">
        <v>222400</v>
      </c>
      <c r="P2986">
        <v>-82401</v>
      </c>
    </row>
    <row r="2987" spans="13:16" x14ac:dyDescent="0.3">
      <c r="M2987">
        <v>2985</v>
      </c>
      <c r="N2987">
        <v>-310631</v>
      </c>
      <c r="P2987">
        <v>-553561</v>
      </c>
    </row>
    <row r="2988" spans="13:16" x14ac:dyDescent="0.3">
      <c r="M2988">
        <v>2986</v>
      </c>
      <c r="N2988">
        <v>647586</v>
      </c>
      <c r="P2988">
        <v>728396</v>
      </c>
    </row>
    <row r="2989" spans="13:16" x14ac:dyDescent="0.3">
      <c r="M2989">
        <v>2987</v>
      </c>
      <c r="N2989">
        <v>-189281</v>
      </c>
      <c r="P2989">
        <v>-725033</v>
      </c>
    </row>
    <row r="2990" spans="13:16" x14ac:dyDescent="0.3">
      <c r="M2990">
        <v>2988</v>
      </c>
      <c r="N2990">
        <v>14077</v>
      </c>
      <c r="P2990">
        <v>308767</v>
      </c>
    </row>
    <row r="2991" spans="13:16" x14ac:dyDescent="0.3">
      <c r="M2991">
        <v>2989</v>
      </c>
      <c r="N2991">
        <v>811129</v>
      </c>
      <c r="P2991">
        <v>298734</v>
      </c>
    </row>
    <row r="2992" spans="13:16" x14ac:dyDescent="0.3">
      <c r="M2992">
        <v>2990</v>
      </c>
      <c r="N2992">
        <v>-166628</v>
      </c>
      <c r="P2992">
        <v>353180</v>
      </c>
    </row>
    <row r="2993" spans="13:16" x14ac:dyDescent="0.3">
      <c r="M2993">
        <v>2991</v>
      </c>
      <c r="N2993">
        <v>580039</v>
      </c>
      <c r="P2993">
        <v>-180700</v>
      </c>
    </row>
    <row r="2994" spans="13:16" x14ac:dyDescent="0.3">
      <c r="M2994">
        <v>2992</v>
      </c>
      <c r="N2994">
        <v>105102</v>
      </c>
      <c r="P2994">
        <v>347328</v>
      </c>
    </row>
    <row r="2995" spans="13:16" x14ac:dyDescent="0.3">
      <c r="M2995">
        <v>2993</v>
      </c>
      <c r="N2995">
        <v>-366704</v>
      </c>
      <c r="P2995">
        <v>-623465</v>
      </c>
    </row>
    <row r="2996" spans="13:16" x14ac:dyDescent="0.3">
      <c r="M2996">
        <v>2994</v>
      </c>
      <c r="N2996">
        <v>-767711</v>
      </c>
      <c r="P2996">
        <v>-227416</v>
      </c>
    </row>
    <row r="2997" spans="13:16" x14ac:dyDescent="0.3">
      <c r="M2997">
        <v>2995</v>
      </c>
      <c r="N2997">
        <v>-524114</v>
      </c>
      <c r="P2997">
        <v>-471699</v>
      </c>
    </row>
    <row r="2998" spans="13:16" x14ac:dyDescent="0.3">
      <c r="M2998">
        <v>2996</v>
      </c>
      <c r="N2998">
        <v>-67094</v>
      </c>
      <c r="P2998">
        <v>-201131</v>
      </c>
    </row>
    <row r="2999" spans="13:16" x14ac:dyDescent="0.3">
      <c r="M2999">
        <v>2997</v>
      </c>
      <c r="N2999">
        <v>-236162</v>
      </c>
      <c r="P2999">
        <v>630385</v>
      </c>
    </row>
    <row r="3000" spans="13:16" x14ac:dyDescent="0.3">
      <c r="M3000">
        <v>2998</v>
      </c>
      <c r="N3000">
        <v>-43670</v>
      </c>
      <c r="P3000">
        <v>532211</v>
      </c>
    </row>
    <row r="3001" spans="13:16" x14ac:dyDescent="0.3">
      <c r="M3001">
        <v>2999</v>
      </c>
      <c r="N3001">
        <v>-499549</v>
      </c>
      <c r="P3001">
        <v>378065</v>
      </c>
    </row>
    <row r="3002" spans="13:16" x14ac:dyDescent="0.3">
      <c r="M3002">
        <v>3000</v>
      </c>
      <c r="N3002">
        <v>-608426</v>
      </c>
      <c r="P3002">
        <v>-561311</v>
      </c>
    </row>
    <row r="3003" spans="13:16" x14ac:dyDescent="0.3">
      <c r="M3003">
        <v>3001</v>
      </c>
      <c r="N3003">
        <v>-298228</v>
      </c>
      <c r="P3003">
        <v>-249570</v>
      </c>
    </row>
    <row r="3004" spans="13:16" x14ac:dyDescent="0.3">
      <c r="M3004">
        <v>3002</v>
      </c>
      <c r="N3004">
        <v>-559848</v>
      </c>
      <c r="P3004">
        <v>56635</v>
      </c>
    </row>
    <row r="3005" spans="13:16" x14ac:dyDescent="0.3">
      <c r="M3005">
        <v>3003</v>
      </c>
      <c r="N3005">
        <v>-158537</v>
      </c>
      <c r="P3005">
        <v>-224546</v>
      </c>
    </row>
    <row r="3006" spans="13:16" x14ac:dyDescent="0.3">
      <c r="M3006">
        <v>3004</v>
      </c>
      <c r="N3006">
        <v>-4036</v>
      </c>
      <c r="P3006">
        <v>62336</v>
      </c>
    </row>
    <row r="3007" spans="13:16" x14ac:dyDescent="0.3">
      <c r="M3007">
        <v>3005</v>
      </c>
      <c r="N3007">
        <v>-561111</v>
      </c>
      <c r="P3007">
        <v>-603432</v>
      </c>
    </row>
    <row r="3008" spans="13:16" x14ac:dyDescent="0.3">
      <c r="M3008">
        <v>3006</v>
      </c>
      <c r="N3008">
        <v>264581</v>
      </c>
      <c r="P3008">
        <v>-875284</v>
      </c>
    </row>
    <row r="3009" spans="13:16" x14ac:dyDescent="0.3">
      <c r="M3009">
        <v>3007</v>
      </c>
      <c r="N3009">
        <v>504640</v>
      </c>
      <c r="P3009">
        <v>225679</v>
      </c>
    </row>
    <row r="3010" spans="13:16" x14ac:dyDescent="0.3">
      <c r="M3010">
        <v>3008</v>
      </c>
      <c r="N3010">
        <v>-59234</v>
      </c>
      <c r="P3010">
        <v>76895</v>
      </c>
    </row>
    <row r="3011" spans="13:16" x14ac:dyDescent="0.3">
      <c r="M3011">
        <v>3009</v>
      </c>
      <c r="N3011">
        <v>-591236</v>
      </c>
      <c r="P3011">
        <v>483147</v>
      </c>
    </row>
    <row r="3012" spans="13:16" x14ac:dyDescent="0.3">
      <c r="M3012">
        <v>3010</v>
      </c>
      <c r="N3012">
        <v>-366826</v>
      </c>
      <c r="P3012">
        <v>505440</v>
      </c>
    </row>
    <row r="3013" spans="13:16" x14ac:dyDescent="0.3">
      <c r="M3013">
        <v>3011</v>
      </c>
      <c r="N3013">
        <v>98667</v>
      </c>
      <c r="P3013">
        <v>-648911</v>
      </c>
    </row>
    <row r="3014" spans="13:16" x14ac:dyDescent="0.3">
      <c r="M3014">
        <v>3012</v>
      </c>
      <c r="N3014">
        <v>-591894</v>
      </c>
      <c r="P3014">
        <v>-437573</v>
      </c>
    </row>
    <row r="3015" spans="13:16" x14ac:dyDescent="0.3">
      <c r="M3015">
        <v>3013</v>
      </c>
      <c r="N3015">
        <v>-625239</v>
      </c>
      <c r="P3015">
        <v>-16353</v>
      </c>
    </row>
    <row r="3016" spans="13:16" x14ac:dyDescent="0.3">
      <c r="M3016">
        <v>3014</v>
      </c>
      <c r="N3016">
        <v>-362786</v>
      </c>
      <c r="P3016">
        <v>-671670</v>
      </c>
    </row>
    <row r="3017" spans="13:16" x14ac:dyDescent="0.3">
      <c r="M3017">
        <v>3015</v>
      </c>
      <c r="N3017">
        <v>-612250</v>
      </c>
      <c r="P3017">
        <v>-720319</v>
      </c>
    </row>
    <row r="3018" spans="13:16" x14ac:dyDescent="0.3">
      <c r="M3018">
        <v>3016</v>
      </c>
      <c r="N3018">
        <v>-670267</v>
      </c>
      <c r="P3018">
        <v>-7132</v>
      </c>
    </row>
    <row r="3019" spans="13:16" x14ac:dyDescent="0.3">
      <c r="M3019">
        <v>3017</v>
      </c>
      <c r="N3019">
        <v>348048</v>
      </c>
      <c r="P3019">
        <v>-85833</v>
      </c>
    </row>
    <row r="3020" spans="13:16" x14ac:dyDescent="0.3">
      <c r="M3020">
        <v>3018</v>
      </c>
      <c r="N3020">
        <v>-618233</v>
      </c>
      <c r="P3020">
        <v>-110434</v>
      </c>
    </row>
    <row r="3021" spans="13:16" x14ac:dyDescent="0.3">
      <c r="M3021">
        <v>3019</v>
      </c>
      <c r="N3021">
        <v>135378</v>
      </c>
      <c r="P3021">
        <v>-411416</v>
      </c>
    </row>
    <row r="3022" spans="13:16" x14ac:dyDescent="0.3">
      <c r="M3022">
        <v>3020</v>
      </c>
      <c r="N3022">
        <v>-510016</v>
      </c>
      <c r="P3022">
        <v>-412389</v>
      </c>
    </row>
    <row r="3023" spans="13:16" x14ac:dyDescent="0.3">
      <c r="M3023">
        <v>3021</v>
      </c>
      <c r="N3023">
        <v>-327779</v>
      </c>
      <c r="P3023">
        <v>-274110</v>
      </c>
    </row>
    <row r="3024" spans="13:16" x14ac:dyDescent="0.3">
      <c r="M3024">
        <v>3022</v>
      </c>
      <c r="N3024">
        <v>-747442</v>
      </c>
      <c r="P3024">
        <v>-23896</v>
      </c>
    </row>
    <row r="3025" spans="13:16" x14ac:dyDescent="0.3">
      <c r="M3025">
        <v>3023</v>
      </c>
      <c r="N3025">
        <v>-132319</v>
      </c>
      <c r="P3025">
        <v>-673158</v>
      </c>
    </row>
    <row r="3026" spans="13:16" x14ac:dyDescent="0.3">
      <c r="M3026">
        <v>3024</v>
      </c>
      <c r="N3026">
        <v>394285</v>
      </c>
      <c r="P3026">
        <v>-772210</v>
      </c>
    </row>
    <row r="3027" spans="13:16" x14ac:dyDescent="0.3">
      <c r="M3027">
        <v>3025</v>
      </c>
      <c r="N3027">
        <v>76262</v>
      </c>
      <c r="P3027">
        <v>-377551</v>
      </c>
    </row>
    <row r="3028" spans="13:16" x14ac:dyDescent="0.3">
      <c r="M3028">
        <v>3026</v>
      </c>
      <c r="N3028">
        <v>-560787</v>
      </c>
      <c r="P3028">
        <v>-366965</v>
      </c>
    </row>
    <row r="3029" spans="13:16" x14ac:dyDescent="0.3">
      <c r="M3029">
        <v>3027</v>
      </c>
      <c r="N3029">
        <v>566253</v>
      </c>
      <c r="P3029">
        <v>-78533</v>
      </c>
    </row>
    <row r="3030" spans="13:16" x14ac:dyDescent="0.3">
      <c r="M3030">
        <v>3028</v>
      </c>
      <c r="N3030">
        <v>-468117</v>
      </c>
      <c r="P3030">
        <v>59981</v>
      </c>
    </row>
    <row r="3031" spans="13:16" x14ac:dyDescent="0.3">
      <c r="M3031">
        <v>3029</v>
      </c>
      <c r="N3031">
        <v>127878</v>
      </c>
      <c r="P3031">
        <v>911430</v>
      </c>
    </row>
    <row r="3032" spans="13:16" x14ac:dyDescent="0.3">
      <c r="M3032">
        <v>3030</v>
      </c>
      <c r="N3032">
        <v>716417</v>
      </c>
      <c r="P3032">
        <v>-43943</v>
      </c>
    </row>
    <row r="3033" spans="13:16" x14ac:dyDescent="0.3">
      <c r="M3033">
        <v>3031</v>
      </c>
      <c r="N3033">
        <v>-275485</v>
      </c>
      <c r="P3033">
        <v>440473</v>
      </c>
    </row>
    <row r="3034" spans="13:16" x14ac:dyDescent="0.3">
      <c r="M3034">
        <v>3032</v>
      </c>
      <c r="N3034">
        <v>235046</v>
      </c>
      <c r="P3034">
        <v>109036</v>
      </c>
    </row>
    <row r="3035" spans="13:16" x14ac:dyDescent="0.3">
      <c r="M3035">
        <v>3033</v>
      </c>
      <c r="N3035">
        <v>516604</v>
      </c>
      <c r="P3035">
        <v>302663</v>
      </c>
    </row>
    <row r="3036" spans="13:16" x14ac:dyDescent="0.3">
      <c r="M3036">
        <v>3034</v>
      </c>
      <c r="N3036">
        <v>-331755</v>
      </c>
      <c r="P3036">
        <v>-477113</v>
      </c>
    </row>
    <row r="3037" spans="13:16" x14ac:dyDescent="0.3">
      <c r="M3037">
        <v>3035</v>
      </c>
      <c r="N3037">
        <v>-750320</v>
      </c>
      <c r="P3037">
        <v>-121400</v>
      </c>
    </row>
    <row r="3038" spans="13:16" x14ac:dyDescent="0.3">
      <c r="M3038">
        <v>3036</v>
      </c>
      <c r="N3038">
        <v>301738</v>
      </c>
      <c r="P3038">
        <v>720188</v>
      </c>
    </row>
    <row r="3039" spans="13:16" x14ac:dyDescent="0.3">
      <c r="M3039">
        <v>3037</v>
      </c>
      <c r="N3039">
        <v>-483831</v>
      </c>
      <c r="P3039">
        <v>-109494</v>
      </c>
    </row>
    <row r="3040" spans="13:16" x14ac:dyDescent="0.3">
      <c r="M3040">
        <v>3038</v>
      </c>
      <c r="N3040">
        <v>-318066</v>
      </c>
      <c r="P3040">
        <v>-387234</v>
      </c>
    </row>
    <row r="3041" spans="13:16" x14ac:dyDescent="0.3">
      <c r="M3041">
        <v>3039</v>
      </c>
      <c r="N3041">
        <v>-356967</v>
      </c>
      <c r="P3041">
        <v>-326189</v>
      </c>
    </row>
    <row r="3042" spans="13:16" x14ac:dyDescent="0.3">
      <c r="M3042">
        <v>3040</v>
      </c>
      <c r="N3042">
        <v>263632</v>
      </c>
      <c r="P3042">
        <v>-37213</v>
      </c>
    </row>
    <row r="3043" spans="13:16" x14ac:dyDescent="0.3">
      <c r="M3043">
        <v>3041</v>
      </c>
      <c r="N3043">
        <v>-353258</v>
      </c>
      <c r="P3043">
        <v>94476</v>
      </c>
    </row>
    <row r="3044" spans="13:16" x14ac:dyDescent="0.3">
      <c r="M3044">
        <v>3042</v>
      </c>
      <c r="N3044">
        <v>-105183</v>
      </c>
      <c r="P3044">
        <v>634868</v>
      </c>
    </row>
    <row r="3045" spans="13:16" x14ac:dyDescent="0.3">
      <c r="M3045">
        <v>3043</v>
      </c>
      <c r="N3045">
        <v>-344695</v>
      </c>
      <c r="P3045">
        <v>167772</v>
      </c>
    </row>
    <row r="3046" spans="13:16" x14ac:dyDescent="0.3">
      <c r="M3046">
        <v>3044</v>
      </c>
      <c r="N3046">
        <v>160475</v>
      </c>
      <c r="P3046">
        <v>-595165</v>
      </c>
    </row>
    <row r="3047" spans="13:16" x14ac:dyDescent="0.3">
      <c r="M3047">
        <v>3045</v>
      </c>
      <c r="N3047">
        <v>-91637</v>
      </c>
      <c r="P3047">
        <v>241663</v>
      </c>
    </row>
    <row r="3048" spans="13:16" x14ac:dyDescent="0.3">
      <c r="M3048">
        <v>3046</v>
      </c>
      <c r="N3048">
        <v>-628677</v>
      </c>
      <c r="P3048">
        <v>-148813</v>
      </c>
    </row>
    <row r="3049" spans="13:16" x14ac:dyDescent="0.3">
      <c r="M3049">
        <v>3047</v>
      </c>
      <c r="N3049">
        <v>-357223</v>
      </c>
      <c r="P3049">
        <v>91179</v>
      </c>
    </row>
    <row r="3050" spans="13:16" x14ac:dyDescent="0.3">
      <c r="M3050">
        <v>3048</v>
      </c>
      <c r="N3050">
        <v>-130435</v>
      </c>
      <c r="P3050">
        <v>-517426</v>
      </c>
    </row>
    <row r="3051" spans="13:16" x14ac:dyDescent="0.3">
      <c r="M3051">
        <v>3049</v>
      </c>
      <c r="N3051">
        <v>-406203</v>
      </c>
      <c r="P3051">
        <v>689223</v>
      </c>
    </row>
    <row r="3052" spans="13:16" x14ac:dyDescent="0.3">
      <c r="M3052">
        <v>3050</v>
      </c>
      <c r="N3052">
        <v>648865</v>
      </c>
      <c r="P3052">
        <v>154220</v>
      </c>
    </row>
    <row r="3053" spans="13:16" x14ac:dyDescent="0.3">
      <c r="M3053">
        <v>3051</v>
      </c>
      <c r="N3053">
        <v>-309858</v>
      </c>
      <c r="P3053">
        <v>-394105</v>
      </c>
    </row>
    <row r="3054" spans="13:16" x14ac:dyDescent="0.3">
      <c r="M3054">
        <v>3052</v>
      </c>
      <c r="N3054">
        <v>476405</v>
      </c>
      <c r="P3054">
        <v>486217</v>
      </c>
    </row>
    <row r="3055" spans="13:16" x14ac:dyDescent="0.3">
      <c r="M3055">
        <v>3053</v>
      </c>
      <c r="N3055">
        <v>-186672</v>
      </c>
      <c r="P3055">
        <v>-87821</v>
      </c>
    </row>
    <row r="3056" spans="13:16" x14ac:dyDescent="0.3">
      <c r="M3056">
        <v>3054</v>
      </c>
      <c r="N3056">
        <v>-4733</v>
      </c>
      <c r="P3056">
        <v>-208046</v>
      </c>
    </row>
    <row r="3057" spans="13:16" x14ac:dyDescent="0.3">
      <c r="M3057">
        <v>3055</v>
      </c>
      <c r="N3057">
        <v>-9048</v>
      </c>
      <c r="P3057">
        <v>316803</v>
      </c>
    </row>
    <row r="3058" spans="13:16" x14ac:dyDescent="0.3">
      <c r="M3058">
        <v>3056</v>
      </c>
      <c r="N3058">
        <v>-499103</v>
      </c>
      <c r="P3058">
        <v>36730</v>
      </c>
    </row>
    <row r="3059" spans="13:16" x14ac:dyDescent="0.3">
      <c r="M3059">
        <v>3057</v>
      </c>
      <c r="N3059">
        <v>-231390</v>
      </c>
      <c r="P3059">
        <v>-108558</v>
      </c>
    </row>
    <row r="3060" spans="13:16" x14ac:dyDescent="0.3">
      <c r="M3060">
        <v>3058</v>
      </c>
      <c r="N3060">
        <v>226873</v>
      </c>
      <c r="P3060">
        <v>31044</v>
      </c>
    </row>
    <row r="3061" spans="13:16" x14ac:dyDescent="0.3">
      <c r="M3061">
        <v>3059</v>
      </c>
      <c r="N3061">
        <v>-488379</v>
      </c>
      <c r="P3061">
        <v>-227744</v>
      </c>
    </row>
    <row r="3062" spans="13:16" x14ac:dyDescent="0.3">
      <c r="M3062">
        <v>3060</v>
      </c>
      <c r="N3062">
        <v>-130207</v>
      </c>
      <c r="P3062">
        <v>-176398</v>
      </c>
    </row>
    <row r="3063" spans="13:16" x14ac:dyDescent="0.3">
      <c r="M3063">
        <v>3061</v>
      </c>
      <c r="N3063">
        <v>-520291</v>
      </c>
      <c r="P3063">
        <v>587261</v>
      </c>
    </row>
    <row r="3064" spans="13:16" x14ac:dyDescent="0.3">
      <c r="M3064">
        <v>3062</v>
      </c>
      <c r="N3064">
        <v>141042</v>
      </c>
      <c r="P3064">
        <v>323005</v>
      </c>
    </row>
    <row r="3065" spans="13:16" x14ac:dyDescent="0.3">
      <c r="M3065">
        <v>3063</v>
      </c>
      <c r="N3065">
        <v>-71837</v>
      </c>
      <c r="P3065">
        <v>370776</v>
      </c>
    </row>
    <row r="3066" spans="13:16" x14ac:dyDescent="0.3">
      <c r="M3066">
        <v>3064</v>
      </c>
      <c r="N3066">
        <v>-572419</v>
      </c>
      <c r="P3066">
        <v>269412</v>
      </c>
    </row>
    <row r="3067" spans="13:16" x14ac:dyDescent="0.3">
      <c r="M3067">
        <v>3065</v>
      </c>
      <c r="N3067">
        <v>511122</v>
      </c>
      <c r="P3067">
        <v>90080</v>
      </c>
    </row>
    <row r="3068" spans="13:16" x14ac:dyDescent="0.3">
      <c r="M3068">
        <v>3066</v>
      </c>
      <c r="N3068">
        <v>458066</v>
      </c>
      <c r="P3068">
        <v>402414</v>
      </c>
    </row>
    <row r="3069" spans="13:16" x14ac:dyDescent="0.3">
      <c r="M3069">
        <v>3067</v>
      </c>
      <c r="N3069">
        <v>-811605</v>
      </c>
      <c r="P3069">
        <v>-29450</v>
      </c>
    </row>
    <row r="3070" spans="13:16" x14ac:dyDescent="0.3">
      <c r="M3070">
        <v>3068</v>
      </c>
      <c r="N3070">
        <v>4152</v>
      </c>
      <c r="P3070">
        <v>-30119</v>
      </c>
    </row>
    <row r="3071" spans="13:16" x14ac:dyDescent="0.3">
      <c r="M3071">
        <v>3069</v>
      </c>
      <c r="N3071">
        <v>-240293</v>
      </c>
      <c r="P3071">
        <v>467179</v>
      </c>
    </row>
    <row r="3072" spans="13:16" x14ac:dyDescent="0.3">
      <c r="M3072">
        <v>3070</v>
      </c>
      <c r="N3072">
        <v>-277199</v>
      </c>
      <c r="P3072">
        <v>-220951</v>
      </c>
    </row>
    <row r="3073" spans="13:16" x14ac:dyDescent="0.3">
      <c r="M3073">
        <v>3071</v>
      </c>
      <c r="N3073">
        <v>279943</v>
      </c>
      <c r="P3073">
        <v>-551652</v>
      </c>
    </row>
    <row r="3074" spans="13:16" x14ac:dyDescent="0.3">
      <c r="M3074">
        <v>3072</v>
      </c>
      <c r="N3074">
        <v>235774</v>
      </c>
      <c r="P3074">
        <v>-497513</v>
      </c>
    </row>
    <row r="3075" spans="13:16" x14ac:dyDescent="0.3">
      <c r="M3075">
        <v>3073</v>
      </c>
      <c r="N3075">
        <v>764498</v>
      </c>
      <c r="P3075">
        <v>278661</v>
      </c>
    </row>
    <row r="3076" spans="13:16" x14ac:dyDescent="0.3">
      <c r="M3076">
        <v>3074</v>
      </c>
      <c r="N3076">
        <v>814615</v>
      </c>
      <c r="P3076">
        <v>-516737</v>
      </c>
    </row>
    <row r="3077" spans="13:16" x14ac:dyDescent="0.3">
      <c r="M3077">
        <v>3075</v>
      </c>
      <c r="N3077">
        <v>491301</v>
      </c>
      <c r="P3077">
        <v>-67402</v>
      </c>
    </row>
    <row r="3078" spans="13:16" x14ac:dyDescent="0.3">
      <c r="M3078">
        <v>3076</v>
      </c>
      <c r="N3078">
        <v>-177676</v>
      </c>
      <c r="P3078">
        <v>708551</v>
      </c>
    </row>
    <row r="3079" spans="13:16" x14ac:dyDescent="0.3">
      <c r="M3079">
        <v>3077</v>
      </c>
      <c r="N3079">
        <v>92097</v>
      </c>
      <c r="P3079">
        <v>75741</v>
      </c>
    </row>
    <row r="3080" spans="13:16" x14ac:dyDescent="0.3">
      <c r="M3080">
        <v>3078</v>
      </c>
      <c r="N3080">
        <v>556310</v>
      </c>
      <c r="P3080">
        <v>725521</v>
      </c>
    </row>
    <row r="3081" spans="13:16" x14ac:dyDescent="0.3">
      <c r="M3081">
        <v>3079</v>
      </c>
      <c r="N3081">
        <v>387479</v>
      </c>
      <c r="P3081">
        <v>-402210</v>
      </c>
    </row>
    <row r="3082" spans="13:16" x14ac:dyDescent="0.3">
      <c r="M3082">
        <v>3080</v>
      </c>
      <c r="N3082">
        <v>-398806</v>
      </c>
      <c r="P3082">
        <v>6592</v>
      </c>
    </row>
    <row r="3083" spans="13:16" x14ac:dyDescent="0.3">
      <c r="M3083">
        <v>3081</v>
      </c>
      <c r="N3083">
        <v>-150690</v>
      </c>
      <c r="P3083">
        <v>-596071</v>
      </c>
    </row>
    <row r="3084" spans="13:16" x14ac:dyDescent="0.3">
      <c r="M3084">
        <v>3082</v>
      </c>
      <c r="N3084">
        <v>-2300</v>
      </c>
      <c r="P3084">
        <v>416092</v>
      </c>
    </row>
    <row r="3085" spans="13:16" x14ac:dyDescent="0.3">
      <c r="M3085">
        <v>3083</v>
      </c>
      <c r="N3085">
        <v>74538</v>
      </c>
      <c r="P3085">
        <v>467092</v>
      </c>
    </row>
    <row r="3086" spans="13:16" x14ac:dyDescent="0.3">
      <c r="M3086">
        <v>3084</v>
      </c>
      <c r="N3086">
        <v>487081</v>
      </c>
      <c r="P3086">
        <v>-265909</v>
      </c>
    </row>
    <row r="3087" spans="13:16" x14ac:dyDescent="0.3">
      <c r="M3087">
        <v>3085</v>
      </c>
      <c r="N3087">
        <v>293032</v>
      </c>
      <c r="P3087">
        <v>775714</v>
      </c>
    </row>
    <row r="3088" spans="13:16" x14ac:dyDescent="0.3">
      <c r="M3088">
        <v>3086</v>
      </c>
      <c r="N3088">
        <v>390792</v>
      </c>
      <c r="P3088">
        <v>-470047</v>
      </c>
    </row>
    <row r="3089" spans="13:16" x14ac:dyDescent="0.3">
      <c r="M3089">
        <v>3087</v>
      </c>
      <c r="N3089">
        <v>-39967</v>
      </c>
      <c r="P3089">
        <v>-69103</v>
      </c>
    </row>
    <row r="3090" spans="13:16" x14ac:dyDescent="0.3">
      <c r="M3090">
        <v>3088</v>
      </c>
      <c r="N3090">
        <v>-247887</v>
      </c>
      <c r="P3090">
        <v>-265156</v>
      </c>
    </row>
    <row r="3091" spans="13:16" x14ac:dyDescent="0.3">
      <c r="M3091">
        <v>3089</v>
      </c>
      <c r="N3091">
        <v>472945</v>
      </c>
      <c r="P3091">
        <v>-374719</v>
      </c>
    </row>
    <row r="3092" spans="13:16" x14ac:dyDescent="0.3">
      <c r="M3092">
        <v>3090</v>
      </c>
      <c r="N3092">
        <v>-158842</v>
      </c>
      <c r="P3092">
        <v>-264575</v>
      </c>
    </row>
    <row r="3093" spans="13:16" x14ac:dyDescent="0.3">
      <c r="M3093">
        <v>3091</v>
      </c>
      <c r="N3093">
        <v>470555</v>
      </c>
      <c r="P3093">
        <v>-761512</v>
      </c>
    </row>
    <row r="3094" spans="13:16" x14ac:dyDescent="0.3">
      <c r="M3094">
        <v>3092</v>
      </c>
      <c r="N3094">
        <v>-625123</v>
      </c>
      <c r="P3094">
        <v>658485</v>
      </c>
    </row>
    <row r="3095" spans="13:16" x14ac:dyDescent="0.3">
      <c r="M3095">
        <v>3093</v>
      </c>
      <c r="N3095">
        <v>-280103</v>
      </c>
      <c r="P3095">
        <v>891043</v>
      </c>
    </row>
    <row r="3096" spans="13:16" x14ac:dyDescent="0.3">
      <c r="M3096">
        <v>3094</v>
      </c>
      <c r="N3096">
        <v>186480</v>
      </c>
      <c r="P3096">
        <v>-42451</v>
      </c>
    </row>
    <row r="3097" spans="13:16" x14ac:dyDescent="0.3">
      <c r="M3097">
        <v>3095</v>
      </c>
      <c r="N3097">
        <v>-47256</v>
      </c>
      <c r="P3097">
        <v>304079</v>
      </c>
    </row>
    <row r="3098" spans="13:16" x14ac:dyDescent="0.3">
      <c r="M3098">
        <v>3096</v>
      </c>
      <c r="N3098">
        <v>-215760</v>
      </c>
      <c r="P3098">
        <v>430104</v>
      </c>
    </row>
    <row r="3099" spans="13:16" x14ac:dyDescent="0.3">
      <c r="M3099">
        <v>3097</v>
      </c>
      <c r="N3099">
        <v>62304</v>
      </c>
      <c r="P3099">
        <v>317802</v>
      </c>
    </row>
    <row r="3100" spans="13:16" x14ac:dyDescent="0.3">
      <c r="M3100">
        <v>3098</v>
      </c>
      <c r="N3100">
        <v>266570</v>
      </c>
      <c r="P3100">
        <v>-348688</v>
      </c>
    </row>
    <row r="3101" spans="13:16" x14ac:dyDescent="0.3">
      <c r="M3101">
        <v>3099</v>
      </c>
      <c r="N3101">
        <v>-322195</v>
      </c>
      <c r="P3101">
        <v>99831</v>
      </c>
    </row>
    <row r="3102" spans="13:16" x14ac:dyDescent="0.3">
      <c r="M3102">
        <v>3100</v>
      </c>
      <c r="N3102">
        <v>73580</v>
      </c>
      <c r="P3102">
        <v>474747</v>
      </c>
    </row>
    <row r="3103" spans="13:16" x14ac:dyDescent="0.3">
      <c r="M3103">
        <v>3101</v>
      </c>
      <c r="N3103">
        <v>91722</v>
      </c>
      <c r="P3103">
        <v>-236555</v>
      </c>
    </row>
    <row r="3104" spans="13:16" x14ac:dyDescent="0.3">
      <c r="M3104">
        <v>3102</v>
      </c>
      <c r="N3104">
        <v>-423198</v>
      </c>
      <c r="P3104">
        <v>217698</v>
      </c>
    </row>
    <row r="3105" spans="13:16" x14ac:dyDescent="0.3">
      <c r="M3105">
        <v>3103</v>
      </c>
      <c r="N3105">
        <v>-516519</v>
      </c>
      <c r="P3105">
        <v>-461616</v>
      </c>
    </row>
    <row r="3106" spans="13:16" x14ac:dyDescent="0.3">
      <c r="M3106">
        <v>3104</v>
      </c>
      <c r="N3106">
        <v>-35521</v>
      </c>
      <c r="P3106">
        <v>178293</v>
      </c>
    </row>
    <row r="3107" spans="13:16" x14ac:dyDescent="0.3">
      <c r="M3107">
        <v>3105</v>
      </c>
      <c r="N3107">
        <v>-134728</v>
      </c>
      <c r="P3107">
        <v>629718</v>
      </c>
    </row>
    <row r="3108" spans="13:16" x14ac:dyDescent="0.3">
      <c r="M3108">
        <v>3106</v>
      </c>
      <c r="N3108">
        <v>100122</v>
      </c>
      <c r="P3108">
        <v>233422</v>
      </c>
    </row>
    <row r="3109" spans="13:16" x14ac:dyDescent="0.3">
      <c r="M3109">
        <v>3107</v>
      </c>
      <c r="N3109">
        <v>34788</v>
      </c>
      <c r="P3109">
        <v>948883</v>
      </c>
    </row>
    <row r="3110" spans="13:16" x14ac:dyDescent="0.3">
      <c r="M3110">
        <v>3108</v>
      </c>
      <c r="N3110">
        <v>192021</v>
      </c>
      <c r="P3110">
        <v>208537</v>
      </c>
    </row>
    <row r="3111" spans="13:16" x14ac:dyDescent="0.3">
      <c r="M3111">
        <v>3109</v>
      </c>
      <c r="N3111">
        <v>-362941</v>
      </c>
      <c r="P3111">
        <v>542157</v>
      </c>
    </row>
    <row r="3112" spans="13:16" x14ac:dyDescent="0.3">
      <c r="M3112">
        <v>3110</v>
      </c>
      <c r="N3112">
        <v>-280690</v>
      </c>
      <c r="P3112">
        <v>-455841</v>
      </c>
    </row>
    <row r="3113" spans="13:16" x14ac:dyDescent="0.3">
      <c r="M3113">
        <v>3111</v>
      </c>
      <c r="N3113">
        <v>210611</v>
      </c>
      <c r="P3113">
        <v>1060349</v>
      </c>
    </row>
    <row r="3114" spans="13:16" x14ac:dyDescent="0.3">
      <c r="M3114">
        <v>3112</v>
      </c>
      <c r="N3114">
        <v>-157364</v>
      </c>
      <c r="P3114">
        <v>529403</v>
      </c>
    </row>
    <row r="3115" spans="13:16" x14ac:dyDescent="0.3">
      <c r="M3115">
        <v>3113</v>
      </c>
      <c r="N3115">
        <v>-462453</v>
      </c>
      <c r="P3115">
        <v>189595</v>
      </c>
    </row>
    <row r="3116" spans="13:16" x14ac:dyDescent="0.3">
      <c r="M3116">
        <v>3114</v>
      </c>
      <c r="N3116">
        <v>-405256</v>
      </c>
      <c r="P3116">
        <v>24903</v>
      </c>
    </row>
    <row r="3117" spans="13:16" x14ac:dyDescent="0.3">
      <c r="M3117">
        <v>3115</v>
      </c>
      <c r="N3117">
        <v>58161</v>
      </c>
      <c r="P3117">
        <v>-25584</v>
      </c>
    </row>
    <row r="3118" spans="13:16" x14ac:dyDescent="0.3">
      <c r="M3118">
        <v>3116</v>
      </c>
      <c r="N3118">
        <v>-700410</v>
      </c>
      <c r="P3118">
        <v>733869</v>
      </c>
    </row>
    <row r="3119" spans="13:16" x14ac:dyDescent="0.3">
      <c r="M3119">
        <v>3117</v>
      </c>
      <c r="N3119">
        <v>116857</v>
      </c>
      <c r="P3119">
        <v>-455035</v>
      </c>
    </row>
    <row r="3120" spans="13:16" x14ac:dyDescent="0.3">
      <c r="M3120">
        <v>3118</v>
      </c>
      <c r="N3120">
        <v>37619</v>
      </c>
      <c r="P3120">
        <v>-416445</v>
      </c>
    </row>
    <row r="3121" spans="13:16" x14ac:dyDescent="0.3">
      <c r="M3121">
        <v>3119</v>
      </c>
      <c r="N3121">
        <v>-394330</v>
      </c>
      <c r="P3121">
        <v>-504774</v>
      </c>
    </row>
    <row r="3122" spans="13:16" x14ac:dyDescent="0.3">
      <c r="M3122">
        <v>3120</v>
      </c>
      <c r="N3122">
        <v>-547876</v>
      </c>
      <c r="P3122">
        <v>-213332</v>
      </c>
    </row>
    <row r="3123" spans="13:16" x14ac:dyDescent="0.3">
      <c r="M3123">
        <v>3121</v>
      </c>
      <c r="N3123">
        <v>488648</v>
      </c>
      <c r="P3123">
        <v>-828642</v>
      </c>
    </row>
    <row r="3124" spans="13:16" x14ac:dyDescent="0.3">
      <c r="M3124">
        <v>3122</v>
      </c>
      <c r="N3124">
        <v>12543</v>
      </c>
      <c r="P3124">
        <v>219661</v>
      </c>
    </row>
    <row r="3125" spans="13:16" x14ac:dyDescent="0.3">
      <c r="M3125">
        <v>3123</v>
      </c>
      <c r="N3125">
        <v>-83468</v>
      </c>
      <c r="P3125">
        <v>-162367</v>
      </c>
    </row>
    <row r="3126" spans="13:16" x14ac:dyDescent="0.3">
      <c r="M3126">
        <v>3124</v>
      </c>
      <c r="N3126">
        <v>-13690</v>
      </c>
      <c r="P3126">
        <v>226929</v>
      </c>
    </row>
    <row r="3127" spans="13:16" x14ac:dyDescent="0.3">
      <c r="M3127">
        <v>3125</v>
      </c>
      <c r="N3127">
        <v>-197535</v>
      </c>
      <c r="P3127">
        <v>-358696</v>
      </c>
    </row>
    <row r="3128" spans="13:16" x14ac:dyDescent="0.3">
      <c r="M3128">
        <v>3126</v>
      </c>
      <c r="N3128">
        <v>855136</v>
      </c>
      <c r="P3128">
        <v>58838</v>
      </c>
    </row>
    <row r="3129" spans="13:16" x14ac:dyDescent="0.3">
      <c r="M3129">
        <v>3127</v>
      </c>
      <c r="N3129">
        <v>426751</v>
      </c>
      <c r="P3129">
        <v>901890</v>
      </c>
    </row>
    <row r="3130" spans="13:16" x14ac:dyDescent="0.3">
      <c r="M3130">
        <v>3128</v>
      </c>
      <c r="N3130">
        <v>-185637</v>
      </c>
      <c r="P3130">
        <v>-240876</v>
      </c>
    </row>
    <row r="3131" spans="13:16" x14ac:dyDescent="0.3">
      <c r="M3131">
        <v>3129</v>
      </c>
      <c r="N3131">
        <v>658334</v>
      </c>
      <c r="P3131">
        <v>-639361</v>
      </c>
    </row>
    <row r="3132" spans="13:16" x14ac:dyDescent="0.3">
      <c r="M3132">
        <v>3130</v>
      </c>
      <c r="N3132">
        <v>973991</v>
      </c>
      <c r="P3132">
        <v>-145505</v>
      </c>
    </row>
    <row r="3133" spans="13:16" x14ac:dyDescent="0.3">
      <c r="M3133">
        <v>3131</v>
      </c>
      <c r="N3133">
        <v>314269</v>
      </c>
      <c r="P3133">
        <v>-108394</v>
      </c>
    </row>
    <row r="3134" spans="13:16" x14ac:dyDescent="0.3">
      <c r="M3134">
        <v>3132</v>
      </c>
      <c r="N3134">
        <v>-489737</v>
      </c>
      <c r="P3134">
        <v>10185</v>
      </c>
    </row>
    <row r="3135" spans="13:16" x14ac:dyDescent="0.3">
      <c r="M3135">
        <v>3133</v>
      </c>
      <c r="N3135">
        <v>-450486</v>
      </c>
      <c r="P3135">
        <v>494910</v>
      </c>
    </row>
    <row r="3136" spans="13:16" x14ac:dyDescent="0.3">
      <c r="M3136">
        <v>3134</v>
      </c>
      <c r="N3136">
        <v>165162</v>
      </c>
      <c r="P3136">
        <v>67738</v>
      </c>
    </row>
    <row r="3137" spans="13:16" x14ac:dyDescent="0.3">
      <c r="M3137">
        <v>3135</v>
      </c>
      <c r="N3137">
        <v>739616</v>
      </c>
      <c r="P3137">
        <v>-385759</v>
      </c>
    </row>
    <row r="3138" spans="13:16" x14ac:dyDescent="0.3">
      <c r="M3138">
        <v>3136</v>
      </c>
      <c r="N3138">
        <v>-384307</v>
      </c>
      <c r="P3138">
        <v>-353535</v>
      </c>
    </row>
    <row r="3139" spans="13:16" x14ac:dyDescent="0.3">
      <c r="M3139">
        <v>3137</v>
      </c>
      <c r="N3139">
        <v>-132049</v>
      </c>
      <c r="P3139">
        <v>-327180</v>
      </c>
    </row>
    <row r="3140" spans="13:16" x14ac:dyDescent="0.3">
      <c r="M3140">
        <v>3138</v>
      </c>
      <c r="N3140">
        <v>-556885</v>
      </c>
      <c r="P3140">
        <v>-386804</v>
      </c>
    </row>
    <row r="3141" spans="13:16" x14ac:dyDescent="0.3">
      <c r="M3141">
        <v>3139</v>
      </c>
      <c r="N3141">
        <v>-227988</v>
      </c>
      <c r="P3141">
        <v>-200475</v>
      </c>
    </row>
    <row r="3142" spans="13:16" x14ac:dyDescent="0.3">
      <c r="M3142">
        <v>3140</v>
      </c>
      <c r="N3142">
        <v>-148078</v>
      </c>
      <c r="P3142">
        <v>363819</v>
      </c>
    </row>
    <row r="3143" spans="13:16" x14ac:dyDescent="0.3">
      <c r="M3143">
        <v>3141</v>
      </c>
      <c r="N3143">
        <v>-528432</v>
      </c>
      <c r="P3143">
        <v>214525</v>
      </c>
    </row>
    <row r="3144" spans="13:16" x14ac:dyDescent="0.3">
      <c r="M3144">
        <v>3142</v>
      </c>
      <c r="N3144">
        <v>-279015</v>
      </c>
      <c r="P3144">
        <v>-44793</v>
      </c>
    </row>
    <row r="3145" spans="13:16" x14ac:dyDescent="0.3">
      <c r="M3145">
        <v>3143</v>
      </c>
      <c r="N3145">
        <v>283334</v>
      </c>
      <c r="P3145">
        <v>295662</v>
      </c>
    </row>
    <row r="3146" spans="13:16" x14ac:dyDescent="0.3">
      <c r="M3146">
        <v>3144</v>
      </c>
      <c r="N3146">
        <v>-605581</v>
      </c>
      <c r="P3146">
        <v>-89278</v>
      </c>
    </row>
    <row r="3147" spans="13:16" x14ac:dyDescent="0.3">
      <c r="M3147">
        <v>3145</v>
      </c>
      <c r="N3147">
        <v>239804</v>
      </c>
      <c r="P3147">
        <v>387397</v>
      </c>
    </row>
    <row r="3148" spans="13:16" x14ac:dyDescent="0.3">
      <c r="M3148">
        <v>3146</v>
      </c>
      <c r="N3148">
        <v>-25939</v>
      </c>
      <c r="P3148">
        <v>19056</v>
      </c>
    </row>
    <row r="3149" spans="13:16" x14ac:dyDescent="0.3">
      <c r="M3149">
        <v>3147</v>
      </c>
      <c r="N3149">
        <v>30805</v>
      </c>
      <c r="P3149">
        <v>-96487</v>
      </c>
    </row>
    <row r="3150" spans="13:16" x14ac:dyDescent="0.3">
      <c r="M3150">
        <v>3148</v>
      </c>
      <c r="N3150">
        <v>-325516</v>
      </c>
      <c r="P3150">
        <v>-506029</v>
      </c>
    </row>
    <row r="3151" spans="13:16" x14ac:dyDescent="0.3">
      <c r="M3151">
        <v>3149</v>
      </c>
      <c r="N3151">
        <v>23002</v>
      </c>
      <c r="P3151">
        <v>278593</v>
      </c>
    </row>
    <row r="3152" spans="13:16" x14ac:dyDescent="0.3">
      <c r="M3152">
        <v>3150</v>
      </c>
      <c r="N3152">
        <v>50757</v>
      </c>
      <c r="P3152">
        <v>47277</v>
      </c>
    </row>
    <row r="3153" spans="13:16" x14ac:dyDescent="0.3">
      <c r="M3153">
        <v>3151</v>
      </c>
      <c r="N3153">
        <v>-114405</v>
      </c>
      <c r="P3153">
        <v>82958</v>
      </c>
    </row>
    <row r="3154" spans="13:16" x14ac:dyDescent="0.3">
      <c r="M3154">
        <v>3152</v>
      </c>
      <c r="N3154">
        <v>33803</v>
      </c>
      <c r="P3154">
        <v>217607</v>
      </c>
    </row>
    <row r="3155" spans="13:16" x14ac:dyDescent="0.3">
      <c r="M3155">
        <v>3153</v>
      </c>
      <c r="N3155">
        <v>238345</v>
      </c>
      <c r="P3155">
        <v>-285540</v>
      </c>
    </row>
    <row r="3156" spans="13:16" x14ac:dyDescent="0.3">
      <c r="M3156">
        <v>3154</v>
      </c>
      <c r="N3156">
        <v>214418</v>
      </c>
      <c r="P3156">
        <v>191426</v>
      </c>
    </row>
    <row r="3157" spans="13:16" x14ac:dyDescent="0.3">
      <c r="M3157">
        <v>3155</v>
      </c>
      <c r="N3157">
        <v>-63292</v>
      </c>
      <c r="P3157">
        <v>-695976</v>
      </c>
    </row>
    <row r="3158" spans="13:16" x14ac:dyDescent="0.3">
      <c r="M3158">
        <v>3156</v>
      </c>
      <c r="N3158">
        <v>-130073</v>
      </c>
      <c r="P3158">
        <v>367323</v>
      </c>
    </row>
    <row r="3159" spans="13:16" x14ac:dyDescent="0.3">
      <c r="M3159">
        <v>3157</v>
      </c>
      <c r="N3159">
        <v>84109</v>
      </c>
      <c r="P3159">
        <v>719449</v>
      </c>
    </row>
    <row r="3160" spans="13:16" x14ac:dyDescent="0.3">
      <c r="M3160">
        <v>3158</v>
      </c>
      <c r="N3160">
        <v>-709923</v>
      </c>
      <c r="P3160">
        <v>669538</v>
      </c>
    </row>
    <row r="3161" spans="13:16" x14ac:dyDescent="0.3">
      <c r="M3161">
        <v>3159</v>
      </c>
      <c r="N3161">
        <v>-415178</v>
      </c>
      <c r="P3161">
        <v>618817</v>
      </c>
    </row>
    <row r="3162" spans="13:16" x14ac:dyDescent="0.3">
      <c r="M3162">
        <v>3160</v>
      </c>
      <c r="N3162">
        <v>32216</v>
      </c>
      <c r="P3162">
        <v>835779</v>
      </c>
    </row>
    <row r="3163" spans="13:16" x14ac:dyDescent="0.3">
      <c r="M3163">
        <v>3161</v>
      </c>
      <c r="N3163">
        <v>65551</v>
      </c>
      <c r="P3163">
        <v>156657</v>
      </c>
    </row>
    <row r="3164" spans="13:16" x14ac:dyDescent="0.3">
      <c r="M3164">
        <v>3162</v>
      </c>
      <c r="N3164">
        <v>289549</v>
      </c>
      <c r="P3164">
        <v>-173134</v>
      </c>
    </row>
    <row r="3165" spans="13:16" x14ac:dyDescent="0.3">
      <c r="M3165">
        <v>3163</v>
      </c>
      <c r="N3165">
        <v>757274</v>
      </c>
      <c r="P3165">
        <v>343436</v>
      </c>
    </row>
    <row r="3166" spans="13:16" x14ac:dyDescent="0.3">
      <c r="M3166">
        <v>3164</v>
      </c>
      <c r="N3166">
        <v>-350839</v>
      </c>
      <c r="P3166">
        <v>217624</v>
      </c>
    </row>
    <row r="3167" spans="13:16" x14ac:dyDescent="0.3">
      <c r="M3167">
        <v>3165</v>
      </c>
      <c r="N3167">
        <v>191658</v>
      </c>
      <c r="P3167">
        <v>322840</v>
      </c>
    </row>
    <row r="3168" spans="13:16" x14ac:dyDescent="0.3">
      <c r="M3168">
        <v>3166</v>
      </c>
      <c r="N3168">
        <v>-506250</v>
      </c>
      <c r="P3168">
        <v>-170799</v>
      </c>
    </row>
    <row r="3169" spans="13:16" x14ac:dyDescent="0.3">
      <c r="M3169">
        <v>3167</v>
      </c>
      <c r="N3169">
        <v>452550</v>
      </c>
      <c r="P3169">
        <v>-99008</v>
      </c>
    </row>
    <row r="3170" spans="13:16" x14ac:dyDescent="0.3">
      <c r="M3170">
        <v>3168</v>
      </c>
      <c r="N3170">
        <v>-321784</v>
      </c>
      <c r="P3170">
        <v>511486</v>
      </c>
    </row>
    <row r="3171" spans="13:16" x14ac:dyDescent="0.3">
      <c r="M3171">
        <v>3169</v>
      </c>
      <c r="N3171">
        <v>-200797</v>
      </c>
      <c r="P3171">
        <v>531084</v>
      </c>
    </row>
    <row r="3172" spans="13:16" x14ac:dyDescent="0.3">
      <c r="M3172">
        <v>3170</v>
      </c>
      <c r="N3172">
        <v>226978</v>
      </c>
      <c r="P3172">
        <v>696931</v>
      </c>
    </row>
    <row r="3173" spans="13:16" x14ac:dyDescent="0.3">
      <c r="M3173">
        <v>3171</v>
      </c>
      <c r="N3173">
        <v>1022527</v>
      </c>
      <c r="P3173">
        <v>-319886</v>
      </c>
    </row>
    <row r="3174" spans="13:16" x14ac:dyDescent="0.3">
      <c r="M3174">
        <v>3172</v>
      </c>
      <c r="N3174">
        <v>-462523</v>
      </c>
      <c r="P3174">
        <v>-452269</v>
      </c>
    </row>
    <row r="3175" spans="13:16" x14ac:dyDescent="0.3">
      <c r="M3175">
        <v>3173</v>
      </c>
      <c r="N3175">
        <v>-460848</v>
      </c>
      <c r="P3175">
        <v>134578</v>
      </c>
    </row>
    <row r="3176" spans="13:16" x14ac:dyDescent="0.3">
      <c r="M3176">
        <v>3174</v>
      </c>
      <c r="N3176">
        <v>-554895</v>
      </c>
      <c r="P3176">
        <v>876640</v>
      </c>
    </row>
    <row r="3177" spans="13:16" x14ac:dyDescent="0.3">
      <c r="M3177">
        <v>3175</v>
      </c>
      <c r="N3177">
        <v>92564</v>
      </c>
      <c r="P3177">
        <v>477833</v>
      </c>
    </row>
    <row r="3178" spans="13:16" x14ac:dyDescent="0.3">
      <c r="M3178">
        <v>3176</v>
      </c>
      <c r="N3178">
        <v>-46217</v>
      </c>
      <c r="P3178">
        <v>331956</v>
      </c>
    </row>
    <row r="3179" spans="13:16" x14ac:dyDescent="0.3">
      <c r="M3179">
        <v>3177</v>
      </c>
      <c r="N3179">
        <v>98571</v>
      </c>
      <c r="P3179">
        <v>560885</v>
      </c>
    </row>
    <row r="3180" spans="13:16" x14ac:dyDescent="0.3">
      <c r="M3180">
        <v>3178</v>
      </c>
      <c r="N3180">
        <v>117333</v>
      </c>
      <c r="P3180">
        <v>610866</v>
      </c>
    </row>
    <row r="3181" spans="13:16" x14ac:dyDescent="0.3">
      <c r="M3181">
        <v>3179</v>
      </c>
      <c r="N3181">
        <v>-553924</v>
      </c>
      <c r="P3181">
        <v>-391759</v>
      </c>
    </row>
    <row r="3182" spans="13:16" x14ac:dyDescent="0.3">
      <c r="M3182">
        <v>3180</v>
      </c>
      <c r="N3182">
        <v>303503</v>
      </c>
      <c r="P3182">
        <v>219047</v>
      </c>
    </row>
    <row r="3183" spans="13:16" x14ac:dyDescent="0.3">
      <c r="M3183">
        <v>3181</v>
      </c>
      <c r="N3183">
        <v>934220</v>
      </c>
      <c r="P3183">
        <v>213557</v>
      </c>
    </row>
    <row r="3184" spans="13:16" x14ac:dyDescent="0.3">
      <c r="M3184">
        <v>3182</v>
      </c>
      <c r="N3184">
        <v>301971</v>
      </c>
      <c r="P3184">
        <v>314068</v>
      </c>
    </row>
    <row r="3185" spans="13:16" x14ac:dyDescent="0.3">
      <c r="M3185">
        <v>3183</v>
      </c>
      <c r="N3185">
        <v>265934</v>
      </c>
      <c r="P3185">
        <v>214616</v>
      </c>
    </row>
    <row r="3186" spans="13:16" x14ac:dyDescent="0.3">
      <c r="M3186">
        <v>3184</v>
      </c>
      <c r="N3186">
        <v>-22153</v>
      </c>
      <c r="P3186">
        <v>278072</v>
      </c>
    </row>
    <row r="3187" spans="13:16" x14ac:dyDescent="0.3">
      <c r="M3187">
        <v>3185</v>
      </c>
      <c r="N3187">
        <v>23505</v>
      </c>
      <c r="P3187">
        <v>-180622</v>
      </c>
    </row>
    <row r="3188" spans="13:16" x14ac:dyDescent="0.3">
      <c r="M3188">
        <v>3186</v>
      </c>
      <c r="N3188">
        <v>-217637</v>
      </c>
      <c r="P3188">
        <v>-263339</v>
      </c>
    </row>
    <row r="3189" spans="13:16" x14ac:dyDescent="0.3">
      <c r="M3189">
        <v>3187</v>
      </c>
      <c r="N3189">
        <v>530715</v>
      </c>
      <c r="P3189">
        <v>652500</v>
      </c>
    </row>
    <row r="3190" spans="13:16" x14ac:dyDescent="0.3">
      <c r="M3190">
        <v>3188</v>
      </c>
      <c r="N3190">
        <v>-76306</v>
      </c>
      <c r="P3190">
        <v>504843</v>
      </c>
    </row>
    <row r="3191" spans="13:16" x14ac:dyDescent="0.3">
      <c r="M3191">
        <v>3189</v>
      </c>
      <c r="N3191">
        <v>-434447</v>
      </c>
      <c r="P3191">
        <v>579110</v>
      </c>
    </row>
    <row r="3192" spans="13:16" x14ac:dyDescent="0.3">
      <c r="M3192">
        <v>3190</v>
      </c>
      <c r="N3192">
        <v>-159766</v>
      </c>
      <c r="P3192">
        <v>-152944</v>
      </c>
    </row>
    <row r="3193" spans="13:16" x14ac:dyDescent="0.3">
      <c r="M3193">
        <v>3191</v>
      </c>
      <c r="N3193">
        <v>-495652</v>
      </c>
      <c r="P3193">
        <v>295114</v>
      </c>
    </row>
    <row r="3194" spans="13:16" x14ac:dyDescent="0.3">
      <c r="M3194">
        <v>3192</v>
      </c>
      <c r="N3194">
        <v>-349605</v>
      </c>
      <c r="P3194">
        <v>126074</v>
      </c>
    </row>
    <row r="3195" spans="13:16" x14ac:dyDescent="0.3">
      <c r="M3195">
        <v>3193</v>
      </c>
      <c r="N3195">
        <v>526</v>
      </c>
      <c r="P3195">
        <v>170549</v>
      </c>
    </row>
    <row r="3196" spans="13:16" x14ac:dyDescent="0.3">
      <c r="M3196">
        <v>3194</v>
      </c>
      <c r="N3196">
        <v>-177161</v>
      </c>
      <c r="P3196">
        <v>-395449</v>
      </c>
    </row>
    <row r="3197" spans="13:16" x14ac:dyDescent="0.3">
      <c r="M3197">
        <v>3195</v>
      </c>
      <c r="N3197">
        <v>266820</v>
      </c>
      <c r="P3197">
        <v>-226352</v>
      </c>
    </row>
    <row r="3198" spans="13:16" x14ac:dyDescent="0.3">
      <c r="M3198">
        <v>3196</v>
      </c>
      <c r="N3198">
        <v>-286738</v>
      </c>
      <c r="P3198">
        <v>301628</v>
      </c>
    </row>
    <row r="3199" spans="13:16" x14ac:dyDescent="0.3">
      <c r="M3199">
        <v>3197</v>
      </c>
      <c r="N3199">
        <v>1054507</v>
      </c>
      <c r="P3199">
        <v>264923</v>
      </c>
    </row>
    <row r="3200" spans="13:16" x14ac:dyDescent="0.3">
      <c r="M3200">
        <v>3198</v>
      </c>
      <c r="N3200">
        <v>-526062</v>
      </c>
      <c r="P3200">
        <v>-212038</v>
      </c>
    </row>
    <row r="3201" spans="13:16" x14ac:dyDescent="0.3">
      <c r="M3201">
        <v>3199</v>
      </c>
      <c r="N3201">
        <v>-363379</v>
      </c>
      <c r="P3201">
        <v>-339598</v>
      </c>
    </row>
    <row r="3202" spans="13:16" x14ac:dyDescent="0.3">
      <c r="M3202">
        <v>3200</v>
      </c>
      <c r="N3202">
        <v>871459</v>
      </c>
      <c r="P3202">
        <v>470766</v>
      </c>
    </row>
    <row r="3203" spans="13:16" x14ac:dyDescent="0.3">
      <c r="M3203">
        <v>3201</v>
      </c>
      <c r="N3203">
        <v>195889</v>
      </c>
      <c r="P3203">
        <v>132172</v>
      </c>
    </row>
    <row r="3204" spans="13:16" x14ac:dyDescent="0.3">
      <c r="M3204">
        <v>3202</v>
      </c>
      <c r="N3204">
        <v>-11583</v>
      </c>
      <c r="P3204">
        <v>151366</v>
      </c>
    </row>
    <row r="3205" spans="13:16" x14ac:dyDescent="0.3">
      <c r="M3205">
        <v>3203</v>
      </c>
      <c r="N3205">
        <v>-641059</v>
      </c>
      <c r="P3205">
        <v>-700173</v>
      </c>
    </row>
    <row r="3206" spans="13:16" x14ac:dyDescent="0.3">
      <c r="M3206">
        <v>3204</v>
      </c>
      <c r="N3206">
        <v>-321696</v>
      </c>
      <c r="P3206">
        <v>-471154</v>
      </c>
    </row>
    <row r="3207" spans="13:16" x14ac:dyDescent="0.3">
      <c r="M3207">
        <v>3205</v>
      </c>
      <c r="N3207">
        <v>55484</v>
      </c>
      <c r="P3207">
        <v>-10601</v>
      </c>
    </row>
    <row r="3208" spans="13:16" x14ac:dyDescent="0.3">
      <c r="M3208">
        <v>3206</v>
      </c>
      <c r="N3208">
        <v>392708</v>
      </c>
      <c r="P3208">
        <v>197063</v>
      </c>
    </row>
    <row r="3209" spans="13:16" x14ac:dyDescent="0.3">
      <c r="M3209">
        <v>3207</v>
      </c>
      <c r="N3209">
        <v>-442411</v>
      </c>
      <c r="P3209">
        <v>439387</v>
      </c>
    </row>
    <row r="3210" spans="13:16" x14ac:dyDescent="0.3">
      <c r="M3210">
        <v>3208</v>
      </c>
      <c r="N3210">
        <v>-127628</v>
      </c>
      <c r="P3210">
        <v>-263791</v>
      </c>
    </row>
    <row r="3211" spans="13:16" x14ac:dyDescent="0.3">
      <c r="M3211">
        <v>3209</v>
      </c>
      <c r="N3211">
        <v>242973</v>
      </c>
      <c r="P3211">
        <v>467730</v>
      </c>
    </row>
    <row r="3212" spans="13:16" x14ac:dyDescent="0.3">
      <c r="M3212">
        <v>3210</v>
      </c>
      <c r="N3212">
        <v>-101959</v>
      </c>
      <c r="P3212">
        <v>-281180</v>
      </c>
    </row>
    <row r="3213" spans="13:16" x14ac:dyDescent="0.3">
      <c r="M3213">
        <v>3211</v>
      </c>
      <c r="N3213">
        <v>99672</v>
      </c>
      <c r="P3213">
        <v>667725</v>
      </c>
    </row>
    <row r="3214" spans="13:16" x14ac:dyDescent="0.3">
      <c r="M3214">
        <v>3212</v>
      </c>
      <c r="N3214">
        <v>-397131</v>
      </c>
      <c r="P3214">
        <v>-397895</v>
      </c>
    </row>
    <row r="3215" spans="13:16" x14ac:dyDescent="0.3">
      <c r="M3215">
        <v>3213</v>
      </c>
      <c r="N3215">
        <v>367683</v>
      </c>
      <c r="P3215">
        <v>335129</v>
      </c>
    </row>
    <row r="3216" spans="13:16" x14ac:dyDescent="0.3">
      <c r="M3216">
        <v>3214</v>
      </c>
      <c r="N3216">
        <v>586161</v>
      </c>
      <c r="P3216">
        <v>-490470</v>
      </c>
    </row>
    <row r="3217" spans="13:16" x14ac:dyDescent="0.3">
      <c r="M3217">
        <v>3215</v>
      </c>
      <c r="N3217">
        <v>378060</v>
      </c>
      <c r="P3217">
        <v>617835</v>
      </c>
    </row>
    <row r="3218" spans="13:16" x14ac:dyDescent="0.3">
      <c r="M3218">
        <v>3216</v>
      </c>
      <c r="N3218">
        <v>-876783</v>
      </c>
      <c r="P3218">
        <v>-301685</v>
      </c>
    </row>
    <row r="3219" spans="13:16" x14ac:dyDescent="0.3">
      <c r="M3219">
        <v>3217</v>
      </c>
      <c r="N3219">
        <v>350928</v>
      </c>
      <c r="P3219">
        <v>210296</v>
      </c>
    </row>
    <row r="3220" spans="13:16" x14ac:dyDescent="0.3">
      <c r="M3220">
        <v>3218</v>
      </c>
      <c r="N3220">
        <v>-10710</v>
      </c>
      <c r="P3220">
        <v>-279905</v>
      </c>
    </row>
    <row r="3221" spans="13:16" x14ac:dyDescent="0.3">
      <c r="M3221">
        <v>3219</v>
      </c>
      <c r="N3221">
        <v>-121997</v>
      </c>
      <c r="P3221">
        <v>-506140</v>
      </c>
    </row>
    <row r="3222" spans="13:16" x14ac:dyDescent="0.3">
      <c r="M3222">
        <v>3220</v>
      </c>
      <c r="N3222">
        <v>213700</v>
      </c>
      <c r="P3222">
        <v>924489</v>
      </c>
    </row>
    <row r="3223" spans="13:16" x14ac:dyDescent="0.3">
      <c r="M3223">
        <v>3221</v>
      </c>
      <c r="N3223">
        <v>202333</v>
      </c>
      <c r="P3223">
        <v>-225203</v>
      </c>
    </row>
    <row r="3224" spans="13:16" x14ac:dyDescent="0.3">
      <c r="M3224">
        <v>3222</v>
      </c>
      <c r="N3224">
        <v>413408</v>
      </c>
      <c r="P3224">
        <v>717132</v>
      </c>
    </row>
    <row r="3225" spans="13:16" x14ac:dyDescent="0.3">
      <c r="M3225">
        <v>3223</v>
      </c>
      <c r="N3225">
        <v>136922</v>
      </c>
      <c r="P3225">
        <v>-666248</v>
      </c>
    </row>
    <row r="3226" spans="13:16" x14ac:dyDescent="0.3">
      <c r="M3226">
        <v>3224</v>
      </c>
      <c r="N3226">
        <v>-479908</v>
      </c>
      <c r="P3226">
        <v>784606</v>
      </c>
    </row>
    <row r="3227" spans="13:16" x14ac:dyDescent="0.3">
      <c r="M3227">
        <v>3225</v>
      </c>
      <c r="N3227">
        <v>256822</v>
      </c>
      <c r="P3227">
        <v>286468</v>
      </c>
    </row>
    <row r="3228" spans="13:16" x14ac:dyDescent="0.3">
      <c r="M3228">
        <v>3226</v>
      </c>
      <c r="N3228">
        <v>-343855</v>
      </c>
      <c r="P3228">
        <v>205331</v>
      </c>
    </row>
    <row r="3229" spans="13:16" x14ac:dyDescent="0.3">
      <c r="M3229">
        <v>3227</v>
      </c>
      <c r="N3229">
        <v>188886</v>
      </c>
      <c r="P3229">
        <v>-541434</v>
      </c>
    </row>
    <row r="3230" spans="13:16" x14ac:dyDescent="0.3">
      <c r="M3230">
        <v>3228</v>
      </c>
      <c r="N3230">
        <v>341861</v>
      </c>
      <c r="P3230">
        <v>-286331</v>
      </c>
    </row>
    <row r="3231" spans="13:16" x14ac:dyDescent="0.3">
      <c r="M3231">
        <v>3229</v>
      </c>
      <c r="N3231">
        <v>-187897</v>
      </c>
      <c r="P3231">
        <v>464606</v>
      </c>
    </row>
    <row r="3232" spans="13:16" x14ac:dyDescent="0.3">
      <c r="M3232">
        <v>3230</v>
      </c>
      <c r="N3232">
        <v>-511282</v>
      </c>
      <c r="P3232">
        <v>301628</v>
      </c>
    </row>
    <row r="3233" spans="13:16" x14ac:dyDescent="0.3">
      <c r="M3233">
        <v>3231</v>
      </c>
      <c r="N3233">
        <v>225213</v>
      </c>
      <c r="P3233">
        <v>203715</v>
      </c>
    </row>
    <row r="3234" spans="13:16" x14ac:dyDescent="0.3">
      <c r="M3234">
        <v>3232</v>
      </c>
      <c r="N3234">
        <v>21123</v>
      </c>
      <c r="P3234">
        <v>361166</v>
      </c>
    </row>
    <row r="3235" spans="13:16" x14ac:dyDescent="0.3">
      <c r="M3235">
        <v>3233</v>
      </c>
      <c r="N3235">
        <v>-686494</v>
      </c>
      <c r="P3235">
        <v>134662</v>
      </c>
    </row>
    <row r="3236" spans="13:16" x14ac:dyDescent="0.3">
      <c r="M3236">
        <v>3234</v>
      </c>
      <c r="N3236">
        <v>159530</v>
      </c>
      <c r="P3236">
        <v>272698</v>
      </c>
    </row>
    <row r="3237" spans="13:16" x14ac:dyDescent="0.3">
      <c r="M3237">
        <v>3235</v>
      </c>
      <c r="N3237">
        <v>960724</v>
      </c>
      <c r="P3237">
        <v>-433699</v>
      </c>
    </row>
    <row r="3238" spans="13:16" x14ac:dyDescent="0.3">
      <c r="M3238">
        <v>3236</v>
      </c>
      <c r="N3238">
        <v>-135303</v>
      </c>
      <c r="P3238">
        <v>550343</v>
      </c>
    </row>
    <row r="3239" spans="13:16" x14ac:dyDescent="0.3">
      <c r="M3239">
        <v>3237</v>
      </c>
      <c r="N3239">
        <v>329275</v>
      </c>
      <c r="P3239">
        <v>404197</v>
      </c>
    </row>
    <row r="3240" spans="13:16" x14ac:dyDescent="0.3">
      <c r="M3240">
        <v>3238</v>
      </c>
      <c r="N3240">
        <v>-176305</v>
      </c>
      <c r="P3240">
        <v>-300839</v>
      </c>
    </row>
    <row r="3241" spans="13:16" x14ac:dyDescent="0.3">
      <c r="M3241">
        <v>3239</v>
      </c>
      <c r="N3241">
        <v>223600</v>
      </c>
      <c r="P3241">
        <v>-38859</v>
      </c>
    </row>
    <row r="3242" spans="13:16" x14ac:dyDescent="0.3">
      <c r="M3242">
        <v>3240</v>
      </c>
      <c r="N3242">
        <v>153370</v>
      </c>
      <c r="P3242">
        <v>835640</v>
      </c>
    </row>
    <row r="3243" spans="13:16" x14ac:dyDescent="0.3">
      <c r="M3243">
        <v>3241</v>
      </c>
      <c r="N3243">
        <v>-302302</v>
      </c>
      <c r="P3243">
        <v>332418</v>
      </c>
    </row>
    <row r="3244" spans="13:16" x14ac:dyDescent="0.3">
      <c r="M3244">
        <v>3242</v>
      </c>
      <c r="N3244">
        <v>693953</v>
      </c>
      <c r="P3244">
        <v>-100262</v>
      </c>
    </row>
    <row r="3245" spans="13:16" x14ac:dyDescent="0.3">
      <c r="M3245">
        <v>3243</v>
      </c>
      <c r="N3245">
        <v>-179504</v>
      </c>
      <c r="P3245">
        <v>765672</v>
      </c>
    </row>
    <row r="3246" spans="13:16" x14ac:dyDescent="0.3">
      <c r="M3246">
        <v>3244</v>
      </c>
      <c r="N3246">
        <v>-334403</v>
      </c>
      <c r="P3246">
        <v>866492</v>
      </c>
    </row>
    <row r="3247" spans="13:16" x14ac:dyDescent="0.3">
      <c r="M3247">
        <v>3245</v>
      </c>
      <c r="N3247">
        <v>661086</v>
      </c>
      <c r="P3247">
        <v>266288</v>
      </c>
    </row>
    <row r="3248" spans="13:16" x14ac:dyDescent="0.3">
      <c r="M3248">
        <v>3246</v>
      </c>
      <c r="N3248">
        <v>-127964</v>
      </c>
      <c r="P3248">
        <v>-258056</v>
      </c>
    </row>
    <row r="3249" spans="13:16" x14ac:dyDescent="0.3">
      <c r="M3249">
        <v>3247</v>
      </c>
      <c r="N3249">
        <v>-83205</v>
      </c>
      <c r="P3249">
        <v>-76428</v>
      </c>
    </row>
    <row r="3250" spans="13:16" x14ac:dyDescent="0.3">
      <c r="M3250">
        <v>3248</v>
      </c>
      <c r="N3250">
        <v>-275243</v>
      </c>
      <c r="P3250">
        <v>-534526</v>
      </c>
    </row>
    <row r="3251" spans="13:16" x14ac:dyDescent="0.3">
      <c r="M3251">
        <v>3249</v>
      </c>
      <c r="N3251">
        <v>-391782</v>
      </c>
      <c r="P3251">
        <v>319509</v>
      </c>
    </row>
    <row r="3252" spans="13:16" x14ac:dyDescent="0.3">
      <c r="M3252">
        <v>3250</v>
      </c>
      <c r="N3252">
        <v>-214021</v>
      </c>
      <c r="P3252">
        <v>859480</v>
      </c>
    </row>
    <row r="3253" spans="13:16" x14ac:dyDescent="0.3">
      <c r="M3253">
        <v>3251</v>
      </c>
      <c r="N3253">
        <v>556697</v>
      </c>
      <c r="P3253">
        <v>-45481</v>
      </c>
    </row>
    <row r="3254" spans="13:16" x14ac:dyDescent="0.3">
      <c r="M3254">
        <v>3252</v>
      </c>
      <c r="N3254">
        <v>615009</v>
      </c>
      <c r="P3254">
        <v>-276388</v>
      </c>
    </row>
    <row r="3255" spans="13:16" x14ac:dyDescent="0.3">
      <c r="M3255">
        <v>3253</v>
      </c>
      <c r="N3255">
        <v>-252699</v>
      </c>
      <c r="P3255">
        <v>334916</v>
      </c>
    </row>
    <row r="3256" spans="13:16" x14ac:dyDescent="0.3">
      <c r="M3256">
        <v>3254</v>
      </c>
      <c r="N3256">
        <v>814088</v>
      </c>
      <c r="P3256">
        <v>-223376</v>
      </c>
    </row>
    <row r="3257" spans="13:16" x14ac:dyDescent="0.3">
      <c r="M3257">
        <v>3255</v>
      </c>
      <c r="N3257">
        <v>639282</v>
      </c>
      <c r="P3257">
        <v>-475652</v>
      </c>
    </row>
    <row r="3258" spans="13:16" x14ac:dyDescent="0.3">
      <c r="M3258">
        <v>3256</v>
      </c>
      <c r="N3258">
        <v>-167249</v>
      </c>
      <c r="P3258">
        <v>-548937</v>
      </c>
    </row>
    <row r="3259" spans="13:16" x14ac:dyDescent="0.3">
      <c r="M3259">
        <v>3257</v>
      </c>
      <c r="N3259">
        <v>875737</v>
      </c>
      <c r="P3259">
        <v>394319</v>
      </c>
    </row>
    <row r="3260" spans="13:16" x14ac:dyDescent="0.3">
      <c r="M3260">
        <v>3258</v>
      </c>
      <c r="N3260">
        <v>-288276</v>
      </c>
      <c r="P3260">
        <v>-721124</v>
      </c>
    </row>
    <row r="3261" spans="13:16" x14ac:dyDescent="0.3">
      <c r="M3261">
        <v>3259</v>
      </c>
      <c r="N3261">
        <v>572743</v>
      </c>
      <c r="P3261">
        <v>-215002</v>
      </c>
    </row>
    <row r="3262" spans="13:16" x14ac:dyDescent="0.3">
      <c r="M3262">
        <v>3260</v>
      </c>
      <c r="N3262">
        <v>-129037</v>
      </c>
      <c r="P3262">
        <v>-156804</v>
      </c>
    </row>
    <row r="3263" spans="13:16" x14ac:dyDescent="0.3">
      <c r="M3263">
        <v>3261</v>
      </c>
      <c r="N3263">
        <v>670487</v>
      </c>
      <c r="P3263">
        <v>-131005</v>
      </c>
    </row>
    <row r="3264" spans="13:16" x14ac:dyDescent="0.3">
      <c r="M3264">
        <v>3262</v>
      </c>
      <c r="N3264">
        <v>-90535</v>
      </c>
      <c r="P3264">
        <v>-523841</v>
      </c>
    </row>
    <row r="3265" spans="13:16" x14ac:dyDescent="0.3">
      <c r="M3265">
        <v>3263</v>
      </c>
      <c r="N3265">
        <v>713133</v>
      </c>
      <c r="P3265">
        <v>269409</v>
      </c>
    </row>
    <row r="3266" spans="13:16" x14ac:dyDescent="0.3">
      <c r="M3266">
        <v>3264</v>
      </c>
      <c r="N3266">
        <v>-549571</v>
      </c>
      <c r="P3266">
        <v>-503173</v>
      </c>
    </row>
    <row r="3267" spans="13:16" x14ac:dyDescent="0.3">
      <c r="M3267">
        <v>3265</v>
      </c>
      <c r="N3267">
        <v>463997</v>
      </c>
      <c r="P3267">
        <v>-509951</v>
      </c>
    </row>
    <row r="3268" spans="13:16" x14ac:dyDescent="0.3">
      <c r="M3268">
        <v>3266</v>
      </c>
      <c r="N3268">
        <v>-589787</v>
      </c>
      <c r="P3268">
        <v>-499862</v>
      </c>
    </row>
    <row r="3269" spans="13:16" x14ac:dyDescent="0.3">
      <c r="M3269">
        <v>3267</v>
      </c>
      <c r="N3269">
        <v>41546</v>
      </c>
      <c r="P3269">
        <v>-185491</v>
      </c>
    </row>
    <row r="3270" spans="13:16" x14ac:dyDescent="0.3">
      <c r="M3270">
        <v>3268</v>
      </c>
      <c r="N3270">
        <v>351992</v>
      </c>
      <c r="P3270">
        <v>939723</v>
      </c>
    </row>
    <row r="3271" spans="13:16" x14ac:dyDescent="0.3">
      <c r="M3271">
        <v>3269</v>
      </c>
      <c r="N3271">
        <v>513250</v>
      </c>
      <c r="P3271">
        <v>173009</v>
      </c>
    </row>
    <row r="3272" spans="13:16" x14ac:dyDescent="0.3">
      <c r="M3272">
        <v>3270</v>
      </c>
      <c r="N3272">
        <v>-468761</v>
      </c>
      <c r="P3272">
        <v>201929</v>
      </c>
    </row>
    <row r="3273" spans="13:16" x14ac:dyDescent="0.3">
      <c r="M3273">
        <v>3271</v>
      </c>
      <c r="N3273">
        <v>356748</v>
      </c>
      <c r="P3273">
        <v>-313290</v>
      </c>
    </row>
    <row r="3274" spans="13:16" x14ac:dyDescent="0.3">
      <c r="M3274">
        <v>3272</v>
      </c>
      <c r="N3274">
        <v>647603</v>
      </c>
      <c r="P3274">
        <v>-32315</v>
      </c>
    </row>
    <row r="3275" spans="13:16" x14ac:dyDescent="0.3">
      <c r="M3275">
        <v>3273</v>
      </c>
      <c r="N3275">
        <v>-449495</v>
      </c>
      <c r="P3275">
        <v>-570379</v>
      </c>
    </row>
    <row r="3276" spans="13:16" x14ac:dyDescent="0.3">
      <c r="M3276">
        <v>3274</v>
      </c>
      <c r="N3276">
        <v>904320</v>
      </c>
      <c r="P3276">
        <v>110004</v>
      </c>
    </row>
    <row r="3277" spans="13:16" x14ac:dyDescent="0.3">
      <c r="M3277">
        <v>3275</v>
      </c>
      <c r="N3277">
        <v>449521</v>
      </c>
      <c r="P3277">
        <v>-569338</v>
      </c>
    </row>
    <row r="3278" spans="13:16" x14ac:dyDescent="0.3">
      <c r="M3278">
        <v>3276</v>
      </c>
      <c r="N3278">
        <v>128551</v>
      </c>
      <c r="P3278">
        <v>-572098</v>
      </c>
    </row>
    <row r="3279" spans="13:16" x14ac:dyDescent="0.3">
      <c r="M3279">
        <v>3277</v>
      </c>
      <c r="N3279">
        <v>490723</v>
      </c>
      <c r="P3279">
        <v>-531986</v>
      </c>
    </row>
    <row r="3280" spans="13:16" x14ac:dyDescent="0.3">
      <c r="M3280">
        <v>3278</v>
      </c>
      <c r="N3280">
        <v>-475490</v>
      </c>
      <c r="P3280">
        <v>-611404</v>
      </c>
    </row>
    <row r="3281" spans="13:16" x14ac:dyDescent="0.3">
      <c r="M3281">
        <v>3279</v>
      </c>
      <c r="N3281">
        <v>652296</v>
      </c>
      <c r="P3281">
        <v>-466033</v>
      </c>
    </row>
    <row r="3282" spans="13:16" x14ac:dyDescent="0.3">
      <c r="M3282">
        <v>3280</v>
      </c>
      <c r="N3282">
        <v>246718</v>
      </c>
      <c r="P3282">
        <v>532546</v>
      </c>
    </row>
    <row r="3283" spans="13:16" x14ac:dyDescent="0.3">
      <c r="M3283">
        <v>3281</v>
      </c>
      <c r="N3283">
        <v>429410</v>
      </c>
      <c r="P3283">
        <v>-282577</v>
      </c>
    </row>
    <row r="3284" spans="13:16" x14ac:dyDescent="0.3">
      <c r="M3284">
        <v>3282</v>
      </c>
      <c r="N3284">
        <v>626650</v>
      </c>
      <c r="P3284">
        <v>-674368</v>
      </c>
    </row>
    <row r="3285" spans="13:16" x14ac:dyDescent="0.3">
      <c r="M3285">
        <v>3283</v>
      </c>
      <c r="N3285">
        <v>1005402</v>
      </c>
      <c r="P3285">
        <v>273769</v>
      </c>
    </row>
    <row r="3286" spans="13:16" x14ac:dyDescent="0.3">
      <c r="M3286">
        <v>3284</v>
      </c>
      <c r="N3286">
        <v>450536</v>
      </c>
      <c r="P3286">
        <v>-416498</v>
      </c>
    </row>
    <row r="3287" spans="13:16" x14ac:dyDescent="0.3">
      <c r="M3287">
        <v>3285</v>
      </c>
      <c r="N3287">
        <v>664732</v>
      </c>
      <c r="P3287">
        <v>66556</v>
      </c>
    </row>
    <row r="3288" spans="13:16" x14ac:dyDescent="0.3">
      <c r="M3288">
        <v>3286</v>
      </c>
      <c r="N3288">
        <v>472148</v>
      </c>
      <c r="P3288">
        <v>669442</v>
      </c>
    </row>
    <row r="3289" spans="13:16" x14ac:dyDescent="0.3">
      <c r="M3289">
        <v>3287</v>
      </c>
      <c r="N3289">
        <v>464594</v>
      </c>
      <c r="P3289">
        <v>544202</v>
      </c>
    </row>
    <row r="3290" spans="13:16" x14ac:dyDescent="0.3">
      <c r="M3290">
        <v>3288</v>
      </c>
      <c r="N3290">
        <v>-722001</v>
      </c>
      <c r="P3290">
        <v>-62934</v>
      </c>
    </row>
    <row r="3291" spans="13:16" x14ac:dyDescent="0.3">
      <c r="M3291">
        <v>3289</v>
      </c>
      <c r="N3291">
        <v>-210463</v>
      </c>
      <c r="P3291">
        <v>-105918</v>
      </c>
    </row>
    <row r="3292" spans="13:16" x14ac:dyDescent="0.3">
      <c r="M3292">
        <v>3290</v>
      </c>
      <c r="N3292">
        <v>72397</v>
      </c>
      <c r="P3292">
        <v>411952</v>
      </c>
    </row>
    <row r="3293" spans="13:16" x14ac:dyDescent="0.3">
      <c r="M3293">
        <v>3291</v>
      </c>
      <c r="N3293">
        <v>-116214</v>
      </c>
      <c r="P3293">
        <v>639790</v>
      </c>
    </row>
    <row r="3294" spans="13:16" x14ac:dyDescent="0.3">
      <c r="M3294">
        <v>3292</v>
      </c>
      <c r="N3294">
        <v>-203832</v>
      </c>
      <c r="P3294">
        <v>-638424</v>
      </c>
    </row>
    <row r="3295" spans="13:16" x14ac:dyDescent="0.3">
      <c r="M3295">
        <v>3293</v>
      </c>
      <c r="N3295">
        <v>8303</v>
      </c>
      <c r="P3295">
        <v>340416</v>
      </c>
    </row>
    <row r="3296" spans="13:16" x14ac:dyDescent="0.3">
      <c r="M3296">
        <v>3294</v>
      </c>
      <c r="N3296">
        <v>133046</v>
      </c>
      <c r="P3296">
        <v>-379340</v>
      </c>
    </row>
    <row r="3297" spans="13:16" x14ac:dyDescent="0.3">
      <c r="M3297">
        <v>3295</v>
      </c>
      <c r="N3297">
        <v>479188</v>
      </c>
      <c r="P3297">
        <v>-524189</v>
      </c>
    </row>
    <row r="3298" spans="13:16" x14ac:dyDescent="0.3">
      <c r="M3298">
        <v>3296</v>
      </c>
      <c r="N3298">
        <v>492623</v>
      </c>
      <c r="P3298">
        <v>-278428</v>
      </c>
    </row>
    <row r="3299" spans="13:16" x14ac:dyDescent="0.3">
      <c r="M3299">
        <v>3297</v>
      </c>
      <c r="N3299">
        <v>716756</v>
      </c>
      <c r="P3299">
        <v>66064</v>
      </c>
    </row>
    <row r="3300" spans="13:16" x14ac:dyDescent="0.3">
      <c r="M3300">
        <v>3298</v>
      </c>
      <c r="N3300">
        <v>479234</v>
      </c>
      <c r="P3300">
        <v>-566</v>
      </c>
    </row>
    <row r="3301" spans="13:16" x14ac:dyDescent="0.3">
      <c r="M3301">
        <v>3299</v>
      </c>
      <c r="N3301">
        <v>650051</v>
      </c>
      <c r="P3301">
        <v>-599550</v>
      </c>
    </row>
    <row r="3302" spans="13:16" x14ac:dyDescent="0.3">
      <c r="M3302">
        <v>3300</v>
      </c>
      <c r="N3302">
        <v>-22062</v>
      </c>
      <c r="P3302">
        <v>8882</v>
      </c>
    </row>
    <row r="3303" spans="13:16" x14ac:dyDescent="0.3">
      <c r="M3303">
        <v>3301</v>
      </c>
      <c r="N3303">
        <v>205787</v>
      </c>
      <c r="P3303">
        <v>327568</v>
      </c>
    </row>
    <row r="3304" spans="13:16" x14ac:dyDescent="0.3">
      <c r="M3304">
        <v>3302</v>
      </c>
      <c r="N3304">
        <v>-164888</v>
      </c>
      <c r="P3304">
        <v>292924</v>
      </c>
    </row>
    <row r="3305" spans="13:16" x14ac:dyDescent="0.3">
      <c r="M3305">
        <v>3303</v>
      </c>
      <c r="N3305">
        <v>-281381</v>
      </c>
      <c r="P3305">
        <v>221176</v>
      </c>
    </row>
    <row r="3306" spans="13:16" x14ac:dyDescent="0.3">
      <c r="M3306">
        <v>3304</v>
      </c>
      <c r="N3306">
        <v>-513753</v>
      </c>
      <c r="P3306">
        <v>191614</v>
      </c>
    </row>
    <row r="3307" spans="13:16" x14ac:dyDescent="0.3">
      <c r="M3307">
        <v>3305</v>
      </c>
      <c r="N3307">
        <v>407752</v>
      </c>
      <c r="P3307">
        <v>552844</v>
      </c>
    </row>
    <row r="3308" spans="13:16" x14ac:dyDescent="0.3">
      <c r="M3308">
        <v>3306</v>
      </c>
      <c r="N3308">
        <v>-99063</v>
      </c>
      <c r="P3308">
        <v>599005</v>
      </c>
    </row>
    <row r="3309" spans="13:16" x14ac:dyDescent="0.3">
      <c r="M3309">
        <v>3307</v>
      </c>
      <c r="N3309">
        <v>370904</v>
      </c>
      <c r="P3309">
        <v>333351</v>
      </c>
    </row>
    <row r="3310" spans="13:16" x14ac:dyDescent="0.3">
      <c r="M3310">
        <v>3308</v>
      </c>
      <c r="N3310">
        <v>434814</v>
      </c>
      <c r="P3310">
        <v>75264</v>
      </c>
    </row>
    <row r="3311" spans="13:16" x14ac:dyDescent="0.3">
      <c r="M3311">
        <v>3309</v>
      </c>
      <c r="N3311">
        <v>-237443</v>
      </c>
      <c r="P3311">
        <v>347870</v>
      </c>
    </row>
    <row r="3312" spans="13:16" x14ac:dyDescent="0.3">
      <c r="M3312">
        <v>3310</v>
      </c>
      <c r="N3312">
        <v>244256</v>
      </c>
      <c r="P3312">
        <v>114358</v>
      </c>
    </row>
    <row r="3313" spans="13:16" x14ac:dyDescent="0.3">
      <c r="M3313">
        <v>3311</v>
      </c>
      <c r="N3313">
        <v>-516782</v>
      </c>
      <c r="P3313">
        <v>1073877</v>
      </c>
    </row>
    <row r="3314" spans="13:16" x14ac:dyDescent="0.3">
      <c r="M3314">
        <v>3312</v>
      </c>
      <c r="N3314">
        <v>114332</v>
      </c>
      <c r="P3314">
        <v>-45827</v>
      </c>
    </row>
    <row r="3315" spans="13:16" x14ac:dyDescent="0.3">
      <c r="M3315">
        <v>3313</v>
      </c>
      <c r="N3315">
        <v>-674241</v>
      </c>
      <c r="P3315">
        <v>177395</v>
      </c>
    </row>
    <row r="3316" spans="13:16" x14ac:dyDescent="0.3">
      <c r="M3316">
        <v>3314</v>
      </c>
      <c r="N3316">
        <v>327068</v>
      </c>
      <c r="P3316">
        <v>410416</v>
      </c>
    </row>
    <row r="3317" spans="13:16" x14ac:dyDescent="0.3">
      <c r="M3317">
        <v>3315</v>
      </c>
      <c r="N3317">
        <v>-154718</v>
      </c>
      <c r="P3317">
        <v>-127964</v>
      </c>
    </row>
    <row r="3318" spans="13:16" x14ac:dyDescent="0.3">
      <c r="M3318">
        <v>3316</v>
      </c>
      <c r="N3318">
        <v>603183</v>
      </c>
      <c r="P3318">
        <v>-497954</v>
      </c>
    </row>
    <row r="3319" spans="13:16" x14ac:dyDescent="0.3">
      <c r="M3319">
        <v>3317</v>
      </c>
      <c r="N3319">
        <v>-509214</v>
      </c>
      <c r="P3319">
        <v>-524306</v>
      </c>
    </row>
    <row r="3320" spans="13:16" x14ac:dyDescent="0.3">
      <c r="M3320">
        <v>3318</v>
      </c>
      <c r="N3320">
        <v>-444000</v>
      </c>
      <c r="P3320">
        <v>-291288</v>
      </c>
    </row>
    <row r="3321" spans="13:16" x14ac:dyDescent="0.3">
      <c r="M3321">
        <v>3319</v>
      </c>
      <c r="N3321">
        <v>343732</v>
      </c>
      <c r="P3321">
        <v>176605</v>
      </c>
    </row>
    <row r="3322" spans="13:16" x14ac:dyDescent="0.3">
      <c r="M3322">
        <v>3320</v>
      </c>
      <c r="N3322">
        <v>-792893</v>
      </c>
      <c r="P3322">
        <v>224756</v>
      </c>
    </row>
    <row r="3323" spans="13:16" x14ac:dyDescent="0.3">
      <c r="M3323">
        <v>3321</v>
      </c>
      <c r="N3323">
        <v>-299519</v>
      </c>
      <c r="P3323">
        <v>249458</v>
      </c>
    </row>
    <row r="3324" spans="13:16" x14ac:dyDescent="0.3">
      <c r="M3324">
        <v>3322</v>
      </c>
      <c r="N3324">
        <v>360224</v>
      </c>
      <c r="P3324">
        <v>384645</v>
      </c>
    </row>
    <row r="3325" spans="13:16" x14ac:dyDescent="0.3">
      <c r="M3325">
        <v>3323</v>
      </c>
      <c r="N3325">
        <v>175738</v>
      </c>
      <c r="P3325">
        <v>349254</v>
      </c>
    </row>
    <row r="3326" spans="13:16" x14ac:dyDescent="0.3">
      <c r="M3326">
        <v>3324</v>
      </c>
      <c r="N3326">
        <v>-296667</v>
      </c>
      <c r="P3326">
        <v>-29469</v>
      </c>
    </row>
    <row r="3327" spans="13:16" x14ac:dyDescent="0.3">
      <c r="M3327">
        <v>3325</v>
      </c>
      <c r="N3327">
        <v>-377796</v>
      </c>
      <c r="P3327">
        <v>-251300</v>
      </c>
    </row>
    <row r="3328" spans="13:16" x14ac:dyDescent="0.3">
      <c r="M3328">
        <v>3326</v>
      </c>
      <c r="N3328">
        <v>333383</v>
      </c>
      <c r="P3328">
        <v>-242615</v>
      </c>
    </row>
    <row r="3329" spans="13:16" x14ac:dyDescent="0.3">
      <c r="M3329">
        <v>3327</v>
      </c>
      <c r="N3329">
        <v>435873</v>
      </c>
      <c r="P3329">
        <v>851062</v>
      </c>
    </row>
    <row r="3330" spans="13:16" x14ac:dyDescent="0.3">
      <c r="M3330">
        <v>3328</v>
      </c>
      <c r="N3330">
        <v>-325182</v>
      </c>
      <c r="P3330">
        <v>125635</v>
      </c>
    </row>
    <row r="3331" spans="13:16" x14ac:dyDescent="0.3">
      <c r="M3331">
        <v>3329</v>
      </c>
      <c r="N3331">
        <v>108491</v>
      </c>
      <c r="P3331">
        <v>326829</v>
      </c>
    </row>
    <row r="3332" spans="13:16" x14ac:dyDescent="0.3">
      <c r="M3332">
        <v>3330</v>
      </c>
      <c r="N3332">
        <v>909384</v>
      </c>
      <c r="P3332">
        <v>396126</v>
      </c>
    </row>
    <row r="3333" spans="13:16" x14ac:dyDescent="0.3">
      <c r="M3333">
        <v>3331</v>
      </c>
      <c r="N3333">
        <v>605062</v>
      </c>
      <c r="P3333">
        <v>443139</v>
      </c>
    </row>
    <row r="3334" spans="13:16" x14ac:dyDescent="0.3">
      <c r="M3334">
        <v>3332</v>
      </c>
      <c r="N3334">
        <v>341171</v>
      </c>
      <c r="P3334">
        <v>291280</v>
      </c>
    </row>
    <row r="3335" spans="13:16" x14ac:dyDescent="0.3">
      <c r="M3335">
        <v>3333</v>
      </c>
      <c r="N3335">
        <v>-746977</v>
      </c>
      <c r="P3335">
        <v>798127</v>
      </c>
    </row>
    <row r="3336" spans="13:16" x14ac:dyDescent="0.3">
      <c r="M3336">
        <v>3334</v>
      </c>
      <c r="N3336">
        <v>-606902</v>
      </c>
      <c r="P3336">
        <v>-449650</v>
      </c>
    </row>
    <row r="3337" spans="13:16" x14ac:dyDescent="0.3">
      <c r="M3337">
        <v>3335</v>
      </c>
      <c r="N3337">
        <v>-631407</v>
      </c>
      <c r="P3337">
        <v>-509916</v>
      </c>
    </row>
    <row r="3338" spans="13:16" x14ac:dyDescent="0.3">
      <c r="M3338">
        <v>3336</v>
      </c>
      <c r="N3338">
        <v>774063</v>
      </c>
      <c r="P3338">
        <v>691289</v>
      </c>
    </row>
    <row r="3339" spans="13:16" x14ac:dyDescent="0.3">
      <c r="M3339">
        <v>3337</v>
      </c>
      <c r="N3339">
        <v>-678841</v>
      </c>
      <c r="P3339">
        <v>-122942</v>
      </c>
    </row>
    <row r="3340" spans="13:16" x14ac:dyDescent="0.3">
      <c r="M3340">
        <v>3338</v>
      </c>
      <c r="N3340">
        <v>-362802</v>
      </c>
      <c r="P3340">
        <v>-649388</v>
      </c>
    </row>
    <row r="3341" spans="13:16" x14ac:dyDescent="0.3">
      <c r="M3341">
        <v>3339</v>
      </c>
      <c r="N3341">
        <v>-557879</v>
      </c>
      <c r="P3341">
        <v>-449714</v>
      </c>
    </row>
    <row r="3342" spans="13:16" x14ac:dyDescent="0.3">
      <c r="M3342">
        <v>3340</v>
      </c>
      <c r="N3342">
        <v>438880</v>
      </c>
      <c r="P3342">
        <v>390808</v>
      </c>
    </row>
    <row r="3343" spans="13:16" x14ac:dyDescent="0.3">
      <c r="M3343">
        <v>3341</v>
      </c>
      <c r="N3343">
        <v>412093</v>
      </c>
      <c r="P3343">
        <v>172222</v>
      </c>
    </row>
    <row r="3344" spans="13:16" x14ac:dyDescent="0.3">
      <c r="M3344">
        <v>3342</v>
      </c>
      <c r="N3344">
        <v>211370</v>
      </c>
      <c r="P3344">
        <v>-93488</v>
      </c>
    </row>
    <row r="3345" spans="13:16" x14ac:dyDescent="0.3">
      <c r="M3345">
        <v>3343</v>
      </c>
      <c r="N3345">
        <v>-184101</v>
      </c>
      <c r="P3345">
        <v>-147207</v>
      </c>
    </row>
    <row r="3346" spans="13:16" x14ac:dyDescent="0.3">
      <c r="M3346">
        <v>3344</v>
      </c>
      <c r="N3346">
        <v>-550882</v>
      </c>
      <c r="P3346">
        <v>-164211</v>
      </c>
    </row>
    <row r="3347" spans="13:16" x14ac:dyDescent="0.3">
      <c r="M3347">
        <v>3345</v>
      </c>
      <c r="N3347">
        <v>-430995</v>
      </c>
      <c r="P3347">
        <v>433154</v>
      </c>
    </row>
    <row r="3348" spans="13:16" x14ac:dyDescent="0.3">
      <c r="M3348">
        <v>3346</v>
      </c>
      <c r="N3348">
        <v>69610</v>
      </c>
      <c r="P3348">
        <v>-464105</v>
      </c>
    </row>
    <row r="3349" spans="13:16" x14ac:dyDescent="0.3">
      <c r="M3349">
        <v>3347</v>
      </c>
      <c r="N3349">
        <v>821397</v>
      </c>
      <c r="P3349">
        <v>-441031</v>
      </c>
    </row>
    <row r="3350" spans="13:16" x14ac:dyDescent="0.3">
      <c r="M3350">
        <v>3348</v>
      </c>
      <c r="N3350">
        <v>-534990</v>
      </c>
      <c r="P3350">
        <v>-242044</v>
      </c>
    </row>
    <row r="3351" spans="13:16" x14ac:dyDescent="0.3">
      <c r="M3351">
        <v>3349</v>
      </c>
      <c r="N3351">
        <v>-498832</v>
      </c>
      <c r="P3351">
        <v>-225178</v>
      </c>
    </row>
    <row r="3352" spans="13:16" x14ac:dyDescent="0.3">
      <c r="M3352">
        <v>3350</v>
      </c>
      <c r="N3352">
        <v>-224402</v>
      </c>
      <c r="P3352">
        <v>293817</v>
      </c>
    </row>
    <row r="3353" spans="13:16" x14ac:dyDescent="0.3">
      <c r="M3353">
        <v>3351</v>
      </c>
      <c r="N3353">
        <v>84025</v>
      </c>
      <c r="P3353">
        <v>43106</v>
      </c>
    </row>
    <row r="3354" spans="13:16" x14ac:dyDescent="0.3">
      <c r="M3354">
        <v>3352</v>
      </c>
      <c r="N3354">
        <v>-299562</v>
      </c>
      <c r="P3354">
        <v>-420663</v>
      </c>
    </row>
    <row r="3355" spans="13:16" x14ac:dyDescent="0.3">
      <c r="M3355">
        <v>3353</v>
      </c>
      <c r="N3355">
        <v>684058</v>
      </c>
      <c r="P3355">
        <v>969625</v>
      </c>
    </row>
    <row r="3356" spans="13:16" x14ac:dyDescent="0.3">
      <c r="M3356">
        <v>3354</v>
      </c>
      <c r="N3356">
        <v>-145809</v>
      </c>
      <c r="P3356">
        <v>4403</v>
      </c>
    </row>
    <row r="3357" spans="13:16" x14ac:dyDescent="0.3">
      <c r="M3357">
        <v>3355</v>
      </c>
      <c r="N3357">
        <v>-38004</v>
      </c>
      <c r="P3357">
        <v>-161669</v>
      </c>
    </row>
    <row r="3358" spans="13:16" x14ac:dyDescent="0.3">
      <c r="M3358">
        <v>3356</v>
      </c>
      <c r="N3358">
        <v>-497788</v>
      </c>
      <c r="P3358">
        <v>620119</v>
      </c>
    </row>
    <row r="3359" spans="13:16" x14ac:dyDescent="0.3">
      <c r="M3359">
        <v>3357</v>
      </c>
      <c r="N3359">
        <v>-99369</v>
      </c>
      <c r="P3359">
        <v>687945</v>
      </c>
    </row>
    <row r="3360" spans="13:16" x14ac:dyDescent="0.3">
      <c r="M3360">
        <v>3358</v>
      </c>
      <c r="N3360">
        <v>-410542</v>
      </c>
      <c r="P3360">
        <v>-274145</v>
      </c>
    </row>
    <row r="3361" spans="13:16" x14ac:dyDescent="0.3">
      <c r="M3361">
        <v>3359</v>
      </c>
      <c r="N3361">
        <v>-461931</v>
      </c>
      <c r="P3361">
        <v>-73732</v>
      </c>
    </row>
    <row r="3362" spans="13:16" x14ac:dyDescent="0.3">
      <c r="M3362">
        <v>3360</v>
      </c>
      <c r="N3362">
        <v>640844</v>
      </c>
      <c r="P3362">
        <v>-381316</v>
      </c>
    </row>
    <row r="3363" spans="13:16" x14ac:dyDescent="0.3">
      <c r="M3363">
        <v>3361</v>
      </c>
      <c r="N3363">
        <v>-191122</v>
      </c>
      <c r="P3363">
        <v>-205960</v>
      </c>
    </row>
    <row r="3364" spans="13:16" x14ac:dyDescent="0.3">
      <c r="M3364">
        <v>3362</v>
      </c>
      <c r="N3364">
        <v>-264374</v>
      </c>
      <c r="P3364">
        <v>-330409</v>
      </c>
    </row>
    <row r="3365" spans="13:16" x14ac:dyDescent="0.3">
      <c r="M3365">
        <v>3363</v>
      </c>
      <c r="N3365">
        <v>66779</v>
      </c>
      <c r="P3365">
        <v>557432</v>
      </c>
    </row>
    <row r="3366" spans="13:16" x14ac:dyDescent="0.3">
      <c r="M3366">
        <v>3364</v>
      </c>
      <c r="N3366">
        <v>-94258</v>
      </c>
      <c r="P3366">
        <v>-202186</v>
      </c>
    </row>
    <row r="3367" spans="13:16" x14ac:dyDescent="0.3">
      <c r="M3367">
        <v>3365</v>
      </c>
      <c r="N3367">
        <v>166182</v>
      </c>
      <c r="P3367">
        <v>901240</v>
      </c>
    </row>
    <row r="3368" spans="13:16" x14ac:dyDescent="0.3">
      <c r="M3368">
        <v>3366</v>
      </c>
      <c r="N3368">
        <v>-747592</v>
      </c>
      <c r="P3368">
        <v>-478224</v>
      </c>
    </row>
    <row r="3369" spans="13:16" x14ac:dyDescent="0.3">
      <c r="M3369">
        <v>3367</v>
      </c>
      <c r="N3369">
        <v>630692</v>
      </c>
      <c r="P3369">
        <v>-65724</v>
      </c>
    </row>
    <row r="3370" spans="13:16" x14ac:dyDescent="0.3">
      <c r="M3370">
        <v>3368</v>
      </c>
      <c r="N3370">
        <v>-32077</v>
      </c>
      <c r="P3370">
        <v>-199151</v>
      </c>
    </row>
    <row r="3371" spans="13:16" x14ac:dyDescent="0.3">
      <c r="M3371">
        <v>3369</v>
      </c>
      <c r="N3371">
        <v>-393179</v>
      </c>
      <c r="P3371">
        <v>-535995</v>
      </c>
    </row>
    <row r="3372" spans="13:16" x14ac:dyDescent="0.3">
      <c r="M3372">
        <v>3370</v>
      </c>
      <c r="N3372">
        <v>-584976</v>
      </c>
      <c r="P3372">
        <v>-259371</v>
      </c>
    </row>
    <row r="3373" spans="13:16" x14ac:dyDescent="0.3">
      <c r="M3373">
        <v>3371</v>
      </c>
      <c r="N3373">
        <v>717178</v>
      </c>
      <c r="P3373">
        <v>-47019</v>
      </c>
    </row>
    <row r="3374" spans="13:16" x14ac:dyDescent="0.3">
      <c r="M3374">
        <v>3372</v>
      </c>
      <c r="N3374">
        <v>296325</v>
      </c>
      <c r="P3374">
        <v>-209384</v>
      </c>
    </row>
    <row r="3375" spans="13:16" x14ac:dyDescent="0.3">
      <c r="M3375">
        <v>3373</v>
      </c>
      <c r="N3375">
        <v>491083</v>
      </c>
      <c r="P3375">
        <v>-220826</v>
      </c>
    </row>
    <row r="3376" spans="13:16" x14ac:dyDescent="0.3">
      <c r="M3376">
        <v>3374</v>
      </c>
      <c r="N3376">
        <v>-26507</v>
      </c>
      <c r="P3376">
        <v>-395771</v>
      </c>
    </row>
    <row r="3377" spans="13:16" x14ac:dyDescent="0.3">
      <c r="M3377">
        <v>3375</v>
      </c>
      <c r="N3377">
        <v>409885</v>
      </c>
      <c r="P3377">
        <v>-510863</v>
      </c>
    </row>
    <row r="3378" spans="13:16" x14ac:dyDescent="0.3">
      <c r="M3378">
        <v>3376</v>
      </c>
      <c r="N3378">
        <v>-532448</v>
      </c>
      <c r="P3378">
        <v>460315</v>
      </c>
    </row>
    <row r="3379" spans="13:16" x14ac:dyDescent="0.3">
      <c r="M3379">
        <v>3377</v>
      </c>
      <c r="N3379">
        <v>936236</v>
      </c>
      <c r="P3379">
        <v>-434941</v>
      </c>
    </row>
    <row r="3380" spans="13:16" x14ac:dyDescent="0.3">
      <c r="M3380">
        <v>3378</v>
      </c>
      <c r="N3380">
        <v>-395499</v>
      </c>
      <c r="P3380">
        <v>259338</v>
      </c>
    </row>
    <row r="3381" spans="13:16" x14ac:dyDescent="0.3">
      <c r="M3381">
        <v>3379</v>
      </c>
      <c r="N3381">
        <v>885030</v>
      </c>
      <c r="P3381">
        <v>-198357</v>
      </c>
    </row>
    <row r="3382" spans="13:16" x14ac:dyDescent="0.3">
      <c r="M3382">
        <v>3380</v>
      </c>
      <c r="N3382">
        <v>-435071</v>
      </c>
      <c r="P3382">
        <v>-781125</v>
      </c>
    </row>
    <row r="3383" spans="13:16" x14ac:dyDescent="0.3">
      <c r="M3383">
        <v>3381</v>
      </c>
      <c r="N3383">
        <v>-29725</v>
      </c>
      <c r="P3383">
        <v>-757744</v>
      </c>
    </row>
    <row r="3384" spans="13:16" x14ac:dyDescent="0.3">
      <c r="M3384">
        <v>3382</v>
      </c>
      <c r="N3384">
        <v>-17269</v>
      </c>
      <c r="P3384">
        <v>403289</v>
      </c>
    </row>
    <row r="3385" spans="13:16" x14ac:dyDescent="0.3">
      <c r="M3385">
        <v>3383</v>
      </c>
      <c r="N3385">
        <v>517876</v>
      </c>
      <c r="P3385">
        <v>344467</v>
      </c>
    </row>
    <row r="3386" spans="13:16" x14ac:dyDescent="0.3">
      <c r="M3386">
        <v>3384</v>
      </c>
      <c r="N3386">
        <v>-25316</v>
      </c>
      <c r="P3386">
        <v>372949</v>
      </c>
    </row>
    <row r="3387" spans="13:16" x14ac:dyDescent="0.3">
      <c r="M3387">
        <v>3385</v>
      </c>
      <c r="N3387">
        <v>336204</v>
      </c>
      <c r="P3387">
        <v>-52624</v>
      </c>
    </row>
    <row r="3388" spans="13:16" x14ac:dyDescent="0.3">
      <c r="M3388">
        <v>3386</v>
      </c>
      <c r="N3388">
        <v>546885</v>
      </c>
      <c r="P3388">
        <v>-86168</v>
      </c>
    </row>
    <row r="3389" spans="13:16" x14ac:dyDescent="0.3">
      <c r="M3389">
        <v>3387</v>
      </c>
      <c r="N3389">
        <v>139874</v>
      </c>
      <c r="P3389">
        <v>217974</v>
      </c>
    </row>
    <row r="3390" spans="13:16" x14ac:dyDescent="0.3">
      <c r="M3390">
        <v>3388</v>
      </c>
      <c r="N3390">
        <v>-23362</v>
      </c>
      <c r="P3390">
        <v>-750638</v>
      </c>
    </row>
    <row r="3391" spans="13:16" x14ac:dyDescent="0.3">
      <c r="M3391">
        <v>3389</v>
      </c>
      <c r="N3391">
        <v>227458</v>
      </c>
      <c r="P3391">
        <v>-536507</v>
      </c>
    </row>
    <row r="3392" spans="13:16" x14ac:dyDescent="0.3">
      <c r="M3392">
        <v>3390</v>
      </c>
      <c r="N3392">
        <v>-826825</v>
      </c>
      <c r="P3392">
        <v>175650</v>
      </c>
    </row>
    <row r="3393" spans="13:16" x14ac:dyDescent="0.3">
      <c r="M3393">
        <v>3391</v>
      </c>
      <c r="N3393">
        <v>497676</v>
      </c>
      <c r="P3393">
        <v>-313281</v>
      </c>
    </row>
    <row r="3394" spans="13:16" x14ac:dyDescent="0.3">
      <c r="M3394">
        <v>3392</v>
      </c>
      <c r="N3394">
        <v>-422434</v>
      </c>
      <c r="P3394">
        <v>395820</v>
      </c>
    </row>
    <row r="3395" spans="13:16" x14ac:dyDescent="0.3">
      <c r="M3395">
        <v>3393</v>
      </c>
      <c r="N3395">
        <v>-174195</v>
      </c>
      <c r="P3395">
        <v>-737987</v>
      </c>
    </row>
    <row r="3396" spans="13:16" x14ac:dyDescent="0.3">
      <c r="M3396">
        <v>3394</v>
      </c>
      <c r="N3396">
        <v>68873</v>
      </c>
      <c r="P3396">
        <v>567699</v>
      </c>
    </row>
    <row r="3397" spans="13:16" x14ac:dyDescent="0.3">
      <c r="M3397">
        <v>3395</v>
      </c>
      <c r="N3397">
        <v>-547924</v>
      </c>
      <c r="P3397">
        <v>-366418</v>
      </c>
    </row>
    <row r="3398" spans="13:16" x14ac:dyDescent="0.3">
      <c r="M3398">
        <v>3396</v>
      </c>
      <c r="N3398">
        <v>-162973</v>
      </c>
      <c r="P3398">
        <v>-510678</v>
      </c>
    </row>
    <row r="3399" spans="13:16" x14ac:dyDescent="0.3">
      <c r="M3399">
        <v>3397</v>
      </c>
      <c r="N3399">
        <v>557835</v>
      </c>
      <c r="P3399">
        <v>542533</v>
      </c>
    </row>
    <row r="3400" spans="13:16" x14ac:dyDescent="0.3">
      <c r="M3400">
        <v>3398</v>
      </c>
      <c r="N3400">
        <v>876173</v>
      </c>
      <c r="P3400">
        <v>-378789</v>
      </c>
    </row>
    <row r="3401" spans="13:16" x14ac:dyDescent="0.3">
      <c r="M3401">
        <v>3399</v>
      </c>
      <c r="N3401">
        <v>-486391</v>
      </c>
      <c r="P3401">
        <v>457186</v>
      </c>
    </row>
    <row r="3402" spans="13:16" x14ac:dyDescent="0.3">
      <c r="M3402">
        <v>3400</v>
      </c>
      <c r="N3402">
        <v>-455685</v>
      </c>
      <c r="P3402">
        <v>467994</v>
      </c>
    </row>
    <row r="3403" spans="13:16" x14ac:dyDescent="0.3">
      <c r="M3403">
        <v>3401</v>
      </c>
      <c r="N3403">
        <v>-633117</v>
      </c>
      <c r="P3403">
        <v>-278294</v>
      </c>
    </row>
    <row r="3404" spans="13:16" x14ac:dyDescent="0.3">
      <c r="M3404">
        <v>3402</v>
      </c>
      <c r="N3404">
        <v>-348197</v>
      </c>
      <c r="P3404">
        <v>-264178</v>
      </c>
    </row>
    <row r="3405" spans="13:16" x14ac:dyDescent="0.3">
      <c r="M3405">
        <v>3403</v>
      </c>
      <c r="N3405">
        <v>-729077</v>
      </c>
      <c r="P3405">
        <v>106308</v>
      </c>
    </row>
    <row r="3406" spans="13:16" x14ac:dyDescent="0.3">
      <c r="M3406">
        <v>3404</v>
      </c>
      <c r="N3406">
        <v>444631</v>
      </c>
      <c r="P3406">
        <v>187046</v>
      </c>
    </row>
    <row r="3407" spans="13:16" x14ac:dyDescent="0.3">
      <c r="M3407">
        <v>3405</v>
      </c>
      <c r="N3407">
        <v>186688</v>
      </c>
      <c r="P3407">
        <v>-565857</v>
      </c>
    </row>
    <row r="3408" spans="13:16" x14ac:dyDescent="0.3">
      <c r="M3408">
        <v>3406</v>
      </c>
      <c r="N3408">
        <v>378176</v>
      </c>
      <c r="P3408">
        <v>169162</v>
      </c>
    </row>
    <row r="3409" spans="13:16" x14ac:dyDescent="0.3">
      <c r="M3409">
        <v>3407</v>
      </c>
      <c r="N3409">
        <v>583661</v>
      </c>
      <c r="P3409">
        <v>-260300</v>
      </c>
    </row>
    <row r="3410" spans="13:16" x14ac:dyDescent="0.3">
      <c r="M3410">
        <v>3408</v>
      </c>
      <c r="N3410">
        <v>264101</v>
      </c>
      <c r="P3410">
        <v>401143</v>
      </c>
    </row>
    <row r="3411" spans="13:16" x14ac:dyDescent="0.3">
      <c r="M3411">
        <v>3409</v>
      </c>
      <c r="N3411">
        <v>-603933</v>
      </c>
      <c r="P3411">
        <v>-289447</v>
      </c>
    </row>
    <row r="3412" spans="13:16" x14ac:dyDescent="0.3">
      <c r="M3412">
        <v>3410</v>
      </c>
      <c r="N3412">
        <v>-556326</v>
      </c>
      <c r="P3412">
        <v>-414134</v>
      </c>
    </row>
    <row r="3413" spans="13:16" x14ac:dyDescent="0.3">
      <c r="M3413">
        <v>3411</v>
      </c>
      <c r="N3413">
        <v>328787</v>
      </c>
      <c r="P3413">
        <v>700164</v>
      </c>
    </row>
    <row r="3414" spans="13:16" x14ac:dyDescent="0.3">
      <c r="M3414">
        <v>3412</v>
      </c>
      <c r="N3414">
        <v>-386460</v>
      </c>
      <c r="P3414">
        <v>242054</v>
      </c>
    </row>
    <row r="3415" spans="13:16" x14ac:dyDescent="0.3">
      <c r="M3415">
        <v>3413</v>
      </c>
      <c r="N3415">
        <v>-54408</v>
      </c>
      <c r="P3415">
        <v>290305</v>
      </c>
    </row>
    <row r="3416" spans="13:16" x14ac:dyDescent="0.3">
      <c r="M3416">
        <v>3414</v>
      </c>
      <c r="N3416">
        <v>-101259</v>
      </c>
      <c r="P3416">
        <v>27290</v>
      </c>
    </row>
    <row r="3417" spans="13:16" x14ac:dyDescent="0.3">
      <c r="M3417">
        <v>3415</v>
      </c>
      <c r="N3417">
        <v>308854</v>
      </c>
      <c r="P3417">
        <v>-215664</v>
      </c>
    </row>
    <row r="3418" spans="13:16" x14ac:dyDescent="0.3">
      <c r="M3418">
        <v>3416</v>
      </c>
      <c r="N3418">
        <v>139148</v>
      </c>
      <c r="P3418">
        <v>-354710</v>
      </c>
    </row>
    <row r="3419" spans="13:16" x14ac:dyDescent="0.3">
      <c r="M3419">
        <v>3417</v>
      </c>
      <c r="N3419">
        <v>-181518</v>
      </c>
      <c r="P3419">
        <v>-416756</v>
      </c>
    </row>
    <row r="3420" spans="13:16" x14ac:dyDescent="0.3">
      <c r="M3420">
        <v>3418</v>
      </c>
      <c r="N3420">
        <v>332694</v>
      </c>
      <c r="P3420">
        <v>381000</v>
      </c>
    </row>
    <row r="3421" spans="13:16" x14ac:dyDescent="0.3">
      <c r="M3421">
        <v>3419</v>
      </c>
      <c r="N3421">
        <v>-290146</v>
      </c>
      <c r="P3421">
        <v>-137819</v>
      </c>
    </row>
    <row r="3422" spans="13:16" x14ac:dyDescent="0.3">
      <c r="M3422">
        <v>3420</v>
      </c>
      <c r="N3422">
        <v>-342464</v>
      </c>
      <c r="P3422">
        <v>-78840</v>
      </c>
    </row>
    <row r="3423" spans="13:16" x14ac:dyDescent="0.3">
      <c r="M3423">
        <v>3421</v>
      </c>
      <c r="N3423">
        <v>-391617</v>
      </c>
      <c r="P3423">
        <v>-602776</v>
      </c>
    </row>
    <row r="3424" spans="13:16" x14ac:dyDescent="0.3">
      <c r="M3424">
        <v>3422</v>
      </c>
      <c r="N3424">
        <v>371115</v>
      </c>
      <c r="P3424">
        <v>-310059</v>
      </c>
    </row>
    <row r="3425" spans="13:16" x14ac:dyDescent="0.3">
      <c r="M3425">
        <v>3423</v>
      </c>
      <c r="N3425">
        <v>-444997</v>
      </c>
      <c r="P3425">
        <v>-642491</v>
      </c>
    </row>
    <row r="3426" spans="13:16" x14ac:dyDescent="0.3">
      <c r="M3426">
        <v>3424</v>
      </c>
      <c r="N3426">
        <v>-9065</v>
      </c>
      <c r="P3426">
        <v>461995</v>
      </c>
    </row>
    <row r="3427" spans="13:16" x14ac:dyDescent="0.3">
      <c r="M3427">
        <v>3425</v>
      </c>
      <c r="N3427">
        <v>720407</v>
      </c>
      <c r="P3427">
        <v>71476</v>
      </c>
    </row>
    <row r="3428" spans="13:16" x14ac:dyDescent="0.3">
      <c r="M3428">
        <v>3426</v>
      </c>
      <c r="N3428">
        <v>-489303</v>
      </c>
      <c r="P3428">
        <v>811155</v>
      </c>
    </row>
    <row r="3429" spans="13:16" x14ac:dyDescent="0.3">
      <c r="M3429">
        <v>3427</v>
      </c>
      <c r="N3429">
        <v>194965</v>
      </c>
      <c r="P3429">
        <v>-420445</v>
      </c>
    </row>
    <row r="3430" spans="13:16" x14ac:dyDescent="0.3">
      <c r="M3430">
        <v>3428</v>
      </c>
      <c r="N3430">
        <v>-157240</v>
      </c>
      <c r="P3430">
        <v>-77422</v>
      </c>
    </row>
    <row r="3431" spans="13:16" x14ac:dyDescent="0.3">
      <c r="M3431">
        <v>3429</v>
      </c>
      <c r="N3431">
        <v>347355</v>
      </c>
      <c r="P3431">
        <v>-499047</v>
      </c>
    </row>
    <row r="3432" spans="13:16" x14ac:dyDescent="0.3">
      <c r="M3432">
        <v>3430</v>
      </c>
      <c r="N3432">
        <v>-2225</v>
      </c>
      <c r="P3432">
        <v>-307113</v>
      </c>
    </row>
    <row r="3433" spans="13:16" x14ac:dyDescent="0.3">
      <c r="M3433">
        <v>3431</v>
      </c>
      <c r="N3433">
        <v>398428</v>
      </c>
      <c r="P3433">
        <v>-439668</v>
      </c>
    </row>
    <row r="3434" spans="13:16" x14ac:dyDescent="0.3">
      <c r="M3434">
        <v>3432</v>
      </c>
      <c r="N3434">
        <v>117676</v>
      </c>
      <c r="P3434">
        <v>293522</v>
      </c>
    </row>
    <row r="3435" spans="13:16" x14ac:dyDescent="0.3">
      <c r="M3435">
        <v>3433</v>
      </c>
      <c r="N3435">
        <v>-688363</v>
      </c>
      <c r="P3435">
        <v>-88659</v>
      </c>
    </row>
    <row r="3436" spans="13:16" x14ac:dyDescent="0.3">
      <c r="M3436">
        <v>3434</v>
      </c>
      <c r="N3436">
        <v>-406868</v>
      </c>
      <c r="P3436">
        <v>-544387</v>
      </c>
    </row>
    <row r="3437" spans="13:16" x14ac:dyDescent="0.3">
      <c r="M3437">
        <v>3435</v>
      </c>
      <c r="N3437">
        <v>-349025</v>
      </c>
      <c r="P3437">
        <v>290408</v>
      </c>
    </row>
    <row r="3438" spans="13:16" x14ac:dyDescent="0.3">
      <c r="M3438">
        <v>3436</v>
      </c>
      <c r="N3438">
        <v>225934</v>
      </c>
      <c r="P3438">
        <v>-586481</v>
      </c>
    </row>
    <row r="3439" spans="13:16" x14ac:dyDescent="0.3">
      <c r="M3439">
        <v>3437</v>
      </c>
      <c r="N3439">
        <v>325634</v>
      </c>
      <c r="P3439">
        <v>-274995</v>
      </c>
    </row>
    <row r="3440" spans="13:16" x14ac:dyDescent="0.3">
      <c r="M3440">
        <v>3438</v>
      </c>
      <c r="N3440">
        <v>550481</v>
      </c>
      <c r="P3440">
        <v>295889</v>
      </c>
    </row>
    <row r="3441" spans="13:16" x14ac:dyDescent="0.3">
      <c r="M3441">
        <v>3439</v>
      </c>
      <c r="N3441">
        <v>-457388</v>
      </c>
      <c r="P3441">
        <v>720317</v>
      </c>
    </row>
    <row r="3442" spans="13:16" x14ac:dyDescent="0.3">
      <c r="M3442">
        <v>3440</v>
      </c>
      <c r="N3442">
        <v>-139057</v>
      </c>
      <c r="P3442">
        <v>-198975</v>
      </c>
    </row>
    <row r="3443" spans="13:16" x14ac:dyDescent="0.3">
      <c r="M3443">
        <v>3441</v>
      </c>
      <c r="N3443">
        <v>-27532</v>
      </c>
      <c r="P3443">
        <v>-606733</v>
      </c>
    </row>
    <row r="3444" spans="13:16" x14ac:dyDescent="0.3">
      <c r="M3444">
        <v>3442</v>
      </c>
      <c r="N3444">
        <v>-262986</v>
      </c>
      <c r="P3444">
        <v>-416822</v>
      </c>
    </row>
    <row r="3445" spans="13:16" x14ac:dyDescent="0.3">
      <c r="M3445">
        <v>3443</v>
      </c>
      <c r="N3445">
        <v>422335</v>
      </c>
      <c r="P3445">
        <v>18258</v>
      </c>
    </row>
    <row r="3446" spans="13:16" x14ac:dyDescent="0.3">
      <c r="M3446">
        <v>3444</v>
      </c>
      <c r="N3446">
        <v>226516</v>
      </c>
      <c r="P3446">
        <v>498303</v>
      </c>
    </row>
    <row r="3447" spans="13:16" x14ac:dyDescent="0.3">
      <c r="M3447">
        <v>3445</v>
      </c>
      <c r="N3447">
        <v>24358</v>
      </c>
      <c r="P3447">
        <v>151360</v>
      </c>
    </row>
    <row r="3448" spans="13:16" x14ac:dyDescent="0.3">
      <c r="M3448">
        <v>3446</v>
      </c>
      <c r="N3448">
        <v>549323</v>
      </c>
      <c r="P3448">
        <v>-413</v>
      </c>
    </row>
    <row r="3449" spans="13:16" x14ac:dyDescent="0.3">
      <c r="M3449">
        <v>3447</v>
      </c>
      <c r="N3449">
        <v>-253646</v>
      </c>
      <c r="P3449">
        <v>154095</v>
      </c>
    </row>
    <row r="3450" spans="13:16" x14ac:dyDescent="0.3">
      <c r="M3450">
        <v>3448</v>
      </c>
      <c r="N3450">
        <v>440391</v>
      </c>
      <c r="P3450">
        <v>106622</v>
      </c>
    </row>
    <row r="3451" spans="13:16" x14ac:dyDescent="0.3">
      <c r="M3451">
        <v>3449</v>
      </c>
      <c r="N3451">
        <v>183479</v>
      </c>
      <c r="P3451">
        <v>492249</v>
      </c>
    </row>
    <row r="3452" spans="13:16" x14ac:dyDescent="0.3">
      <c r="M3452">
        <v>3450</v>
      </c>
      <c r="N3452">
        <v>82546</v>
      </c>
      <c r="P3452">
        <v>789619</v>
      </c>
    </row>
    <row r="3453" spans="13:16" x14ac:dyDescent="0.3">
      <c r="M3453">
        <v>3451</v>
      </c>
      <c r="N3453">
        <v>357217</v>
      </c>
      <c r="P3453">
        <v>6633</v>
      </c>
    </row>
    <row r="3454" spans="13:16" x14ac:dyDescent="0.3">
      <c r="M3454">
        <v>3452</v>
      </c>
      <c r="N3454">
        <v>-59468</v>
      </c>
      <c r="P3454">
        <v>-722736</v>
      </c>
    </row>
    <row r="3455" spans="13:16" x14ac:dyDescent="0.3">
      <c r="M3455">
        <v>3453</v>
      </c>
      <c r="N3455">
        <v>705844</v>
      </c>
      <c r="P3455">
        <v>362320</v>
      </c>
    </row>
    <row r="3456" spans="13:16" x14ac:dyDescent="0.3">
      <c r="M3456">
        <v>3454</v>
      </c>
      <c r="N3456">
        <v>-405128</v>
      </c>
      <c r="P3456">
        <v>-191772</v>
      </c>
    </row>
    <row r="3457" spans="13:16" x14ac:dyDescent="0.3">
      <c r="M3457">
        <v>3455</v>
      </c>
      <c r="N3457">
        <v>-164272</v>
      </c>
      <c r="P3457">
        <v>61535</v>
      </c>
    </row>
    <row r="3458" spans="13:16" x14ac:dyDescent="0.3">
      <c r="M3458">
        <v>3456</v>
      </c>
      <c r="N3458">
        <v>-289224</v>
      </c>
      <c r="P3458">
        <v>374683</v>
      </c>
    </row>
    <row r="3459" spans="13:16" x14ac:dyDescent="0.3">
      <c r="M3459">
        <v>3457</v>
      </c>
      <c r="N3459">
        <v>-780605</v>
      </c>
      <c r="P3459">
        <v>-128621</v>
      </c>
    </row>
    <row r="3460" spans="13:16" x14ac:dyDescent="0.3">
      <c r="M3460">
        <v>3458</v>
      </c>
      <c r="N3460">
        <v>390401</v>
      </c>
      <c r="P3460">
        <v>190112</v>
      </c>
    </row>
    <row r="3461" spans="13:16" x14ac:dyDescent="0.3">
      <c r="M3461">
        <v>3459</v>
      </c>
      <c r="N3461">
        <v>-24273</v>
      </c>
      <c r="P3461">
        <v>-123039</v>
      </c>
    </row>
    <row r="3462" spans="13:16" x14ac:dyDescent="0.3">
      <c r="M3462">
        <v>3460</v>
      </c>
      <c r="N3462">
        <v>475470</v>
      </c>
      <c r="P3462">
        <v>987214</v>
      </c>
    </row>
    <row r="3463" spans="13:16" x14ac:dyDescent="0.3">
      <c r="M3463">
        <v>3461</v>
      </c>
      <c r="N3463">
        <v>-118230</v>
      </c>
      <c r="P3463">
        <v>504228</v>
      </c>
    </row>
    <row r="3464" spans="13:16" x14ac:dyDescent="0.3">
      <c r="M3464">
        <v>3462</v>
      </c>
      <c r="N3464">
        <v>-666107</v>
      </c>
      <c r="P3464">
        <v>-24201</v>
      </c>
    </row>
    <row r="3465" spans="13:16" x14ac:dyDescent="0.3">
      <c r="M3465">
        <v>3463</v>
      </c>
      <c r="N3465">
        <v>-531123</v>
      </c>
      <c r="P3465">
        <v>391222</v>
      </c>
    </row>
    <row r="3466" spans="13:16" x14ac:dyDescent="0.3">
      <c r="M3466">
        <v>3464</v>
      </c>
      <c r="N3466">
        <v>29583</v>
      </c>
      <c r="P3466">
        <v>351812</v>
      </c>
    </row>
    <row r="3467" spans="13:16" x14ac:dyDescent="0.3">
      <c r="M3467">
        <v>3465</v>
      </c>
      <c r="N3467">
        <v>521700</v>
      </c>
      <c r="P3467">
        <v>-5849</v>
      </c>
    </row>
    <row r="3468" spans="13:16" x14ac:dyDescent="0.3">
      <c r="M3468">
        <v>3466</v>
      </c>
      <c r="N3468">
        <v>345390</v>
      </c>
      <c r="P3468">
        <v>-87342</v>
      </c>
    </row>
    <row r="3469" spans="13:16" x14ac:dyDescent="0.3">
      <c r="M3469">
        <v>3467</v>
      </c>
      <c r="N3469">
        <v>-679854</v>
      </c>
      <c r="P3469">
        <v>-23535</v>
      </c>
    </row>
    <row r="3470" spans="13:16" x14ac:dyDescent="0.3">
      <c r="M3470">
        <v>3468</v>
      </c>
      <c r="N3470">
        <v>-58810</v>
      </c>
      <c r="P3470">
        <v>808980</v>
      </c>
    </row>
    <row r="3471" spans="13:16" x14ac:dyDescent="0.3">
      <c r="M3471">
        <v>3469</v>
      </c>
      <c r="N3471">
        <v>-480769</v>
      </c>
      <c r="P3471">
        <v>-131608</v>
      </c>
    </row>
    <row r="3472" spans="13:16" x14ac:dyDescent="0.3">
      <c r="M3472">
        <v>3470</v>
      </c>
      <c r="N3472">
        <v>684541</v>
      </c>
      <c r="P3472">
        <v>-318652</v>
      </c>
    </row>
    <row r="3473" spans="13:16" x14ac:dyDescent="0.3">
      <c r="M3473">
        <v>3471</v>
      </c>
      <c r="N3473">
        <v>-780678</v>
      </c>
      <c r="P3473">
        <v>-746390</v>
      </c>
    </row>
    <row r="3474" spans="13:16" x14ac:dyDescent="0.3">
      <c r="M3474">
        <v>3472</v>
      </c>
      <c r="N3474">
        <v>449500</v>
      </c>
      <c r="P3474">
        <v>145704</v>
      </c>
    </row>
    <row r="3475" spans="13:16" x14ac:dyDescent="0.3">
      <c r="M3475">
        <v>3473</v>
      </c>
      <c r="N3475">
        <v>409949</v>
      </c>
      <c r="P3475">
        <v>322795</v>
      </c>
    </row>
    <row r="3476" spans="13:16" x14ac:dyDescent="0.3">
      <c r="M3476">
        <v>3474</v>
      </c>
      <c r="N3476">
        <v>282330</v>
      </c>
      <c r="P3476">
        <v>-704553</v>
      </c>
    </row>
    <row r="3477" spans="13:16" x14ac:dyDescent="0.3">
      <c r="M3477">
        <v>3475</v>
      </c>
      <c r="N3477">
        <v>18751</v>
      </c>
      <c r="P3477">
        <v>604062</v>
      </c>
    </row>
    <row r="3478" spans="13:16" x14ac:dyDescent="0.3">
      <c r="M3478">
        <v>3476</v>
      </c>
      <c r="N3478">
        <v>1021738</v>
      </c>
      <c r="P3478">
        <v>56251</v>
      </c>
    </row>
    <row r="3479" spans="13:16" x14ac:dyDescent="0.3">
      <c r="M3479">
        <v>3477</v>
      </c>
      <c r="N3479">
        <v>597396</v>
      </c>
      <c r="P3479">
        <v>532361</v>
      </c>
    </row>
    <row r="3480" spans="13:16" x14ac:dyDescent="0.3">
      <c r="M3480">
        <v>3478</v>
      </c>
      <c r="N3480">
        <v>864382</v>
      </c>
      <c r="P3480">
        <v>540526</v>
      </c>
    </row>
    <row r="3481" spans="13:16" x14ac:dyDescent="0.3">
      <c r="M3481">
        <v>3479</v>
      </c>
      <c r="N3481">
        <v>20069</v>
      </c>
      <c r="P3481">
        <v>-271051</v>
      </c>
    </row>
    <row r="3482" spans="13:16" x14ac:dyDescent="0.3">
      <c r="M3482">
        <v>3480</v>
      </c>
      <c r="N3482">
        <v>528181</v>
      </c>
      <c r="P3482">
        <v>558940</v>
      </c>
    </row>
    <row r="3483" spans="13:16" x14ac:dyDescent="0.3">
      <c r="M3483">
        <v>3481</v>
      </c>
      <c r="N3483">
        <v>-318407</v>
      </c>
      <c r="P3483">
        <v>202024</v>
      </c>
    </row>
    <row r="3484" spans="13:16" x14ac:dyDescent="0.3">
      <c r="M3484">
        <v>3482</v>
      </c>
      <c r="N3484">
        <v>-53114</v>
      </c>
      <c r="P3484">
        <v>534738</v>
      </c>
    </row>
    <row r="3485" spans="13:16" x14ac:dyDescent="0.3">
      <c r="M3485">
        <v>3483</v>
      </c>
      <c r="N3485">
        <v>-165196</v>
      </c>
      <c r="P3485">
        <v>-376104</v>
      </c>
    </row>
    <row r="3486" spans="13:16" x14ac:dyDescent="0.3">
      <c r="M3486">
        <v>3484</v>
      </c>
      <c r="N3486">
        <v>-512627</v>
      </c>
      <c r="P3486">
        <v>-509759</v>
      </c>
    </row>
    <row r="3487" spans="13:16" x14ac:dyDescent="0.3">
      <c r="M3487">
        <v>3485</v>
      </c>
      <c r="N3487">
        <v>580932</v>
      </c>
      <c r="P3487">
        <v>754326</v>
      </c>
    </row>
    <row r="3488" spans="13:16" x14ac:dyDescent="0.3">
      <c r="M3488">
        <v>3486</v>
      </c>
      <c r="N3488">
        <v>669180</v>
      </c>
      <c r="P3488">
        <v>443370</v>
      </c>
    </row>
    <row r="3489" spans="13:16" x14ac:dyDescent="0.3">
      <c r="M3489">
        <v>3487</v>
      </c>
      <c r="N3489">
        <v>-545228</v>
      </c>
      <c r="P3489">
        <v>398745</v>
      </c>
    </row>
    <row r="3490" spans="13:16" x14ac:dyDescent="0.3">
      <c r="M3490">
        <v>3488</v>
      </c>
      <c r="N3490">
        <v>48650</v>
      </c>
      <c r="P3490">
        <v>-59840</v>
      </c>
    </row>
    <row r="3491" spans="13:16" x14ac:dyDescent="0.3">
      <c r="M3491">
        <v>3489</v>
      </c>
      <c r="N3491">
        <v>47316</v>
      </c>
      <c r="P3491">
        <v>264347</v>
      </c>
    </row>
    <row r="3492" spans="13:16" x14ac:dyDescent="0.3">
      <c r="M3492">
        <v>3490</v>
      </c>
      <c r="N3492">
        <v>796422</v>
      </c>
      <c r="P3492">
        <v>6874</v>
      </c>
    </row>
    <row r="3493" spans="13:16" x14ac:dyDescent="0.3">
      <c r="M3493">
        <v>3491</v>
      </c>
      <c r="N3493">
        <v>636230</v>
      </c>
      <c r="P3493">
        <v>515901</v>
      </c>
    </row>
    <row r="3494" spans="13:16" x14ac:dyDescent="0.3">
      <c r="M3494">
        <v>3492</v>
      </c>
      <c r="N3494">
        <v>164441</v>
      </c>
      <c r="P3494">
        <v>497816</v>
      </c>
    </row>
    <row r="3495" spans="13:16" x14ac:dyDescent="0.3">
      <c r="M3495">
        <v>3493</v>
      </c>
      <c r="N3495">
        <v>359592</v>
      </c>
      <c r="P3495">
        <v>-379882</v>
      </c>
    </row>
    <row r="3496" spans="13:16" x14ac:dyDescent="0.3">
      <c r="M3496">
        <v>3494</v>
      </c>
      <c r="N3496">
        <v>390845</v>
      </c>
      <c r="P3496">
        <v>-99083</v>
      </c>
    </row>
    <row r="3497" spans="13:16" x14ac:dyDescent="0.3">
      <c r="M3497">
        <v>3495</v>
      </c>
      <c r="N3497">
        <v>471771</v>
      </c>
      <c r="P3497">
        <v>311050</v>
      </c>
    </row>
    <row r="3498" spans="13:16" x14ac:dyDescent="0.3">
      <c r="M3498">
        <v>3496</v>
      </c>
      <c r="N3498">
        <v>408480</v>
      </c>
      <c r="P3498">
        <v>32194</v>
      </c>
    </row>
    <row r="3499" spans="13:16" x14ac:dyDescent="0.3">
      <c r="M3499">
        <v>3497</v>
      </c>
      <c r="N3499">
        <v>759187</v>
      </c>
      <c r="P3499">
        <v>464909</v>
      </c>
    </row>
    <row r="3500" spans="13:16" x14ac:dyDescent="0.3">
      <c r="M3500">
        <v>3498</v>
      </c>
      <c r="N3500">
        <v>877400</v>
      </c>
      <c r="P3500">
        <v>715492</v>
      </c>
    </row>
    <row r="3501" spans="13:16" x14ac:dyDescent="0.3">
      <c r="M3501">
        <v>3499</v>
      </c>
      <c r="N3501">
        <v>-186018</v>
      </c>
      <c r="P3501">
        <v>134159</v>
      </c>
    </row>
    <row r="3502" spans="13:16" x14ac:dyDescent="0.3">
      <c r="M3502">
        <v>3500</v>
      </c>
      <c r="N3502">
        <v>32044</v>
      </c>
      <c r="P3502">
        <v>-216594</v>
      </c>
    </row>
    <row r="3503" spans="13:16" x14ac:dyDescent="0.3">
      <c r="M3503">
        <v>3501</v>
      </c>
      <c r="N3503">
        <v>581331</v>
      </c>
      <c r="P3503">
        <v>-154156</v>
      </c>
    </row>
    <row r="3504" spans="13:16" x14ac:dyDescent="0.3">
      <c r="M3504">
        <v>3502</v>
      </c>
      <c r="N3504">
        <v>-540432</v>
      </c>
      <c r="P3504">
        <v>24209</v>
      </c>
    </row>
    <row r="3505" spans="13:16" x14ac:dyDescent="0.3">
      <c r="M3505">
        <v>3503</v>
      </c>
      <c r="N3505">
        <v>-514149</v>
      </c>
      <c r="P3505">
        <v>1026274</v>
      </c>
    </row>
    <row r="3506" spans="13:16" x14ac:dyDescent="0.3">
      <c r="M3506">
        <v>3504</v>
      </c>
      <c r="N3506">
        <v>809592</v>
      </c>
      <c r="P3506">
        <v>294180</v>
      </c>
    </row>
    <row r="3507" spans="13:16" x14ac:dyDescent="0.3">
      <c r="M3507">
        <v>3505</v>
      </c>
      <c r="N3507">
        <v>-370729</v>
      </c>
      <c r="P3507">
        <v>114578</v>
      </c>
    </row>
    <row r="3508" spans="13:16" x14ac:dyDescent="0.3">
      <c r="M3508">
        <v>3506</v>
      </c>
      <c r="N3508">
        <v>160020</v>
      </c>
      <c r="P3508">
        <v>-123102</v>
      </c>
    </row>
    <row r="3509" spans="13:16" x14ac:dyDescent="0.3">
      <c r="M3509">
        <v>3507</v>
      </c>
      <c r="N3509">
        <v>104262</v>
      </c>
      <c r="P3509">
        <v>50045</v>
      </c>
    </row>
    <row r="3510" spans="13:16" x14ac:dyDescent="0.3">
      <c r="M3510">
        <v>3508</v>
      </c>
      <c r="N3510">
        <v>591149</v>
      </c>
      <c r="P3510">
        <v>-1919</v>
      </c>
    </row>
    <row r="3511" spans="13:16" x14ac:dyDescent="0.3">
      <c r="M3511">
        <v>3509</v>
      </c>
      <c r="N3511">
        <v>79982</v>
      </c>
      <c r="P3511">
        <v>-401025</v>
      </c>
    </row>
    <row r="3512" spans="13:16" x14ac:dyDescent="0.3">
      <c r="M3512">
        <v>3510</v>
      </c>
      <c r="N3512">
        <v>662451</v>
      </c>
      <c r="P3512">
        <v>-219289</v>
      </c>
    </row>
    <row r="3513" spans="13:16" x14ac:dyDescent="0.3">
      <c r="M3513">
        <v>3511</v>
      </c>
      <c r="N3513">
        <v>102991</v>
      </c>
      <c r="P3513">
        <v>-423833</v>
      </c>
    </row>
    <row r="3514" spans="13:16" x14ac:dyDescent="0.3">
      <c r="M3514">
        <v>3512</v>
      </c>
      <c r="N3514">
        <v>-132992</v>
      </c>
      <c r="P3514">
        <v>-218843</v>
      </c>
    </row>
    <row r="3515" spans="13:16" x14ac:dyDescent="0.3">
      <c r="M3515">
        <v>3513</v>
      </c>
      <c r="N3515">
        <v>-756984</v>
      </c>
      <c r="P3515">
        <v>154475</v>
      </c>
    </row>
    <row r="3516" spans="13:16" x14ac:dyDescent="0.3">
      <c r="M3516">
        <v>3514</v>
      </c>
      <c r="N3516">
        <v>330806</v>
      </c>
      <c r="P3516">
        <v>128294</v>
      </c>
    </row>
    <row r="3517" spans="13:16" x14ac:dyDescent="0.3">
      <c r="M3517">
        <v>3515</v>
      </c>
      <c r="N3517">
        <v>-116475</v>
      </c>
      <c r="P3517">
        <v>-52400</v>
      </c>
    </row>
    <row r="3518" spans="13:16" x14ac:dyDescent="0.3">
      <c r="M3518">
        <v>3516</v>
      </c>
      <c r="N3518">
        <v>-711722</v>
      </c>
      <c r="P3518">
        <v>707547</v>
      </c>
    </row>
    <row r="3519" spans="13:16" x14ac:dyDescent="0.3">
      <c r="M3519">
        <v>3517</v>
      </c>
      <c r="N3519">
        <v>707034</v>
      </c>
      <c r="P3519">
        <v>89358</v>
      </c>
    </row>
    <row r="3520" spans="13:16" x14ac:dyDescent="0.3">
      <c r="M3520">
        <v>3518</v>
      </c>
      <c r="N3520">
        <v>385312</v>
      </c>
      <c r="P3520">
        <v>292367</v>
      </c>
    </row>
    <row r="3521" spans="13:16" x14ac:dyDescent="0.3">
      <c r="M3521">
        <v>3519</v>
      </c>
      <c r="N3521">
        <v>224644</v>
      </c>
      <c r="P3521">
        <v>491992</v>
      </c>
    </row>
    <row r="3522" spans="13:16" x14ac:dyDescent="0.3">
      <c r="M3522">
        <v>3520</v>
      </c>
      <c r="N3522">
        <v>373485</v>
      </c>
      <c r="P3522">
        <v>296856</v>
      </c>
    </row>
    <row r="3523" spans="13:16" x14ac:dyDescent="0.3">
      <c r="M3523">
        <v>3521</v>
      </c>
      <c r="N3523">
        <v>649222</v>
      </c>
      <c r="P3523">
        <v>-216100</v>
      </c>
    </row>
    <row r="3524" spans="13:16" x14ac:dyDescent="0.3">
      <c r="M3524">
        <v>3522</v>
      </c>
      <c r="N3524">
        <v>-719904</v>
      </c>
      <c r="P3524">
        <v>505226</v>
      </c>
    </row>
    <row r="3525" spans="13:16" x14ac:dyDescent="0.3">
      <c r="M3525">
        <v>3523</v>
      </c>
      <c r="N3525">
        <v>-297511</v>
      </c>
      <c r="P3525">
        <v>841401</v>
      </c>
    </row>
    <row r="3526" spans="13:16" x14ac:dyDescent="0.3">
      <c r="M3526">
        <v>3524</v>
      </c>
      <c r="N3526">
        <v>648046</v>
      </c>
      <c r="P3526">
        <v>512056</v>
      </c>
    </row>
    <row r="3527" spans="13:16" x14ac:dyDescent="0.3">
      <c r="M3527">
        <v>3525</v>
      </c>
      <c r="N3527">
        <v>-355884</v>
      </c>
      <c r="P3527">
        <v>557965</v>
      </c>
    </row>
    <row r="3528" spans="13:16" x14ac:dyDescent="0.3">
      <c r="M3528">
        <v>3526</v>
      </c>
      <c r="N3528">
        <v>194629</v>
      </c>
      <c r="P3528">
        <v>-80072</v>
      </c>
    </row>
    <row r="3529" spans="13:16" x14ac:dyDescent="0.3">
      <c r="M3529">
        <v>3527</v>
      </c>
      <c r="N3529">
        <v>-589893</v>
      </c>
      <c r="P3529">
        <v>265427</v>
      </c>
    </row>
    <row r="3530" spans="13:16" x14ac:dyDescent="0.3">
      <c r="M3530">
        <v>3528</v>
      </c>
      <c r="N3530">
        <v>-290855</v>
      </c>
      <c r="P3530">
        <v>7693</v>
      </c>
    </row>
    <row r="3531" spans="13:16" x14ac:dyDescent="0.3">
      <c r="M3531">
        <v>3529</v>
      </c>
      <c r="N3531">
        <v>513825</v>
      </c>
      <c r="P3531">
        <v>-25681</v>
      </c>
    </row>
    <row r="3532" spans="13:16" x14ac:dyDescent="0.3">
      <c r="M3532">
        <v>3530</v>
      </c>
      <c r="N3532">
        <v>-700926</v>
      </c>
      <c r="P3532">
        <v>178739</v>
      </c>
    </row>
    <row r="3533" spans="13:16" x14ac:dyDescent="0.3">
      <c r="M3533">
        <v>3531</v>
      </c>
      <c r="N3533">
        <v>30386</v>
      </c>
      <c r="P3533">
        <v>-174255</v>
      </c>
    </row>
    <row r="3534" spans="13:16" x14ac:dyDescent="0.3">
      <c r="M3534">
        <v>3532</v>
      </c>
      <c r="N3534">
        <v>-116622</v>
      </c>
      <c r="P3534">
        <v>-376468</v>
      </c>
    </row>
    <row r="3535" spans="13:16" x14ac:dyDescent="0.3">
      <c r="M3535">
        <v>3533</v>
      </c>
      <c r="N3535">
        <v>-268935</v>
      </c>
      <c r="P3535">
        <v>551255</v>
      </c>
    </row>
    <row r="3536" spans="13:16" x14ac:dyDescent="0.3">
      <c r="M3536">
        <v>3534</v>
      </c>
      <c r="N3536">
        <v>-622846</v>
      </c>
      <c r="P3536">
        <v>157865</v>
      </c>
    </row>
    <row r="3537" spans="13:16" x14ac:dyDescent="0.3">
      <c r="M3537">
        <v>3535</v>
      </c>
      <c r="N3537">
        <v>-112207</v>
      </c>
      <c r="P3537">
        <v>382338</v>
      </c>
    </row>
    <row r="3538" spans="13:16" x14ac:dyDescent="0.3">
      <c r="M3538">
        <v>3536</v>
      </c>
      <c r="N3538">
        <v>-183695</v>
      </c>
      <c r="P3538">
        <v>-651152</v>
      </c>
    </row>
    <row r="3539" spans="13:16" x14ac:dyDescent="0.3">
      <c r="M3539">
        <v>3537</v>
      </c>
      <c r="N3539">
        <v>236721</v>
      </c>
      <c r="P3539">
        <v>198747</v>
      </c>
    </row>
    <row r="3540" spans="13:16" x14ac:dyDescent="0.3">
      <c r="M3540">
        <v>3538</v>
      </c>
      <c r="N3540">
        <v>335469</v>
      </c>
      <c r="P3540">
        <v>559258</v>
      </c>
    </row>
    <row r="3541" spans="13:16" x14ac:dyDescent="0.3">
      <c r="M3541">
        <v>3539</v>
      </c>
      <c r="N3541">
        <v>-78599</v>
      </c>
      <c r="P3541">
        <v>632583</v>
      </c>
    </row>
    <row r="3542" spans="13:16" x14ac:dyDescent="0.3">
      <c r="M3542">
        <v>3540</v>
      </c>
      <c r="N3542">
        <v>245868</v>
      </c>
      <c r="P3542">
        <v>-118145</v>
      </c>
    </row>
    <row r="3543" spans="13:16" x14ac:dyDescent="0.3">
      <c r="M3543">
        <v>3541</v>
      </c>
      <c r="N3543">
        <v>-141447</v>
      </c>
      <c r="P3543">
        <v>333329</v>
      </c>
    </row>
    <row r="3544" spans="13:16" x14ac:dyDescent="0.3">
      <c r="M3544">
        <v>3542</v>
      </c>
      <c r="N3544">
        <v>-559411</v>
      </c>
      <c r="P3544">
        <v>322417</v>
      </c>
    </row>
    <row r="3545" spans="13:16" x14ac:dyDescent="0.3">
      <c r="M3545">
        <v>3543</v>
      </c>
      <c r="N3545">
        <v>-288420</v>
      </c>
      <c r="P3545">
        <v>-201572</v>
      </c>
    </row>
    <row r="3546" spans="13:16" x14ac:dyDescent="0.3">
      <c r="M3546">
        <v>3544</v>
      </c>
      <c r="N3546">
        <v>75622</v>
      </c>
      <c r="P3546">
        <v>-205166</v>
      </c>
    </row>
    <row r="3547" spans="13:16" x14ac:dyDescent="0.3">
      <c r="M3547">
        <v>3545</v>
      </c>
      <c r="N3547">
        <v>-114188</v>
      </c>
      <c r="P3547">
        <v>456561</v>
      </c>
    </row>
    <row r="3548" spans="13:16" x14ac:dyDescent="0.3">
      <c r="M3548">
        <v>3546</v>
      </c>
      <c r="N3548">
        <v>886027</v>
      </c>
      <c r="P3548">
        <v>322199</v>
      </c>
    </row>
    <row r="3549" spans="13:16" x14ac:dyDescent="0.3">
      <c r="M3549">
        <v>3547</v>
      </c>
      <c r="N3549">
        <v>-871442</v>
      </c>
      <c r="P3549">
        <v>-424359</v>
      </c>
    </row>
    <row r="3550" spans="13:16" x14ac:dyDescent="0.3">
      <c r="M3550">
        <v>3548</v>
      </c>
      <c r="N3550">
        <v>34809</v>
      </c>
      <c r="P3550">
        <v>329356</v>
      </c>
    </row>
    <row r="3551" spans="13:16" x14ac:dyDescent="0.3">
      <c r="M3551">
        <v>3549</v>
      </c>
      <c r="N3551">
        <v>302178</v>
      </c>
      <c r="P3551">
        <v>-767753</v>
      </c>
    </row>
    <row r="3552" spans="13:16" x14ac:dyDescent="0.3">
      <c r="M3552">
        <v>3550</v>
      </c>
      <c r="N3552">
        <v>-553570</v>
      </c>
      <c r="P3552">
        <v>-1748</v>
      </c>
    </row>
    <row r="3553" spans="13:16" x14ac:dyDescent="0.3">
      <c r="M3553">
        <v>3551</v>
      </c>
      <c r="N3553">
        <v>913307</v>
      </c>
      <c r="P3553">
        <v>208041</v>
      </c>
    </row>
    <row r="3554" spans="13:16" x14ac:dyDescent="0.3">
      <c r="M3554">
        <v>3552</v>
      </c>
      <c r="N3554">
        <v>849019</v>
      </c>
      <c r="P3554">
        <v>627498</v>
      </c>
    </row>
    <row r="3555" spans="13:16" x14ac:dyDescent="0.3">
      <c r="M3555">
        <v>3553</v>
      </c>
      <c r="N3555">
        <v>-163253</v>
      </c>
      <c r="P3555">
        <v>-54377</v>
      </c>
    </row>
    <row r="3556" spans="13:16" x14ac:dyDescent="0.3">
      <c r="M3556">
        <v>3554</v>
      </c>
      <c r="N3556">
        <v>-326418</v>
      </c>
      <c r="P3556">
        <v>-319490</v>
      </c>
    </row>
    <row r="3557" spans="13:16" x14ac:dyDescent="0.3">
      <c r="M3557">
        <v>3555</v>
      </c>
      <c r="N3557">
        <v>172174</v>
      </c>
      <c r="P3557">
        <v>242302</v>
      </c>
    </row>
    <row r="3558" spans="13:16" x14ac:dyDescent="0.3">
      <c r="M3558">
        <v>3556</v>
      </c>
      <c r="N3558">
        <v>-4871</v>
      </c>
      <c r="P3558">
        <v>186515</v>
      </c>
    </row>
    <row r="3559" spans="13:16" x14ac:dyDescent="0.3">
      <c r="M3559">
        <v>3557</v>
      </c>
      <c r="N3559">
        <v>-296617</v>
      </c>
      <c r="P3559">
        <v>-361083</v>
      </c>
    </row>
    <row r="3560" spans="13:16" x14ac:dyDescent="0.3">
      <c r="M3560">
        <v>3558</v>
      </c>
      <c r="N3560">
        <v>-420345</v>
      </c>
      <c r="P3560">
        <v>757852</v>
      </c>
    </row>
    <row r="3561" spans="13:16" x14ac:dyDescent="0.3">
      <c r="M3561">
        <v>3559</v>
      </c>
      <c r="N3561">
        <v>707915</v>
      </c>
      <c r="P3561">
        <v>-79706</v>
      </c>
    </row>
    <row r="3562" spans="13:16" x14ac:dyDescent="0.3">
      <c r="M3562">
        <v>3560</v>
      </c>
      <c r="N3562">
        <v>-502477</v>
      </c>
      <c r="P3562">
        <v>-224961</v>
      </c>
    </row>
    <row r="3563" spans="13:16" x14ac:dyDescent="0.3">
      <c r="M3563">
        <v>3561</v>
      </c>
      <c r="N3563">
        <v>-578559</v>
      </c>
      <c r="P3563">
        <v>358562</v>
      </c>
    </row>
    <row r="3564" spans="13:16" x14ac:dyDescent="0.3">
      <c r="M3564">
        <v>3562</v>
      </c>
      <c r="N3564">
        <v>432144</v>
      </c>
      <c r="P3564">
        <v>114529</v>
      </c>
    </row>
    <row r="3565" spans="13:16" x14ac:dyDescent="0.3">
      <c r="M3565">
        <v>3563</v>
      </c>
      <c r="N3565">
        <v>551423</v>
      </c>
      <c r="P3565">
        <v>-79726</v>
      </c>
    </row>
    <row r="3566" spans="13:16" x14ac:dyDescent="0.3">
      <c r="M3566">
        <v>3564</v>
      </c>
      <c r="N3566">
        <v>-96809</v>
      </c>
      <c r="P3566">
        <v>-313997</v>
      </c>
    </row>
    <row r="3567" spans="13:16" x14ac:dyDescent="0.3">
      <c r="M3567">
        <v>3565</v>
      </c>
      <c r="N3567">
        <v>21685</v>
      </c>
      <c r="P3567">
        <v>321921</v>
      </c>
    </row>
    <row r="3568" spans="13:16" x14ac:dyDescent="0.3">
      <c r="M3568">
        <v>3566</v>
      </c>
      <c r="N3568">
        <v>-592832</v>
      </c>
      <c r="P3568">
        <v>-244509</v>
      </c>
    </row>
    <row r="3569" spans="13:16" x14ac:dyDescent="0.3">
      <c r="M3569">
        <v>3567</v>
      </c>
      <c r="N3569">
        <v>83351</v>
      </c>
      <c r="P3569">
        <v>58199</v>
      </c>
    </row>
    <row r="3570" spans="13:16" x14ac:dyDescent="0.3">
      <c r="M3570">
        <v>3568</v>
      </c>
      <c r="N3570">
        <v>-420864</v>
      </c>
      <c r="P3570">
        <v>515393</v>
      </c>
    </row>
    <row r="3571" spans="13:16" x14ac:dyDescent="0.3">
      <c r="M3571">
        <v>3569</v>
      </c>
      <c r="N3571">
        <v>409132</v>
      </c>
      <c r="P3571">
        <v>571148</v>
      </c>
    </row>
    <row r="3572" spans="13:16" x14ac:dyDescent="0.3">
      <c r="M3572">
        <v>3570</v>
      </c>
      <c r="N3572">
        <v>-663491</v>
      </c>
      <c r="P3572">
        <v>480874</v>
      </c>
    </row>
    <row r="3573" spans="13:16" x14ac:dyDescent="0.3">
      <c r="M3573">
        <v>3571</v>
      </c>
      <c r="N3573">
        <v>-651808</v>
      </c>
      <c r="P3573">
        <v>-704063</v>
      </c>
    </row>
    <row r="3574" spans="13:16" x14ac:dyDescent="0.3">
      <c r="M3574">
        <v>3572</v>
      </c>
      <c r="N3574">
        <v>-693075</v>
      </c>
      <c r="P3574">
        <v>276560</v>
      </c>
    </row>
    <row r="3575" spans="13:16" x14ac:dyDescent="0.3">
      <c r="M3575">
        <v>3573</v>
      </c>
      <c r="N3575">
        <v>-361286</v>
      </c>
      <c r="P3575">
        <v>-735140</v>
      </c>
    </row>
    <row r="3576" spans="13:16" x14ac:dyDescent="0.3">
      <c r="M3576">
        <v>3574</v>
      </c>
      <c r="N3576">
        <v>-255288</v>
      </c>
      <c r="P3576">
        <v>54899</v>
      </c>
    </row>
    <row r="3577" spans="13:16" x14ac:dyDescent="0.3">
      <c r="M3577">
        <v>3575</v>
      </c>
      <c r="N3577">
        <v>-811956</v>
      </c>
      <c r="P3577">
        <v>216140</v>
      </c>
    </row>
    <row r="3578" spans="13:16" x14ac:dyDescent="0.3">
      <c r="M3578">
        <v>3576</v>
      </c>
      <c r="N3578">
        <v>39769</v>
      </c>
      <c r="P3578">
        <v>588818</v>
      </c>
    </row>
    <row r="3579" spans="13:16" x14ac:dyDescent="0.3">
      <c r="M3579">
        <v>3577</v>
      </c>
      <c r="N3579">
        <v>-356991</v>
      </c>
      <c r="P3579">
        <v>257029</v>
      </c>
    </row>
    <row r="3580" spans="13:16" x14ac:dyDescent="0.3">
      <c r="M3580">
        <v>3578</v>
      </c>
      <c r="N3580">
        <v>-366282</v>
      </c>
      <c r="P3580">
        <v>-587390</v>
      </c>
    </row>
    <row r="3581" spans="13:16" x14ac:dyDescent="0.3">
      <c r="M3581">
        <v>3579</v>
      </c>
      <c r="N3581">
        <v>-590709</v>
      </c>
      <c r="P3581">
        <v>-222490</v>
      </c>
    </row>
    <row r="3582" spans="13:16" x14ac:dyDescent="0.3">
      <c r="M3582">
        <v>3580</v>
      </c>
      <c r="N3582">
        <v>-424097</v>
      </c>
      <c r="P3582">
        <v>-245804</v>
      </c>
    </row>
    <row r="3583" spans="13:16" x14ac:dyDescent="0.3">
      <c r="M3583">
        <v>3581</v>
      </c>
      <c r="N3583">
        <v>-257890</v>
      </c>
      <c r="P3583">
        <v>383128</v>
      </c>
    </row>
    <row r="3584" spans="13:16" x14ac:dyDescent="0.3">
      <c r="M3584">
        <v>3582</v>
      </c>
      <c r="N3584">
        <v>487174</v>
      </c>
      <c r="P3584">
        <v>-25793</v>
      </c>
    </row>
    <row r="3585" spans="13:16" x14ac:dyDescent="0.3">
      <c r="M3585">
        <v>3583</v>
      </c>
      <c r="N3585">
        <v>436322</v>
      </c>
      <c r="P3585">
        <v>-79449</v>
      </c>
    </row>
    <row r="3586" spans="13:16" x14ac:dyDescent="0.3">
      <c r="M3586">
        <v>3584</v>
      </c>
      <c r="N3586">
        <v>560274</v>
      </c>
      <c r="P3586">
        <v>-169857</v>
      </c>
    </row>
    <row r="3587" spans="13:16" x14ac:dyDescent="0.3">
      <c r="M3587">
        <v>3585</v>
      </c>
      <c r="N3587">
        <v>363651</v>
      </c>
      <c r="P3587">
        <v>-401570</v>
      </c>
    </row>
    <row r="3588" spans="13:16" x14ac:dyDescent="0.3">
      <c r="M3588">
        <v>3586</v>
      </c>
      <c r="N3588">
        <v>18064</v>
      </c>
      <c r="P3588">
        <v>86152</v>
      </c>
    </row>
    <row r="3589" spans="13:16" x14ac:dyDescent="0.3">
      <c r="M3589">
        <v>3587</v>
      </c>
      <c r="N3589">
        <v>-326604</v>
      </c>
      <c r="P3589">
        <v>-226539</v>
      </c>
    </row>
    <row r="3590" spans="13:16" x14ac:dyDescent="0.3">
      <c r="M3590">
        <v>3588</v>
      </c>
      <c r="N3590">
        <v>19770</v>
      </c>
      <c r="P3590">
        <v>655878</v>
      </c>
    </row>
    <row r="3591" spans="13:16" x14ac:dyDescent="0.3">
      <c r="M3591">
        <v>3589</v>
      </c>
      <c r="N3591">
        <v>649112</v>
      </c>
      <c r="P3591">
        <v>303204</v>
      </c>
    </row>
    <row r="3592" spans="13:16" x14ac:dyDescent="0.3">
      <c r="M3592">
        <v>3590</v>
      </c>
      <c r="N3592">
        <v>44815</v>
      </c>
      <c r="P3592">
        <v>648482</v>
      </c>
    </row>
    <row r="3593" spans="13:16" x14ac:dyDescent="0.3">
      <c r="M3593">
        <v>3591</v>
      </c>
      <c r="N3593">
        <v>-335215</v>
      </c>
      <c r="P3593">
        <v>160128</v>
      </c>
    </row>
    <row r="3594" spans="13:16" x14ac:dyDescent="0.3">
      <c r="M3594">
        <v>3592</v>
      </c>
      <c r="N3594">
        <v>-144455</v>
      </c>
      <c r="P3594">
        <v>-16539</v>
      </c>
    </row>
    <row r="3595" spans="13:16" x14ac:dyDescent="0.3">
      <c r="M3595">
        <v>3593</v>
      </c>
      <c r="N3595">
        <v>-200544</v>
      </c>
      <c r="P3595">
        <v>525285</v>
      </c>
    </row>
    <row r="3596" spans="13:16" x14ac:dyDescent="0.3">
      <c r="M3596">
        <v>3594</v>
      </c>
      <c r="N3596">
        <v>-177192</v>
      </c>
      <c r="P3596">
        <v>254405</v>
      </c>
    </row>
    <row r="3597" spans="13:16" x14ac:dyDescent="0.3">
      <c r="M3597">
        <v>3595</v>
      </c>
      <c r="N3597">
        <v>545297</v>
      </c>
      <c r="P3597">
        <v>-167562</v>
      </c>
    </row>
    <row r="3598" spans="13:16" x14ac:dyDescent="0.3">
      <c r="M3598">
        <v>3596</v>
      </c>
      <c r="N3598">
        <v>-186744</v>
      </c>
      <c r="P3598">
        <v>-408</v>
      </c>
    </row>
    <row r="3599" spans="13:16" x14ac:dyDescent="0.3">
      <c r="M3599">
        <v>3597</v>
      </c>
      <c r="N3599">
        <v>-702119</v>
      </c>
      <c r="P3599">
        <v>-220983</v>
      </c>
    </row>
    <row r="3600" spans="13:16" x14ac:dyDescent="0.3">
      <c r="M3600">
        <v>3598</v>
      </c>
      <c r="N3600">
        <v>-84359</v>
      </c>
      <c r="P3600">
        <v>494103</v>
      </c>
    </row>
    <row r="3601" spans="13:16" x14ac:dyDescent="0.3">
      <c r="M3601">
        <v>3599</v>
      </c>
      <c r="N3601">
        <v>76712</v>
      </c>
      <c r="P3601">
        <v>-526731</v>
      </c>
    </row>
    <row r="3602" spans="13:16" x14ac:dyDescent="0.3">
      <c r="M3602">
        <v>3600</v>
      </c>
      <c r="N3602">
        <v>524161</v>
      </c>
      <c r="P3602">
        <v>-560575</v>
      </c>
    </row>
    <row r="3603" spans="13:16" x14ac:dyDescent="0.3">
      <c r="M3603">
        <v>3601</v>
      </c>
      <c r="N3603">
        <v>186427</v>
      </c>
      <c r="P3603">
        <v>167823</v>
      </c>
    </row>
    <row r="3604" spans="13:16" x14ac:dyDescent="0.3">
      <c r="M3604">
        <v>3602</v>
      </c>
      <c r="N3604">
        <v>-287898</v>
      </c>
      <c r="P3604">
        <v>672899</v>
      </c>
    </row>
    <row r="3605" spans="13:16" x14ac:dyDescent="0.3">
      <c r="M3605">
        <v>3603</v>
      </c>
      <c r="N3605">
        <v>271043</v>
      </c>
      <c r="P3605">
        <v>-543873</v>
      </c>
    </row>
    <row r="3606" spans="13:16" x14ac:dyDescent="0.3">
      <c r="M3606">
        <v>3604</v>
      </c>
      <c r="N3606">
        <v>-651799</v>
      </c>
      <c r="P3606">
        <v>179005</v>
      </c>
    </row>
    <row r="3607" spans="13:16" x14ac:dyDescent="0.3">
      <c r="M3607">
        <v>3605</v>
      </c>
      <c r="N3607">
        <v>17978</v>
      </c>
      <c r="P3607">
        <v>-581774</v>
      </c>
    </row>
    <row r="3608" spans="13:16" x14ac:dyDescent="0.3">
      <c r="M3608">
        <v>3606</v>
      </c>
      <c r="N3608">
        <v>-279162</v>
      </c>
      <c r="P3608">
        <v>-259898</v>
      </c>
    </row>
    <row r="3609" spans="13:16" x14ac:dyDescent="0.3">
      <c r="M3609">
        <v>3607</v>
      </c>
      <c r="N3609">
        <v>726247</v>
      </c>
      <c r="P3609">
        <v>-15406</v>
      </c>
    </row>
    <row r="3610" spans="13:16" x14ac:dyDescent="0.3">
      <c r="M3610">
        <v>3608</v>
      </c>
      <c r="N3610">
        <v>-357728</v>
      </c>
      <c r="P3610">
        <v>-118222</v>
      </c>
    </row>
    <row r="3611" spans="13:16" x14ac:dyDescent="0.3">
      <c r="M3611">
        <v>3609</v>
      </c>
      <c r="N3611">
        <v>538740</v>
      </c>
      <c r="P3611">
        <v>-594378</v>
      </c>
    </row>
    <row r="3612" spans="13:16" x14ac:dyDescent="0.3">
      <c r="M3612">
        <v>3610</v>
      </c>
      <c r="N3612">
        <v>-356742</v>
      </c>
      <c r="P3612">
        <v>-88172</v>
      </c>
    </row>
    <row r="3613" spans="13:16" x14ac:dyDescent="0.3">
      <c r="M3613">
        <v>3611</v>
      </c>
      <c r="N3613">
        <v>235262</v>
      </c>
      <c r="P3613">
        <v>-485227</v>
      </c>
    </row>
    <row r="3614" spans="13:16" x14ac:dyDescent="0.3">
      <c r="M3614">
        <v>3612</v>
      </c>
      <c r="N3614">
        <v>433151</v>
      </c>
      <c r="P3614">
        <v>246252</v>
      </c>
    </row>
    <row r="3615" spans="13:16" x14ac:dyDescent="0.3">
      <c r="M3615">
        <v>3613</v>
      </c>
      <c r="N3615">
        <v>-567161</v>
      </c>
      <c r="P3615">
        <v>167106</v>
      </c>
    </row>
    <row r="3616" spans="13:16" x14ac:dyDescent="0.3">
      <c r="M3616">
        <v>3614</v>
      </c>
      <c r="N3616">
        <v>-174372</v>
      </c>
      <c r="P3616">
        <v>436492</v>
      </c>
    </row>
    <row r="3617" spans="13:16" x14ac:dyDescent="0.3">
      <c r="M3617">
        <v>3615</v>
      </c>
      <c r="N3617">
        <v>552416</v>
      </c>
      <c r="P3617">
        <v>253060</v>
      </c>
    </row>
    <row r="3618" spans="13:16" x14ac:dyDescent="0.3">
      <c r="M3618">
        <v>3616</v>
      </c>
      <c r="N3618">
        <v>628402</v>
      </c>
      <c r="P3618">
        <v>-724030</v>
      </c>
    </row>
    <row r="3619" spans="13:16" x14ac:dyDescent="0.3">
      <c r="M3619">
        <v>3617</v>
      </c>
      <c r="N3619">
        <v>-842991</v>
      </c>
      <c r="P3619">
        <v>26472</v>
      </c>
    </row>
    <row r="3620" spans="13:16" x14ac:dyDescent="0.3">
      <c r="M3620">
        <v>3618</v>
      </c>
      <c r="N3620">
        <v>16255</v>
      </c>
      <c r="P3620">
        <v>-674821</v>
      </c>
    </row>
    <row r="3621" spans="13:16" x14ac:dyDescent="0.3">
      <c r="M3621">
        <v>3619</v>
      </c>
      <c r="N3621">
        <v>532772</v>
      </c>
      <c r="P3621">
        <v>-175282</v>
      </c>
    </row>
    <row r="3622" spans="13:16" x14ac:dyDescent="0.3">
      <c r="M3622">
        <v>3620</v>
      </c>
      <c r="N3622">
        <v>-385942</v>
      </c>
      <c r="P3622">
        <v>-660983</v>
      </c>
    </row>
    <row r="3623" spans="13:16" x14ac:dyDescent="0.3">
      <c r="M3623">
        <v>3621</v>
      </c>
      <c r="N3623">
        <v>327771</v>
      </c>
      <c r="P3623">
        <v>-26226</v>
      </c>
    </row>
    <row r="3624" spans="13:16" x14ac:dyDescent="0.3">
      <c r="M3624">
        <v>3622</v>
      </c>
      <c r="N3624">
        <v>119971</v>
      </c>
      <c r="P3624">
        <v>199851</v>
      </c>
    </row>
    <row r="3625" spans="13:16" x14ac:dyDescent="0.3">
      <c r="M3625">
        <v>3623</v>
      </c>
      <c r="N3625">
        <v>-154436</v>
      </c>
      <c r="P3625">
        <v>86107</v>
      </c>
    </row>
    <row r="3626" spans="13:16" x14ac:dyDescent="0.3">
      <c r="M3626">
        <v>3624</v>
      </c>
      <c r="N3626">
        <v>-89908</v>
      </c>
      <c r="P3626">
        <v>249990</v>
      </c>
    </row>
    <row r="3627" spans="13:16" x14ac:dyDescent="0.3">
      <c r="M3627">
        <v>3625</v>
      </c>
      <c r="N3627">
        <v>-28535</v>
      </c>
      <c r="P3627">
        <v>608112</v>
      </c>
    </row>
    <row r="3628" spans="13:16" x14ac:dyDescent="0.3">
      <c r="M3628">
        <v>3626</v>
      </c>
      <c r="N3628">
        <v>127063</v>
      </c>
      <c r="P3628">
        <v>20442</v>
      </c>
    </row>
    <row r="3629" spans="13:16" x14ac:dyDescent="0.3">
      <c r="M3629">
        <v>3627</v>
      </c>
      <c r="N3629">
        <v>-87703</v>
      </c>
      <c r="P3629">
        <v>-720987</v>
      </c>
    </row>
    <row r="3630" spans="13:16" x14ac:dyDescent="0.3">
      <c r="M3630">
        <v>3628</v>
      </c>
      <c r="N3630">
        <v>17684</v>
      </c>
      <c r="P3630">
        <v>116617</v>
      </c>
    </row>
    <row r="3631" spans="13:16" x14ac:dyDescent="0.3">
      <c r="M3631">
        <v>3629</v>
      </c>
      <c r="N3631">
        <v>72220</v>
      </c>
      <c r="P3631">
        <v>-315787</v>
      </c>
    </row>
    <row r="3632" spans="13:16" x14ac:dyDescent="0.3">
      <c r="M3632">
        <v>3630</v>
      </c>
      <c r="N3632">
        <v>-778513</v>
      </c>
      <c r="P3632">
        <v>614494</v>
      </c>
    </row>
    <row r="3633" spans="13:16" x14ac:dyDescent="0.3">
      <c r="M3633">
        <v>3631</v>
      </c>
      <c r="N3633">
        <v>29596</v>
      </c>
      <c r="P3633">
        <v>-148509</v>
      </c>
    </row>
    <row r="3634" spans="13:16" x14ac:dyDescent="0.3">
      <c r="M3634">
        <v>3632</v>
      </c>
      <c r="N3634">
        <v>-281370</v>
      </c>
      <c r="P3634">
        <v>482827</v>
      </c>
    </row>
    <row r="3635" spans="13:16" x14ac:dyDescent="0.3">
      <c r="M3635">
        <v>3633</v>
      </c>
      <c r="N3635">
        <v>235372</v>
      </c>
      <c r="P3635">
        <v>-445128</v>
      </c>
    </row>
    <row r="3636" spans="13:16" x14ac:dyDescent="0.3">
      <c r="M3636">
        <v>3634</v>
      </c>
      <c r="N3636">
        <v>84016</v>
      </c>
      <c r="P3636">
        <v>311578</v>
      </c>
    </row>
    <row r="3637" spans="13:16" x14ac:dyDescent="0.3">
      <c r="M3637">
        <v>3635</v>
      </c>
      <c r="N3637">
        <v>336181</v>
      </c>
      <c r="P3637">
        <v>-98</v>
      </c>
    </row>
    <row r="3638" spans="13:16" x14ac:dyDescent="0.3">
      <c r="M3638">
        <v>3636</v>
      </c>
      <c r="N3638">
        <v>351294</v>
      </c>
      <c r="P3638">
        <v>-832821</v>
      </c>
    </row>
    <row r="3639" spans="13:16" x14ac:dyDescent="0.3">
      <c r="M3639">
        <v>3637</v>
      </c>
      <c r="N3639">
        <v>-132545</v>
      </c>
      <c r="P3639">
        <v>447562</v>
      </c>
    </row>
    <row r="3640" spans="13:16" x14ac:dyDescent="0.3">
      <c r="M3640">
        <v>3638</v>
      </c>
      <c r="N3640">
        <v>339708</v>
      </c>
      <c r="P3640">
        <v>-691041</v>
      </c>
    </row>
    <row r="3641" spans="13:16" x14ac:dyDescent="0.3">
      <c r="M3641">
        <v>3639</v>
      </c>
      <c r="N3641">
        <v>213942</v>
      </c>
      <c r="P3641">
        <v>-103292</v>
      </c>
    </row>
    <row r="3642" spans="13:16" x14ac:dyDescent="0.3">
      <c r="M3642">
        <v>3640</v>
      </c>
      <c r="N3642">
        <v>-412985</v>
      </c>
      <c r="P3642">
        <v>-572650</v>
      </c>
    </row>
    <row r="3643" spans="13:16" x14ac:dyDescent="0.3">
      <c r="M3643">
        <v>3641</v>
      </c>
      <c r="N3643">
        <v>-12486</v>
      </c>
      <c r="P3643">
        <v>-683786</v>
      </c>
    </row>
    <row r="3644" spans="13:16" x14ac:dyDescent="0.3">
      <c r="M3644">
        <v>3642</v>
      </c>
      <c r="N3644">
        <v>151045</v>
      </c>
      <c r="P3644">
        <v>-525197</v>
      </c>
    </row>
    <row r="3645" spans="13:16" x14ac:dyDescent="0.3">
      <c r="M3645">
        <v>3643</v>
      </c>
      <c r="N3645">
        <v>575512</v>
      </c>
      <c r="P3645">
        <v>-348845</v>
      </c>
    </row>
    <row r="3646" spans="13:16" x14ac:dyDescent="0.3">
      <c r="M3646">
        <v>3644</v>
      </c>
      <c r="N3646">
        <v>176965</v>
      </c>
      <c r="P3646">
        <v>-588800</v>
      </c>
    </row>
    <row r="3647" spans="13:16" x14ac:dyDescent="0.3">
      <c r="M3647">
        <v>3645</v>
      </c>
      <c r="N3647">
        <v>-495668</v>
      </c>
      <c r="P3647">
        <v>-76919</v>
      </c>
    </row>
    <row r="3648" spans="13:16" x14ac:dyDescent="0.3">
      <c r="M3648">
        <v>3646</v>
      </c>
      <c r="N3648">
        <v>466761</v>
      </c>
      <c r="P3648">
        <v>526394</v>
      </c>
    </row>
    <row r="3649" spans="13:16" x14ac:dyDescent="0.3">
      <c r="M3649">
        <v>3647</v>
      </c>
      <c r="N3649">
        <v>461247</v>
      </c>
      <c r="P3649">
        <v>-192518</v>
      </c>
    </row>
    <row r="3650" spans="13:16" x14ac:dyDescent="0.3">
      <c r="M3650">
        <v>3648</v>
      </c>
      <c r="N3650">
        <v>-715416</v>
      </c>
      <c r="P3650">
        <v>-300901</v>
      </c>
    </row>
    <row r="3651" spans="13:16" x14ac:dyDescent="0.3">
      <c r="M3651">
        <v>3649</v>
      </c>
      <c r="N3651">
        <v>62245</v>
      </c>
      <c r="P3651">
        <v>780746</v>
      </c>
    </row>
    <row r="3652" spans="13:16" x14ac:dyDescent="0.3">
      <c r="M3652">
        <v>3650</v>
      </c>
      <c r="N3652">
        <v>621352</v>
      </c>
      <c r="P3652">
        <v>87198</v>
      </c>
    </row>
    <row r="3653" spans="13:16" x14ac:dyDescent="0.3">
      <c r="M3653">
        <v>3651</v>
      </c>
      <c r="N3653">
        <v>-718060</v>
      </c>
      <c r="P3653">
        <v>-405565</v>
      </c>
    </row>
    <row r="3654" spans="13:16" x14ac:dyDescent="0.3">
      <c r="M3654">
        <v>3652</v>
      </c>
      <c r="N3654">
        <v>-654303</v>
      </c>
      <c r="P3654">
        <v>-785043</v>
      </c>
    </row>
    <row r="3655" spans="13:16" x14ac:dyDescent="0.3">
      <c r="M3655">
        <v>3653</v>
      </c>
      <c r="N3655">
        <v>-109758</v>
      </c>
      <c r="P3655">
        <v>309255</v>
      </c>
    </row>
    <row r="3656" spans="13:16" x14ac:dyDescent="0.3">
      <c r="M3656">
        <v>3654</v>
      </c>
      <c r="N3656">
        <v>585614</v>
      </c>
      <c r="P3656">
        <v>-508182</v>
      </c>
    </row>
    <row r="3657" spans="13:16" x14ac:dyDescent="0.3">
      <c r="M3657">
        <v>3655</v>
      </c>
      <c r="N3657">
        <v>268147</v>
      </c>
      <c r="P3657">
        <v>-417965</v>
      </c>
    </row>
    <row r="3658" spans="13:16" x14ac:dyDescent="0.3">
      <c r="M3658">
        <v>3656</v>
      </c>
      <c r="N3658">
        <v>181856</v>
      </c>
      <c r="P3658">
        <v>-445590</v>
      </c>
    </row>
    <row r="3659" spans="13:16" x14ac:dyDescent="0.3">
      <c r="M3659">
        <v>3657</v>
      </c>
      <c r="N3659">
        <v>655231</v>
      </c>
      <c r="P3659">
        <v>-532743</v>
      </c>
    </row>
    <row r="3660" spans="13:16" x14ac:dyDescent="0.3">
      <c r="M3660">
        <v>3658</v>
      </c>
      <c r="N3660">
        <v>-797508</v>
      </c>
      <c r="P3660">
        <v>-9332</v>
      </c>
    </row>
    <row r="3661" spans="13:16" x14ac:dyDescent="0.3">
      <c r="M3661">
        <v>3659</v>
      </c>
      <c r="N3661">
        <v>333487</v>
      </c>
      <c r="P3661">
        <v>99743</v>
      </c>
    </row>
    <row r="3662" spans="13:16" x14ac:dyDescent="0.3">
      <c r="M3662">
        <v>3660</v>
      </c>
      <c r="N3662">
        <v>-145266</v>
      </c>
      <c r="P3662">
        <v>214563</v>
      </c>
    </row>
    <row r="3663" spans="13:16" x14ac:dyDescent="0.3">
      <c r="M3663">
        <v>3661</v>
      </c>
      <c r="N3663">
        <v>-258375</v>
      </c>
      <c r="P3663">
        <v>692974</v>
      </c>
    </row>
    <row r="3664" spans="13:16" x14ac:dyDescent="0.3">
      <c r="M3664">
        <v>3662</v>
      </c>
      <c r="N3664">
        <v>250872</v>
      </c>
      <c r="P3664">
        <v>-574801</v>
      </c>
    </row>
    <row r="3665" spans="13:16" x14ac:dyDescent="0.3">
      <c r="M3665">
        <v>3663</v>
      </c>
      <c r="N3665">
        <v>98745</v>
      </c>
      <c r="P3665">
        <v>-72111</v>
      </c>
    </row>
    <row r="3666" spans="13:16" x14ac:dyDescent="0.3">
      <c r="M3666">
        <v>3664</v>
      </c>
      <c r="N3666">
        <v>-575390</v>
      </c>
      <c r="P3666">
        <v>617320</v>
      </c>
    </row>
    <row r="3667" spans="13:16" x14ac:dyDescent="0.3">
      <c r="M3667">
        <v>3665</v>
      </c>
      <c r="N3667">
        <v>-357553</v>
      </c>
      <c r="P3667">
        <v>174175</v>
      </c>
    </row>
    <row r="3668" spans="13:16" x14ac:dyDescent="0.3">
      <c r="M3668">
        <v>3666</v>
      </c>
      <c r="N3668">
        <v>-236934</v>
      </c>
      <c r="P3668">
        <v>104516</v>
      </c>
    </row>
    <row r="3669" spans="13:16" x14ac:dyDescent="0.3">
      <c r="M3669">
        <v>3667</v>
      </c>
      <c r="N3669">
        <v>-630683</v>
      </c>
      <c r="P3669">
        <v>-138232</v>
      </c>
    </row>
    <row r="3670" spans="13:16" x14ac:dyDescent="0.3">
      <c r="M3670">
        <v>3668</v>
      </c>
      <c r="N3670">
        <v>-218591</v>
      </c>
      <c r="P3670">
        <v>394216</v>
      </c>
    </row>
    <row r="3671" spans="13:16" x14ac:dyDescent="0.3">
      <c r="M3671">
        <v>3669</v>
      </c>
      <c r="N3671">
        <v>122844</v>
      </c>
      <c r="P3671">
        <v>-228667</v>
      </c>
    </row>
    <row r="3672" spans="13:16" x14ac:dyDescent="0.3">
      <c r="M3672">
        <v>3670</v>
      </c>
      <c r="N3672">
        <v>868617</v>
      </c>
      <c r="P3672">
        <v>464216</v>
      </c>
    </row>
    <row r="3673" spans="13:16" x14ac:dyDescent="0.3">
      <c r="M3673">
        <v>3671</v>
      </c>
      <c r="N3673">
        <v>-368656</v>
      </c>
      <c r="P3673">
        <v>-734852</v>
      </c>
    </row>
    <row r="3674" spans="13:16" x14ac:dyDescent="0.3">
      <c r="M3674">
        <v>3672</v>
      </c>
      <c r="N3674">
        <v>-75369</v>
      </c>
      <c r="P3674">
        <v>105424</v>
      </c>
    </row>
    <row r="3675" spans="13:16" x14ac:dyDescent="0.3">
      <c r="M3675">
        <v>3673</v>
      </c>
      <c r="N3675">
        <v>-31982</v>
      </c>
      <c r="P3675">
        <v>664843</v>
      </c>
    </row>
    <row r="3676" spans="13:16" x14ac:dyDescent="0.3">
      <c r="M3676">
        <v>3674</v>
      </c>
      <c r="N3676">
        <v>458452</v>
      </c>
      <c r="P3676">
        <v>-356810</v>
      </c>
    </row>
    <row r="3677" spans="13:16" x14ac:dyDescent="0.3">
      <c r="M3677">
        <v>3675</v>
      </c>
      <c r="N3677">
        <v>712659</v>
      </c>
      <c r="P3677">
        <v>-372644</v>
      </c>
    </row>
    <row r="3678" spans="13:16" x14ac:dyDescent="0.3">
      <c r="M3678">
        <v>3676</v>
      </c>
      <c r="N3678">
        <v>35213</v>
      </c>
      <c r="P3678">
        <v>-7516</v>
      </c>
    </row>
    <row r="3679" spans="13:16" x14ac:dyDescent="0.3">
      <c r="M3679">
        <v>3677</v>
      </c>
      <c r="N3679">
        <v>139598</v>
      </c>
      <c r="P3679">
        <v>746166</v>
      </c>
    </row>
    <row r="3680" spans="13:16" x14ac:dyDescent="0.3">
      <c r="M3680">
        <v>3678</v>
      </c>
      <c r="N3680">
        <v>-625708</v>
      </c>
      <c r="P3680">
        <v>-538400</v>
      </c>
    </row>
    <row r="3681" spans="13:16" x14ac:dyDescent="0.3">
      <c r="M3681">
        <v>3679</v>
      </c>
      <c r="N3681">
        <v>34604</v>
      </c>
      <c r="P3681">
        <v>-206990</v>
      </c>
    </row>
    <row r="3682" spans="13:16" x14ac:dyDescent="0.3">
      <c r="M3682">
        <v>3680</v>
      </c>
      <c r="N3682">
        <v>-266754</v>
      </c>
      <c r="P3682">
        <v>-516289</v>
      </c>
    </row>
    <row r="3683" spans="13:16" x14ac:dyDescent="0.3">
      <c r="M3683">
        <v>3681</v>
      </c>
      <c r="N3683">
        <v>-383500</v>
      </c>
      <c r="P3683">
        <v>-249112</v>
      </c>
    </row>
    <row r="3684" spans="13:16" x14ac:dyDescent="0.3">
      <c r="M3684">
        <v>3682</v>
      </c>
      <c r="N3684">
        <v>6330</v>
      </c>
      <c r="P3684">
        <v>-588835</v>
      </c>
    </row>
    <row r="3685" spans="13:16" x14ac:dyDescent="0.3">
      <c r="M3685">
        <v>3683</v>
      </c>
      <c r="N3685">
        <v>-100433</v>
      </c>
      <c r="P3685">
        <v>665747</v>
      </c>
    </row>
    <row r="3686" spans="13:16" x14ac:dyDescent="0.3">
      <c r="M3686">
        <v>3684</v>
      </c>
      <c r="N3686">
        <v>22497</v>
      </c>
      <c r="P3686">
        <v>609964</v>
      </c>
    </row>
    <row r="3687" spans="13:16" x14ac:dyDescent="0.3">
      <c r="M3687">
        <v>3685</v>
      </c>
      <c r="N3687">
        <v>-658823</v>
      </c>
      <c r="P3687">
        <v>447999</v>
      </c>
    </row>
    <row r="3688" spans="13:16" x14ac:dyDescent="0.3">
      <c r="M3688">
        <v>3686</v>
      </c>
      <c r="N3688">
        <v>-565122</v>
      </c>
      <c r="P3688">
        <v>-332648</v>
      </c>
    </row>
    <row r="3689" spans="13:16" x14ac:dyDescent="0.3">
      <c r="M3689">
        <v>3687</v>
      </c>
      <c r="N3689">
        <v>419141</v>
      </c>
      <c r="P3689">
        <v>716458</v>
      </c>
    </row>
    <row r="3690" spans="13:16" x14ac:dyDescent="0.3">
      <c r="M3690">
        <v>3688</v>
      </c>
      <c r="N3690">
        <v>-610139</v>
      </c>
      <c r="P3690">
        <v>-576946</v>
      </c>
    </row>
    <row r="3691" spans="13:16" x14ac:dyDescent="0.3">
      <c r="M3691">
        <v>3689</v>
      </c>
      <c r="N3691">
        <v>182732</v>
      </c>
      <c r="P3691">
        <v>731346</v>
      </c>
    </row>
    <row r="3692" spans="13:16" x14ac:dyDescent="0.3">
      <c r="M3692">
        <v>3690</v>
      </c>
      <c r="N3692">
        <v>485257</v>
      </c>
      <c r="P3692">
        <v>-527285</v>
      </c>
    </row>
    <row r="3693" spans="13:16" x14ac:dyDescent="0.3">
      <c r="M3693">
        <v>3691</v>
      </c>
      <c r="N3693">
        <v>683503</v>
      </c>
      <c r="P3693">
        <v>666267</v>
      </c>
    </row>
    <row r="3694" spans="13:16" x14ac:dyDescent="0.3">
      <c r="M3694">
        <v>3692</v>
      </c>
      <c r="N3694">
        <v>-171829</v>
      </c>
      <c r="P3694">
        <v>581152</v>
      </c>
    </row>
    <row r="3695" spans="13:16" x14ac:dyDescent="0.3">
      <c r="M3695">
        <v>3693</v>
      </c>
      <c r="N3695">
        <v>566976</v>
      </c>
      <c r="P3695">
        <v>231920</v>
      </c>
    </row>
    <row r="3696" spans="13:16" x14ac:dyDescent="0.3">
      <c r="M3696">
        <v>3694</v>
      </c>
      <c r="N3696">
        <v>367019</v>
      </c>
      <c r="P3696">
        <v>605733</v>
      </c>
    </row>
    <row r="3697" spans="13:16" x14ac:dyDescent="0.3">
      <c r="M3697">
        <v>3695</v>
      </c>
      <c r="N3697">
        <v>-772784</v>
      </c>
      <c r="P3697">
        <v>212321</v>
      </c>
    </row>
    <row r="3698" spans="13:16" x14ac:dyDescent="0.3">
      <c r="M3698">
        <v>3696</v>
      </c>
      <c r="N3698">
        <v>197359</v>
      </c>
      <c r="P3698">
        <v>-323784</v>
      </c>
    </row>
    <row r="3699" spans="13:16" x14ac:dyDescent="0.3">
      <c r="M3699">
        <v>3697</v>
      </c>
      <c r="N3699">
        <v>161934</v>
      </c>
      <c r="P3699">
        <v>747983</v>
      </c>
    </row>
    <row r="3700" spans="13:16" x14ac:dyDescent="0.3">
      <c r="M3700">
        <v>3698</v>
      </c>
      <c r="N3700">
        <v>4678</v>
      </c>
      <c r="P3700">
        <v>-64751</v>
      </c>
    </row>
    <row r="3701" spans="13:16" x14ac:dyDescent="0.3">
      <c r="M3701">
        <v>3699</v>
      </c>
      <c r="N3701">
        <v>-147057</v>
      </c>
      <c r="P3701">
        <v>-393284</v>
      </c>
    </row>
    <row r="3702" spans="13:16" x14ac:dyDescent="0.3">
      <c r="M3702">
        <v>3700</v>
      </c>
      <c r="N3702">
        <v>-544752</v>
      </c>
      <c r="P3702">
        <v>99355</v>
      </c>
    </row>
    <row r="3703" spans="13:16" x14ac:dyDescent="0.3">
      <c r="M3703">
        <v>3701</v>
      </c>
      <c r="N3703">
        <v>-91710</v>
      </c>
      <c r="P3703">
        <v>601802</v>
      </c>
    </row>
    <row r="3704" spans="13:16" x14ac:dyDescent="0.3">
      <c r="M3704">
        <v>3702</v>
      </c>
      <c r="N3704">
        <v>78889</v>
      </c>
      <c r="P3704">
        <v>420601</v>
      </c>
    </row>
    <row r="3705" spans="13:16" x14ac:dyDescent="0.3">
      <c r="M3705">
        <v>3703</v>
      </c>
      <c r="N3705">
        <v>-459916</v>
      </c>
      <c r="P3705">
        <v>-457548</v>
      </c>
    </row>
    <row r="3706" spans="13:16" x14ac:dyDescent="0.3">
      <c r="M3706">
        <v>3704</v>
      </c>
      <c r="N3706">
        <v>850531</v>
      </c>
      <c r="P3706">
        <v>-233951</v>
      </c>
    </row>
    <row r="3707" spans="13:16" x14ac:dyDescent="0.3">
      <c r="M3707">
        <v>3705</v>
      </c>
      <c r="N3707">
        <v>-626959</v>
      </c>
      <c r="P3707">
        <v>106548</v>
      </c>
    </row>
    <row r="3708" spans="13:16" x14ac:dyDescent="0.3">
      <c r="M3708">
        <v>3706</v>
      </c>
      <c r="N3708">
        <v>-578610</v>
      </c>
      <c r="P3708">
        <v>-64172</v>
      </c>
    </row>
    <row r="3709" spans="13:16" x14ac:dyDescent="0.3">
      <c r="M3709">
        <v>3707</v>
      </c>
      <c r="N3709">
        <v>308189</v>
      </c>
      <c r="P3709">
        <v>-36634</v>
      </c>
    </row>
    <row r="3710" spans="13:16" x14ac:dyDescent="0.3">
      <c r="M3710">
        <v>3708</v>
      </c>
      <c r="N3710">
        <v>275575</v>
      </c>
      <c r="P3710">
        <v>178101</v>
      </c>
    </row>
    <row r="3711" spans="13:16" x14ac:dyDescent="0.3">
      <c r="M3711">
        <v>3709</v>
      </c>
      <c r="N3711">
        <v>609544</v>
      </c>
      <c r="P3711">
        <v>231484</v>
      </c>
    </row>
    <row r="3712" spans="13:16" x14ac:dyDescent="0.3">
      <c r="M3712">
        <v>3710</v>
      </c>
      <c r="N3712">
        <v>753090</v>
      </c>
      <c r="P3712">
        <v>-213904</v>
      </c>
    </row>
    <row r="3713" spans="13:16" x14ac:dyDescent="0.3">
      <c r="M3713">
        <v>3711</v>
      </c>
      <c r="N3713">
        <v>597841</v>
      </c>
      <c r="P3713">
        <v>135226</v>
      </c>
    </row>
    <row r="3714" spans="13:16" x14ac:dyDescent="0.3">
      <c r="M3714">
        <v>3712</v>
      </c>
      <c r="N3714">
        <v>306207</v>
      </c>
      <c r="P3714">
        <v>163422</v>
      </c>
    </row>
    <row r="3715" spans="13:16" x14ac:dyDescent="0.3">
      <c r="M3715">
        <v>3713</v>
      </c>
      <c r="N3715">
        <v>-219675</v>
      </c>
      <c r="P3715">
        <v>-234975</v>
      </c>
    </row>
    <row r="3716" spans="13:16" x14ac:dyDescent="0.3">
      <c r="M3716">
        <v>3714</v>
      </c>
      <c r="N3716">
        <v>24172</v>
      </c>
      <c r="P3716">
        <v>-287940</v>
      </c>
    </row>
    <row r="3717" spans="13:16" x14ac:dyDescent="0.3">
      <c r="M3717">
        <v>3715</v>
      </c>
      <c r="N3717">
        <v>-425417</v>
      </c>
      <c r="P3717">
        <v>-770261</v>
      </c>
    </row>
    <row r="3718" spans="13:16" x14ac:dyDescent="0.3">
      <c r="M3718">
        <v>3716</v>
      </c>
      <c r="N3718">
        <v>36060</v>
      </c>
      <c r="P3718">
        <v>302536</v>
      </c>
    </row>
    <row r="3719" spans="13:16" x14ac:dyDescent="0.3">
      <c r="M3719">
        <v>3717</v>
      </c>
      <c r="N3719">
        <v>-495752</v>
      </c>
      <c r="P3719">
        <v>-172890</v>
      </c>
    </row>
    <row r="3720" spans="13:16" x14ac:dyDescent="0.3">
      <c r="M3720">
        <v>3718</v>
      </c>
      <c r="N3720">
        <v>387138</v>
      </c>
      <c r="P3720">
        <v>-579507</v>
      </c>
    </row>
    <row r="3721" spans="13:16" x14ac:dyDescent="0.3">
      <c r="M3721">
        <v>3719</v>
      </c>
      <c r="N3721">
        <v>-156545</v>
      </c>
      <c r="P3721">
        <v>269829</v>
      </c>
    </row>
    <row r="3722" spans="13:16" x14ac:dyDescent="0.3">
      <c r="M3722">
        <v>3720</v>
      </c>
      <c r="N3722">
        <v>161195</v>
      </c>
      <c r="P3722">
        <v>-28630</v>
      </c>
    </row>
    <row r="3723" spans="13:16" x14ac:dyDescent="0.3">
      <c r="M3723">
        <v>3721</v>
      </c>
      <c r="N3723">
        <v>88674</v>
      </c>
      <c r="P3723">
        <v>-407320</v>
      </c>
    </row>
    <row r="3724" spans="13:16" x14ac:dyDescent="0.3">
      <c r="M3724">
        <v>3722</v>
      </c>
      <c r="N3724">
        <v>41793</v>
      </c>
      <c r="P3724">
        <v>4114</v>
      </c>
    </row>
    <row r="3725" spans="13:16" x14ac:dyDescent="0.3">
      <c r="M3725">
        <v>3723</v>
      </c>
      <c r="N3725">
        <v>586313</v>
      </c>
      <c r="P3725">
        <v>-435149</v>
      </c>
    </row>
    <row r="3726" spans="13:16" x14ac:dyDescent="0.3">
      <c r="M3726">
        <v>3724</v>
      </c>
      <c r="N3726">
        <v>-636611</v>
      </c>
      <c r="P3726">
        <v>-234383</v>
      </c>
    </row>
    <row r="3727" spans="13:16" x14ac:dyDescent="0.3">
      <c r="M3727">
        <v>3725</v>
      </c>
      <c r="N3727">
        <v>605064</v>
      </c>
      <c r="P3727">
        <v>410063</v>
      </c>
    </row>
    <row r="3728" spans="13:16" x14ac:dyDescent="0.3">
      <c r="M3728">
        <v>3726</v>
      </c>
      <c r="N3728">
        <v>-197911</v>
      </c>
      <c r="P3728">
        <v>295189</v>
      </c>
    </row>
    <row r="3729" spans="13:16" x14ac:dyDescent="0.3">
      <c r="M3729">
        <v>3727</v>
      </c>
      <c r="N3729">
        <v>154274</v>
      </c>
      <c r="P3729">
        <v>363143</v>
      </c>
    </row>
    <row r="3730" spans="13:16" x14ac:dyDescent="0.3">
      <c r="M3730">
        <v>3728</v>
      </c>
      <c r="N3730">
        <v>552874</v>
      </c>
      <c r="P3730">
        <v>-573658</v>
      </c>
    </row>
    <row r="3731" spans="13:16" x14ac:dyDescent="0.3">
      <c r="M3731">
        <v>3729</v>
      </c>
      <c r="N3731">
        <v>322396</v>
      </c>
      <c r="P3731">
        <v>-269167</v>
      </c>
    </row>
    <row r="3732" spans="13:16" x14ac:dyDescent="0.3">
      <c r="M3732">
        <v>3730</v>
      </c>
      <c r="N3732">
        <v>-216322</v>
      </c>
      <c r="P3732">
        <v>-251133</v>
      </c>
    </row>
    <row r="3733" spans="13:16" x14ac:dyDescent="0.3">
      <c r="M3733">
        <v>3731</v>
      </c>
      <c r="N3733">
        <v>406422</v>
      </c>
      <c r="P3733">
        <v>-226869</v>
      </c>
    </row>
    <row r="3734" spans="13:16" x14ac:dyDescent="0.3">
      <c r="M3734">
        <v>3732</v>
      </c>
      <c r="N3734">
        <v>55899</v>
      </c>
      <c r="P3734">
        <v>84814</v>
      </c>
    </row>
    <row r="3735" spans="13:16" x14ac:dyDescent="0.3">
      <c r="M3735">
        <v>3733</v>
      </c>
      <c r="N3735">
        <v>262994</v>
      </c>
      <c r="P3735">
        <v>-416397</v>
      </c>
    </row>
    <row r="3736" spans="13:16" x14ac:dyDescent="0.3">
      <c r="M3736">
        <v>3734</v>
      </c>
      <c r="N3736">
        <v>-808684</v>
      </c>
      <c r="P3736">
        <v>326849</v>
      </c>
    </row>
    <row r="3737" spans="13:16" x14ac:dyDescent="0.3">
      <c r="M3737">
        <v>3735</v>
      </c>
      <c r="N3737">
        <v>404124</v>
      </c>
      <c r="P3737">
        <v>95232</v>
      </c>
    </row>
    <row r="3738" spans="13:16" x14ac:dyDescent="0.3">
      <c r="M3738">
        <v>3736</v>
      </c>
      <c r="N3738">
        <v>827681</v>
      </c>
      <c r="P3738">
        <v>-42645</v>
      </c>
    </row>
    <row r="3739" spans="13:16" x14ac:dyDescent="0.3">
      <c r="M3739">
        <v>3737</v>
      </c>
      <c r="N3739">
        <v>-442373</v>
      </c>
      <c r="P3739">
        <v>-840508</v>
      </c>
    </row>
    <row r="3740" spans="13:16" x14ac:dyDescent="0.3">
      <c r="M3740">
        <v>3738</v>
      </c>
      <c r="N3740">
        <v>-146415</v>
      </c>
      <c r="P3740">
        <v>-791113</v>
      </c>
    </row>
    <row r="3741" spans="13:16" x14ac:dyDescent="0.3">
      <c r="M3741">
        <v>3739</v>
      </c>
      <c r="N3741">
        <v>513377</v>
      </c>
      <c r="P3741">
        <v>179782</v>
      </c>
    </row>
    <row r="3742" spans="13:16" x14ac:dyDescent="0.3">
      <c r="M3742">
        <v>3740</v>
      </c>
      <c r="N3742">
        <v>-493755</v>
      </c>
      <c r="P3742">
        <v>-536380</v>
      </c>
    </row>
    <row r="3743" spans="13:16" x14ac:dyDescent="0.3">
      <c r="M3743">
        <v>3741</v>
      </c>
      <c r="N3743">
        <v>748630</v>
      </c>
      <c r="P3743">
        <v>-24204</v>
      </c>
    </row>
    <row r="3744" spans="13:16" x14ac:dyDescent="0.3">
      <c r="M3744">
        <v>3742</v>
      </c>
      <c r="N3744">
        <v>-283486</v>
      </c>
      <c r="P3744">
        <v>486399</v>
      </c>
    </row>
    <row r="3745" spans="13:16" x14ac:dyDescent="0.3">
      <c r="M3745">
        <v>3743</v>
      </c>
      <c r="N3745">
        <v>675832</v>
      </c>
      <c r="P3745">
        <v>538549</v>
      </c>
    </row>
    <row r="3746" spans="13:16" x14ac:dyDescent="0.3">
      <c r="M3746">
        <v>3744</v>
      </c>
      <c r="N3746">
        <v>-228290</v>
      </c>
      <c r="P3746">
        <v>124906</v>
      </c>
    </row>
    <row r="3747" spans="13:16" x14ac:dyDescent="0.3">
      <c r="M3747">
        <v>3745</v>
      </c>
      <c r="N3747">
        <v>308958</v>
      </c>
      <c r="P3747">
        <v>228944</v>
      </c>
    </row>
    <row r="3748" spans="13:16" x14ac:dyDescent="0.3">
      <c r="M3748">
        <v>3746</v>
      </c>
      <c r="N3748">
        <v>-661218</v>
      </c>
      <c r="P3748">
        <v>-16369</v>
      </c>
    </row>
    <row r="3749" spans="13:16" x14ac:dyDescent="0.3">
      <c r="M3749">
        <v>3747</v>
      </c>
      <c r="N3749">
        <v>110133</v>
      </c>
      <c r="P3749">
        <v>395203</v>
      </c>
    </row>
    <row r="3750" spans="13:16" x14ac:dyDescent="0.3">
      <c r="M3750">
        <v>3748</v>
      </c>
      <c r="N3750">
        <v>549997</v>
      </c>
      <c r="P3750">
        <v>-157603</v>
      </c>
    </row>
    <row r="3751" spans="13:16" x14ac:dyDescent="0.3">
      <c r="M3751">
        <v>3749</v>
      </c>
      <c r="N3751">
        <v>-323919</v>
      </c>
      <c r="P3751">
        <v>254051</v>
      </c>
    </row>
    <row r="3752" spans="13:16" x14ac:dyDescent="0.3">
      <c r="M3752">
        <v>3750</v>
      </c>
      <c r="N3752">
        <v>-658871</v>
      </c>
      <c r="P3752">
        <v>-697602</v>
      </c>
    </row>
    <row r="3753" spans="13:16" x14ac:dyDescent="0.3">
      <c r="M3753">
        <v>3751</v>
      </c>
      <c r="N3753">
        <v>124308</v>
      </c>
      <c r="P3753">
        <v>47637</v>
      </c>
    </row>
    <row r="3754" spans="13:16" x14ac:dyDescent="0.3">
      <c r="M3754">
        <v>3752</v>
      </c>
      <c r="N3754">
        <v>528934</v>
      </c>
      <c r="P3754">
        <v>55758</v>
      </c>
    </row>
    <row r="3755" spans="13:16" x14ac:dyDescent="0.3">
      <c r="M3755">
        <v>3753</v>
      </c>
      <c r="N3755">
        <v>-422234</v>
      </c>
      <c r="P3755">
        <v>-356933</v>
      </c>
    </row>
    <row r="3756" spans="13:16" x14ac:dyDescent="0.3">
      <c r="M3756">
        <v>3754</v>
      </c>
      <c r="N3756">
        <v>362367</v>
      </c>
      <c r="P3756">
        <v>-269622</v>
      </c>
    </row>
    <row r="3757" spans="13:16" x14ac:dyDescent="0.3">
      <c r="M3757">
        <v>3755</v>
      </c>
      <c r="N3757">
        <v>41968</v>
      </c>
      <c r="P3757">
        <v>498402</v>
      </c>
    </row>
    <row r="3758" spans="13:16" x14ac:dyDescent="0.3">
      <c r="M3758">
        <v>3756</v>
      </c>
      <c r="N3758">
        <v>238742</v>
      </c>
      <c r="P3758">
        <v>315526</v>
      </c>
    </row>
    <row r="3759" spans="13:16" x14ac:dyDescent="0.3">
      <c r="M3759">
        <v>3757</v>
      </c>
      <c r="N3759">
        <v>142363</v>
      </c>
      <c r="P3759">
        <v>615185</v>
      </c>
    </row>
    <row r="3760" spans="13:16" x14ac:dyDescent="0.3">
      <c r="M3760">
        <v>3758</v>
      </c>
      <c r="N3760">
        <v>231257</v>
      </c>
      <c r="P3760">
        <v>42581</v>
      </c>
    </row>
    <row r="3761" spans="13:16" x14ac:dyDescent="0.3">
      <c r="M3761">
        <v>3759</v>
      </c>
      <c r="N3761">
        <v>569085</v>
      </c>
      <c r="P3761">
        <v>-303242</v>
      </c>
    </row>
    <row r="3762" spans="13:16" x14ac:dyDescent="0.3">
      <c r="M3762">
        <v>3760</v>
      </c>
      <c r="N3762">
        <v>-512579</v>
      </c>
      <c r="P3762">
        <v>548905</v>
      </c>
    </row>
    <row r="3763" spans="13:16" x14ac:dyDescent="0.3">
      <c r="M3763">
        <v>3761</v>
      </c>
      <c r="N3763">
        <v>150225</v>
      </c>
      <c r="P3763">
        <v>-281835</v>
      </c>
    </row>
    <row r="3764" spans="13:16" x14ac:dyDescent="0.3">
      <c r="M3764">
        <v>3762</v>
      </c>
      <c r="N3764">
        <v>-59565</v>
      </c>
      <c r="P3764">
        <v>60666</v>
      </c>
    </row>
    <row r="3765" spans="13:16" x14ac:dyDescent="0.3">
      <c r="M3765">
        <v>3763</v>
      </c>
      <c r="N3765">
        <v>492771</v>
      </c>
      <c r="P3765">
        <v>376057</v>
      </c>
    </row>
    <row r="3766" spans="13:16" x14ac:dyDescent="0.3">
      <c r="M3766">
        <v>3764</v>
      </c>
      <c r="N3766">
        <v>-65585</v>
      </c>
      <c r="P3766">
        <v>-236479</v>
      </c>
    </row>
    <row r="3767" spans="13:16" x14ac:dyDescent="0.3">
      <c r="M3767">
        <v>3765</v>
      </c>
      <c r="N3767">
        <v>-360099</v>
      </c>
      <c r="P3767">
        <v>-447839</v>
      </c>
    </row>
    <row r="3768" spans="13:16" x14ac:dyDescent="0.3">
      <c r="M3768">
        <v>3766</v>
      </c>
      <c r="N3768">
        <v>-752135</v>
      </c>
      <c r="P3768">
        <v>-20179</v>
      </c>
    </row>
    <row r="3769" spans="13:16" x14ac:dyDescent="0.3">
      <c r="M3769">
        <v>3767</v>
      </c>
      <c r="N3769">
        <v>357091</v>
      </c>
      <c r="P3769">
        <v>240699</v>
      </c>
    </row>
    <row r="3770" spans="13:16" x14ac:dyDescent="0.3">
      <c r="M3770">
        <v>3768</v>
      </c>
      <c r="N3770">
        <v>-531268</v>
      </c>
      <c r="P3770">
        <v>480032</v>
      </c>
    </row>
    <row r="3771" spans="13:16" x14ac:dyDescent="0.3">
      <c r="M3771">
        <v>3769</v>
      </c>
      <c r="N3771">
        <v>-804490</v>
      </c>
      <c r="P3771">
        <v>832551</v>
      </c>
    </row>
    <row r="3772" spans="13:16" x14ac:dyDescent="0.3">
      <c r="M3772">
        <v>3770</v>
      </c>
      <c r="N3772">
        <v>-290195</v>
      </c>
      <c r="P3772">
        <v>-410991</v>
      </c>
    </row>
    <row r="3773" spans="13:16" x14ac:dyDescent="0.3">
      <c r="M3773">
        <v>3771</v>
      </c>
      <c r="N3773">
        <v>-105371</v>
      </c>
      <c r="P3773">
        <v>856773</v>
      </c>
    </row>
    <row r="3774" spans="13:16" x14ac:dyDescent="0.3">
      <c r="M3774">
        <v>3772</v>
      </c>
      <c r="N3774">
        <v>-409241</v>
      </c>
      <c r="P3774">
        <v>215852</v>
      </c>
    </row>
    <row r="3775" spans="13:16" x14ac:dyDescent="0.3">
      <c r="M3775">
        <v>3773</v>
      </c>
      <c r="N3775">
        <v>-633414</v>
      </c>
      <c r="P3775">
        <v>-6554</v>
      </c>
    </row>
    <row r="3776" spans="13:16" x14ac:dyDescent="0.3">
      <c r="M3776">
        <v>3774</v>
      </c>
      <c r="N3776">
        <v>478580</v>
      </c>
      <c r="P3776">
        <v>-54129</v>
      </c>
    </row>
    <row r="3777" spans="13:16" x14ac:dyDescent="0.3">
      <c r="M3777">
        <v>3775</v>
      </c>
      <c r="N3777">
        <v>101020</v>
      </c>
      <c r="P3777">
        <v>45435</v>
      </c>
    </row>
    <row r="3778" spans="13:16" x14ac:dyDescent="0.3">
      <c r="M3778">
        <v>3776</v>
      </c>
      <c r="N3778">
        <v>-497756</v>
      </c>
      <c r="P3778">
        <v>379357</v>
      </c>
    </row>
    <row r="3779" spans="13:16" x14ac:dyDescent="0.3">
      <c r="M3779">
        <v>3777</v>
      </c>
      <c r="N3779">
        <v>62721</v>
      </c>
      <c r="P3779">
        <v>-585244</v>
      </c>
    </row>
    <row r="3780" spans="13:16" x14ac:dyDescent="0.3">
      <c r="M3780">
        <v>3778</v>
      </c>
      <c r="N3780">
        <v>178752</v>
      </c>
      <c r="P3780">
        <v>406561</v>
      </c>
    </row>
    <row r="3781" spans="13:16" x14ac:dyDescent="0.3">
      <c r="M3781">
        <v>3779</v>
      </c>
      <c r="N3781">
        <v>96103</v>
      </c>
      <c r="P3781">
        <v>616441</v>
      </c>
    </row>
    <row r="3782" spans="13:16" x14ac:dyDescent="0.3">
      <c r="M3782">
        <v>3780</v>
      </c>
      <c r="N3782">
        <v>-457931</v>
      </c>
      <c r="P3782">
        <v>42557</v>
      </c>
    </row>
    <row r="3783" spans="13:16" x14ac:dyDescent="0.3">
      <c r="M3783">
        <v>3781</v>
      </c>
      <c r="N3783">
        <v>-317064</v>
      </c>
      <c r="P3783">
        <v>-719544</v>
      </c>
    </row>
    <row r="3784" spans="13:16" x14ac:dyDescent="0.3">
      <c r="M3784">
        <v>3782</v>
      </c>
      <c r="N3784">
        <v>-308299</v>
      </c>
      <c r="P3784">
        <v>150364</v>
      </c>
    </row>
    <row r="3785" spans="13:16" x14ac:dyDescent="0.3">
      <c r="M3785">
        <v>3783</v>
      </c>
      <c r="N3785">
        <v>648339</v>
      </c>
      <c r="P3785">
        <v>105607</v>
      </c>
    </row>
    <row r="3786" spans="13:16" x14ac:dyDescent="0.3">
      <c r="M3786">
        <v>3784</v>
      </c>
      <c r="N3786">
        <v>-37240</v>
      </c>
      <c r="P3786">
        <v>137470</v>
      </c>
    </row>
    <row r="3787" spans="13:16" x14ac:dyDescent="0.3">
      <c r="M3787">
        <v>3785</v>
      </c>
      <c r="N3787">
        <v>117531</v>
      </c>
      <c r="P3787">
        <v>-75481</v>
      </c>
    </row>
    <row r="3788" spans="13:16" x14ac:dyDescent="0.3">
      <c r="M3788">
        <v>3786</v>
      </c>
      <c r="N3788">
        <v>262085</v>
      </c>
      <c r="P3788">
        <v>-230372</v>
      </c>
    </row>
    <row r="3789" spans="13:16" x14ac:dyDescent="0.3">
      <c r="M3789">
        <v>3787</v>
      </c>
      <c r="N3789">
        <v>126137</v>
      </c>
      <c r="P3789">
        <v>857910</v>
      </c>
    </row>
    <row r="3790" spans="13:16" x14ac:dyDescent="0.3">
      <c r="M3790">
        <v>3788</v>
      </c>
      <c r="N3790">
        <v>-383782</v>
      </c>
      <c r="P3790">
        <v>169704</v>
      </c>
    </row>
    <row r="3791" spans="13:16" x14ac:dyDescent="0.3">
      <c r="M3791">
        <v>3789</v>
      </c>
      <c r="N3791">
        <v>171059</v>
      </c>
      <c r="P3791">
        <v>-738119</v>
      </c>
    </row>
    <row r="3792" spans="13:16" x14ac:dyDescent="0.3">
      <c r="M3792">
        <v>3790</v>
      </c>
      <c r="N3792">
        <v>-10468</v>
      </c>
      <c r="P3792">
        <v>853149</v>
      </c>
    </row>
    <row r="3793" spans="13:16" x14ac:dyDescent="0.3">
      <c r="M3793">
        <v>3791</v>
      </c>
      <c r="N3793">
        <v>-521441</v>
      </c>
      <c r="P3793">
        <v>247346</v>
      </c>
    </row>
    <row r="3794" spans="13:16" x14ac:dyDescent="0.3">
      <c r="M3794">
        <v>3792</v>
      </c>
      <c r="N3794">
        <v>-98351</v>
      </c>
      <c r="P3794">
        <v>268514</v>
      </c>
    </row>
    <row r="3795" spans="13:16" x14ac:dyDescent="0.3">
      <c r="M3795">
        <v>3793</v>
      </c>
      <c r="N3795">
        <v>425232</v>
      </c>
      <c r="P3795">
        <v>-162139</v>
      </c>
    </row>
    <row r="3796" spans="13:16" x14ac:dyDescent="0.3">
      <c r="M3796">
        <v>3794</v>
      </c>
      <c r="N3796">
        <v>-441921</v>
      </c>
      <c r="P3796">
        <v>-306334</v>
      </c>
    </row>
    <row r="3797" spans="13:16" x14ac:dyDescent="0.3">
      <c r="M3797">
        <v>3795</v>
      </c>
      <c r="N3797">
        <v>863968</v>
      </c>
      <c r="P3797">
        <v>-538720</v>
      </c>
    </row>
    <row r="3798" spans="13:16" x14ac:dyDescent="0.3">
      <c r="M3798">
        <v>3796</v>
      </c>
      <c r="N3798">
        <v>-257518</v>
      </c>
      <c r="P3798">
        <v>976913</v>
      </c>
    </row>
    <row r="3799" spans="13:16" x14ac:dyDescent="0.3">
      <c r="M3799">
        <v>3797</v>
      </c>
      <c r="N3799">
        <v>287919</v>
      </c>
      <c r="P3799">
        <v>-113875</v>
      </c>
    </row>
    <row r="3800" spans="13:16" x14ac:dyDescent="0.3">
      <c r="M3800">
        <v>3798</v>
      </c>
      <c r="N3800">
        <v>666641</v>
      </c>
      <c r="P3800">
        <v>-332257</v>
      </c>
    </row>
    <row r="3801" spans="13:16" x14ac:dyDescent="0.3">
      <c r="M3801">
        <v>3799</v>
      </c>
      <c r="N3801">
        <v>-87438</v>
      </c>
      <c r="P3801">
        <v>602361</v>
      </c>
    </row>
    <row r="3802" spans="13:16" x14ac:dyDescent="0.3">
      <c r="M3802">
        <v>3800</v>
      </c>
      <c r="N3802">
        <v>-181429</v>
      </c>
      <c r="P3802">
        <v>615660</v>
      </c>
    </row>
    <row r="3803" spans="13:16" x14ac:dyDescent="0.3">
      <c r="M3803">
        <v>3801</v>
      </c>
      <c r="N3803">
        <v>-290472</v>
      </c>
      <c r="P3803">
        <v>-543733</v>
      </c>
    </row>
    <row r="3804" spans="13:16" x14ac:dyDescent="0.3">
      <c r="M3804">
        <v>3802</v>
      </c>
      <c r="N3804">
        <v>661243</v>
      </c>
      <c r="P3804">
        <v>1044909</v>
      </c>
    </row>
    <row r="3805" spans="13:16" x14ac:dyDescent="0.3">
      <c r="M3805">
        <v>3803</v>
      </c>
      <c r="N3805">
        <v>-214427</v>
      </c>
      <c r="P3805">
        <v>243425</v>
      </c>
    </row>
    <row r="3806" spans="13:16" x14ac:dyDescent="0.3">
      <c r="M3806">
        <v>3804</v>
      </c>
      <c r="N3806">
        <v>56017</v>
      </c>
      <c r="P3806">
        <v>789541</v>
      </c>
    </row>
    <row r="3807" spans="13:16" x14ac:dyDescent="0.3">
      <c r="M3807">
        <v>3805</v>
      </c>
      <c r="N3807">
        <v>54473</v>
      </c>
      <c r="P3807">
        <v>-504681</v>
      </c>
    </row>
    <row r="3808" spans="13:16" x14ac:dyDescent="0.3">
      <c r="M3808">
        <v>3806</v>
      </c>
      <c r="N3808">
        <v>-730761</v>
      </c>
      <c r="P3808">
        <v>194630</v>
      </c>
    </row>
    <row r="3809" spans="13:16" x14ac:dyDescent="0.3">
      <c r="M3809">
        <v>3807</v>
      </c>
      <c r="N3809">
        <v>-370134</v>
      </c>
      <c r="P3809">
        <v>-511476</v>
      </c>
    </row>
    <row r="3810" spans="13:16" x14ac:dyDescent="0.3">
      <c r="M3810">
        <v>3808</v>
      </c>
      <c r="N3810">
        <v>-76672</v>
      </c>
      <c r="P3810">
        <v>434019</v>
      </c>
    </row>
    <row r="3811" spans="13:16" x14ac:dyDescent="0.3">
      <c r="M3811">
        <v>3809</v>
      </c>
      <c r="N3811">
        <v>-107957</v>
      </c>
      <c r="P3811">
        <v>-409976</v>
      </c>
    </row>
    <row r="3812" spans="13:16" x14ac:dyDescent="0.3">
      <c r="M3812">
        <v>3810</v>
      </c>
      <c r="N3812">
        <v>-70316</v>
      </c>
      <c r="P3812">
        <v>55216</v>
      </c>
    </row>
    <row r="3813" spans="13:16" x14ac:dyDescent="0.3">
      <c r="M3813">
        <v>3811</v>
      </c>
      <c r="N3813">
        <v>454320</v>
      </c>
      <c r="P3813">
        <v>739578</v>
      </c>
    </row>
    <row r="3814" spans="13:16" x14ac:dyDescent="0.3">
      <c r="M3814">
        <v>3812</v>
      </c>
      <c r="N3814">
        <v>459873</v>
      </c>
      <c r="P3814">
        <v>222181</v>
      </c>
    </row>
    <row r="3815" spans="13:16" x14ac:dyDescent="0.3">
      <c r="M3815">
        <v>3813</v>
      </c>
      <c r="N3815">
        <v>-310373</v>
      </c>
      <c r="P3815">
        <v>1243</v>
      </c>
    </row>
    <row r="3816" spans="13:16" x14ac:dyDescent="0.3">
      <c r="M3816">
        <v>3814</v>
      </c>
      <c r="N3816">
        <v>-405598</v>
      </c>
      <c r="P3816">
        <v>480121</v>
      </c>
    </row>
    <row r="3817" spans="13:16" x14ac:dyDescent="0.3">
      <c r="M3817">
        <v>3815</v>
      </c>
      <c r="N3817">
        <v>162662</v>
      </c>
      <c r="P3817">
        <v>-100002</v>
      </c>
    </row>
    <row r="3818" spans="13:16" x14ac:dyDescent="0.3">
      <c r="M3818">
        <v>3816</v>
      </c>
      <c r="N3818">
        <v>-246980</v>
      </c>
      <c r="P3818">
        <v>-493253</v>
      </c>
    </row>
    <row r="3819" spans="13:16" x14ac:dyDescent="0.3">
      <c r="M3819">
        <v>3817</v>
      </c>
      <c r="N3819">
        <v>492026</v>
      </c>
      <c r="P3819">
        <v>-392557</v>
      </c>
    </row>
    <row r="3820" spans="13:16" x14ac:dyDescent="0.3">
      <c r="M3820">
        <v>3818</v>
      </c>
      <c r="N3820">
        <v>478514</v>
      </c>
      <c r="P3820">
        <v>293036</v>
      </c>
    </row>
    <row r="3821" spans="13:16" x14ac:dyDescent="0.3">
      <c r="M3821">
        <v>3819</v>
      </c>
      <c r="N3821">
        <v>-138814</v>
      </c>
      <c r="P3821">
        <v>-137643</v>
      </c>
    </row>
    <row r="3822" spans="13:16" x14ac:dyDescent="0.3">
      <c r="M3822">
        <v>3820</v>
      </c>
      <c r="N3822">
        <v>902476</v>
      </c>
      <c r="P3822">
        <v>746079</v>
      </c>
    </row>
    <row r="3823" spans="13:16" x14ac:dyDescent="0.3">
      <c r="M3823">
        <v>3821</v>
      </c>
      <c r="N3823">
        <v>308318</v>
      </c>
      <c r="P3823">
        <v>-305935</v>
      </c>
    </row>
    <row r="3824" spans="13:16" x14ac:dyDescent="0.3">
      <c r="M3824">
        <v>3822</v>
      </c>
      <c r="N3824">
        <v>354818</v>
      </c>
      <c r="P3824">
        <v>-107898</v>
      </c>
    </row>
    <row r="3825" spans="13:16" x14ac:dyDescent="0.3">
      <c r="M3825">
        <v>3823</v>
      </c>
      <c r="N3825">
        <v>881296</v>
      </c>
      <c r="P3825">
        <v>-291027</v>
      </c>
    </row>
    <row r="3826" spans="13:16" x14ac:dyDescent="0.3">
      <c r="M3826">
        <v>3824</v>
      </c>
      <c r="N3826">
        <v>-263389</v>
      </c>
      <c r="P3826">
        <v>746090</v>
      </c>
    </row>
    <row r="3827" spans="13:16" x14ac:dyDescent="0.3">
      <c r="M3827">
        <v>3825</v>
      </c>
      <c r="N3827">
        <v>-480231</v>
      </c>
      <c r="P3827">
        <v>-515337</v>
      </c>
    </row>
    <row r="3828" spans="13:16" x14ac:dyDescent="0.3">
      <c r="M3828">
        <v>3826</v>
      </c>
      <c r="N3828">
        <v>578615</v>
      </c>
      <c r="P3828">
        <v>-751403</v>
      </c>
    </row>
    <row r="3829" spans="13:16" x14ac:dyDescent="0.3">
      <c r="M3829">
        <v>3827</v>
      </c>
      <c r="N3829">
        <v>632413</v>
      </c>
      <c r="P3829">
        <v>-328445</v>
      </c>
    </row>
    <row r="3830" spans="13:16" x14ac:dyDescent="0.3">
      <c r="M3830">
        <v>3828</v>
      </c>
      <c r="N3830">
        <v>195166</v>
      </c>
      <c r="P3830">
        <v>570930</v>
      </c>
    </row>
    <row r="3831" spans="13:16" x14ac:dyDescent="0.3">
      <c r="M3831">
        <v>3829</v>
      </c>
      <c r="N3831">
        <v>142095</v>
      </c>
      <c r="P3831">
        <v>-290143</v>
      </c>
    </row>
    <row r="3832" spans="13:16" x14ac:dyDescent="0.3">
      <c r="M3832">
        <v>3830</v>
      </c>
      <c r="N3832">
        <v>80025</v>
      </c>
      <c r="P3832">
        <v>-260061</v>
      </c>
    </row>
    <row r="3833" spans="13:16" x14ac:dyDescent="0.3">
      <c r="M3833">
        <v>3831</v>
      </c>
      <c r="N3833">
        <v>532626</v>
      </c>
      <c r="P3833">
        <v>-539586</v>
      </c>
    </row>
    <row r="3834" spans="13:16" x14ac:dyDescent="0.3">
      <c r="M3834">
        <v>3832</v>
      </c>
      <c r="N3834">
        <v>87064</v>
      </c>
      <c r="P3834">
        <v>30650</v>
      </c>
    </row>
    <row r="3835" spans="13:16" x14ac:dyDescent="0.3">
      <c r="M3835">
        <v>3833</v>
      </c>
      <c r="N3835">
        <v>314640</v>
      </c>
      <c r="P3835">
        <v>141328</v>
      </c>
    </row>
    <row r="3836" spans="13:16" x14ac:dyDescent="0.3">
      <c r="M3836">
        <v>3834</v>
      </c>
      <c r="N3836">
        <v>178790</v>
      </c>
      <c r="P3836">
        <v>734598</v>
      </c>
    </row>
    <row r="3837" spans="13:16" x14ac:dyDescent="0.3">
      <c r="M3837">
        <v>3835</v>
      </c>
      <c r="N3837">
        <v>-2349</v>
      </c>
      <c r="P3837">
        <v>986654</v>
      </c>
    </row>
    <row r="3838" spans="13:16" x14ac:dyDescent="0.3">
      <c r="M3838">
        <v>3836</v>
      </c>
      <c r="N3838">
        <v>1034096</v>
      </c>
      <c r="P3838">
        <v>693447</v>
      </c>
    </row>
    <row r="3839" spans="13:16" x14ac:dyDescent="0.3">
      <c r="M3839">
        <v>3837</v>
      </c>
      <c r="N3839">
        <v>42333</v>
      </c>
      <c r="P3839">
        <v>-234170</v>
      </c>
    </row>
    <row r="3840" spans="13:16" x14ac:dyDescent="0.3">
      <c r="M3840">
        <v>3838</v>
      </c>
      <c r="N3840">
        <v>-359204</v>
      </c>
      <c r="P3840">
        <v>-538357</v>
      </c>
    </row>
    <row r="3841" spans="13:16" x14ac:dyDescent="0.3">
      <c r="M3841">
        <v>3839</v>
      </c>
      <c r="N3841">
        <v>-741895</v>
      </c>
      <c r="P3841">
        <v>-667106</v>
      </c>
    </row>
    <row r="3842" spans="13:16" x14ac:dyDescent="0.3">
      <c r="M3842">
        <v>3840</v>
      </c>
      <c r="N3842">
        <v>-69637</v>
      </c>
      <c r="P3842">
        <v>-662598</v>
      </c>
    </row>
    <row r="3843" spans="13:16" x14ac:dyDescent="0.3">
      <c r="M3843">
        <v>3841</v>
      </c>
      <c r="N3843">
        <v>-465394</v>
      </c>
      <c r="P3843">
        <v>44772</v>
      </c>
    </row>
    <row r="3844" spans="13:16" x14ac:dyDescent="0.3">
      <c r="M3844">
        <v>3842</v>
      </c>
      <c r="N3844">
        <v>-321396</v>
      </c>
      <c r="P3844">
        <v>-365769</v>
      </c>
    </row>
    <row r="3845" spans="13:16" x14ac:dyDescent="0.3">
      <c r="M3845">
        <v>3843</v>
      </c>
      <c r="N3845">
        <v>537895</v>
      </c>
      <c r="P3845">
        <v>358269</v>
      </c>
    </row>
    <row r="3846" spans="13:16" x14ac:dyDescent="0.3">
      <c r="M3846">
        <v>3844</v>
      </c>
      <c r="N3846">
        <v>-106375</v>
      </c>
      <c r="P3846">
        <v>-516484</v>
      </c>
    </row>
    <row r="3847" spans="13:16" x14ac:dyDescent="0.3">
      <c r="M3847">
        <v>3845</v>
      </c>
      <c r="N3847">
        <v>403979</v>
      </c>
      <c r="P3847">
        <v>567749</v>
      </c>
    </row>
    <row r="3848" spans="13:16" x14ac:dyDescent="0.3">
      <c r="M3848">
        <v>3846</v>
      </c>
      <c r="N3848">
        <v>-403252</v>
      </c>
      <c r="P3848">
        <v>-90099</v>
      </c>
    </row>
    <row r="3849" spans="13:16" x14ac:dyDescent="0.3">
      <c r="M3849">
        <v>3847</v>
      </c>
      <c r="N3849">
        <v>-127213</v>
      </c>
      <c r="P3849">
        <v>128623</v>
      </c>
    </row>
    <row r="3850" spans="13:16" x14ac:dyDescent="0.3">
      <c r="M3850">
        <v>3848</v>
      </c>
      <c r="N3850">
        <v>437802</v>
      </c>
      <c r="P3850">
        <v>203555</v>
      </c>
    </row>
    <row r="3851" spans="13:16" x14ac:dyDescent="0.3">
      <c r="M3851">
        <v>3849</v>
      </c>
      <c r="N3851">
        <v>483698</v>
      </c>
      <c r="P3851">
        <v>-724440</v>
      </c>
    </row>
    <row r="3852" spans="13:16" x14ac:dyDescent="0.3">
      <c r="M3852">
        <v>3850</v>
      </c>
      <c r="N3852">
        <v>-104443</v>
      </c>
      <c r="P3852">
        <v>-593066</v>
      </c>
    </row>
    <row r="3853" spans="13:16" x14ac:dyDescent="0.3">
      <c r="M3853">
        <v>3851</v>
      </c>
      <c r="N3853">
        <v>-176215</v>
      </c>
      <c r="P3853">
        <v>-74148</v>
      </c>
    </row>
    <row r="3854" spans="13:16" x14ac:dyDescent="0.3">
      <c r="M3854">
        <v>3852</v>
      </c>
      <c r="N3854">
        <v>-30264</v>
      </c>
      <c r="P3854">
        <v>228978</v>
      </c>
    </row>
    <row r="3855" spans="13:16" x14ac:dyDescent="0.3">
      <c r="M3855">
        <v>3853</v>
      </c>
      <c r="N3855">
        <v>-233745</v>
      </c>
      <c r="P3855">
        <v>-178075</v>
      </c>
    </row>
    <row r="3856" spans="13:16" x14ac:dyDescent="0.3">
      <c r="M3856">
        <v>3854</v>
      </c>
      <c r="N3856">
        <v>-101713</v>
      </c>
      <c r="P3856">
        <v>-101972</v>
      </c>
    </row>
    <row r="3857" spans="13:16" x14ac:dyDescent="0.3">
      <c r="M3857">
        <v>3855</v>
      </c>
      <c r="N3857">
        <v>-460526</v>
      </c>
      <c r="P3857">
        <v>-310450</v>
      </c>
    </row>
    <row r="3858" spans="13:16" x14ac:dyDescent="0.3">
      <c r="M3858">
        <v>3856</v>
      </c>
      <c r="N3858">
        <v>-209347</v>
      </c>
      <c r="P3858">
        <v>-64368</v>
      </c>
    </row>
    <row r="3859" spans="13:16" x14ac:dyDescent="0.3">
      <c r="M3859">
        <v>3857</v>
      </c>
      <c r="N3859">
        <v>448442</v>
      </c>
      <c r="P3859">
        <v>321936</v>
      </c>
    </row>
    <row r="3860" spans="13:16" x14ac:dyDescent="0.3">
      <c r="M3860">
        <v>3858</v>
      </c>
      <c r="N3860">
        <v>213640</v>
      </c>
      <c r="P3860">
        <v>-76087</v>
      </c>
    </row>
    <row r="3861" spans="13:16" x14ac:dyDescent="0.3">
      <c r="M3861">
        <v>3859</v>
      </c>
      <c r="N3861">
        <v>835624</v>
      </c>
      <c r="P3861">
        <v>488716</v>
      </c>
    </row>
    <row r="3862" spans="13:16" x14ac:dyDescent="0.3">
      <c r="M3862">
        <v>3860</v>
      </c>
      <c r="N3862">
        <v>758947</v>
      </c>
      <c r="P3862">
        <v>-240700</v>
      </c>
    </row>
    <row r="3863" spans="13:16" x14ac:dyDescent="0.3">
      <c r="M3863">
        <v>3861</v>
      </c>
      <c r="N3863">
        <v>874831</v>
      </c>
      <c r="P3863">
        <v>-101716</v>
      </c>
    </row>
    <row r="3864" spans="13:16" x14ac:dyDescent="0.3">
      <c r="M3864">
        <v>3862</v>
      </c>
      <c r="N3864">
        <v>-218493</v>
      </c>
      <c r="P3864">
        <v>568270</v>
      </c>
    </row>
    <row r="3865" spans="13:16" x14ac:dyDescent="0.3">
      <c r="M3865">
        <v>3863</v>
      </c>
      <c r="N3865">
        <v>-203819</v>
      </c>
      <c r="P3865">
        <v>414401</v>
      </c>
    </row>
    <row r="3866" spans="13:16" x14ac:dyDescent="0.3">
      <c r="M3866">
        <v>3864</v>
      </c>
      <c r="N3866">
        <v>-312510</v>
      </c>
      <c r="P3866">
        <v>-293888</v>
      </c>
    </row>
    <row r="3867" spans="13:16" x14ac:dyDescent="0.3">
      <c r="M3867">
        <v>3865</v>
      </c>
      <c r="N3867">
        <v>-252418</v>
      </c>
      <c r="P3867">
        <v>574838</v>
      </c>
    </row>
    <row r="3868" spans="13:16" x14ac:dyDescent="0.3">
      <c r="M3868">
        <v>3866</v>
      </c>
      <c r="N3868">
        <v>-111042</v>
      </c>
      <c r="P3868">
        <v>-10812</v>
      </c>
    </row>
    <row r="3869" spans="13:16" x14ac:dyDescent="0.3">
      <c r="M3869">
        <v>3867</v>
      </c>
      <c r="N3869">
        <v>318245</v>
      </c>
      <c r="P3869">
        <v>-306693</v>
      </c>
    </row>
    <row r="3870" spans="13:16" x14ac:dyDescent="0.3">
      <c r="M3870">
        <v>3868</v>
      </c>
      <c r="N3870">
        <v>478377</v>
      </c>
      <c r="P3870">
        <v>-412406</v>
      </c>
    </row>
    <row r="3871" spans="13:16" x14ac:dyDescent="0.3">
      <c r="M3871">
        <v>3869</v>
      </c>
      <c r="N3871">
        <v>-139919</v>
      </c>
      <c r="P3871">
        <v>77249</v>
      </c>
    </row>
    <row r="3872" spans="13:16" x14ac:dyDescent="0.3">
      <c r="M3872">
        <v>3870</v>
      </c>
      <c r="N3872">
        <v>227147</v>
      </c>
      <c r="P3872">
        <v>-8351</v>
      </c>
    </row>
    <row r="3873" spans="13:16" x14ac:dyDescent="0.3">
      <c r="M3873">
        <v>3871</v>
      </c>
      <c r="N3873">
        <v>-364452</v>
      </c>
      <c r="P3873">
        <v>-153827</v>
      </c>
    </row>
    <row r="3874" spans="13:16" x14ac:dyDescent="0.3">
      <c r="M3874">
        <v>3872</v>
      </c>
      <c r="N3874">
        <v>597229</v>
      </c>
      <c r="P3874">
        <v>748471</v>
      </c>
    </row>
    <row r="3875" spans="13:16" x14ac:dyDescent="0.3">
      <c r="M3875">
        <v>3873</v>
      </c>
      <c r="N3875">
        <v>-256423</v>
      </c>
      <c r="P3875">
        <v>408139</v>
      </c>
    </row>
    <row r="3876" spans="13:16" x14ac:dyDescent="0.3">
      <c r="M3876">
        <v>3874</v>
      </c>
      <c r="N3876">
        <v>579517</v>
      </c>
      <c r="P3876">
        <v>617783</v>
      </c>
    </row>
    <row r="3877" spans="13:16" x14ac:dyDescent="0.3">
      <c r="M3877">
        <v>3875</v>
      </c>
      <c r="N3877">
        <v>173996</v>
      </c>
      <c r="P3877">
        <v>777662</v>
      </c>
    </row>
    <row r="3878" spans="13:16" x14ac:dyDescent="0.3">
      <c r="M3878">
        <v>3876</v>
      </c>
      <c r="N3878">
        <v>718656</v>
      </c>
      <c r="P3878">
        <v>393048</v>
      </c>
    </row>
    <row r="3879" spans="13:16" x14ac:dyDescent="0.3">
      <c r="M3879">
        <v>3877</v>
      </c>
      <c r="N3879">
        <v>244264</v>
      </c>
      <c r="P3879">
        <v>222628</v>
      </c>
    </row>
    <row r="3880" spans="13:16" x14ac:dyDescent="0.3">
      <c r="M3880">
        <v>3878</v>
      </c>
      <c r="N3880">
        <v>316201</v>
      </c>
      <c r="P3880">
        <v>-490689</v>
      </c>
    </row>
    <row r="3881" spans="13:16" x14ac:dyDescent="0.3">
      <c r="M3881">
        <v>3879</v>
      </c>
      <c r="N3881">
        <v>304577</v>
      </c>
      <c r="P3881">
        <v>-777723</v>
      </c>
    </row>
    <row r="3882" spans="13:16" x14ac:dyDescent="0.3">
      <c r="M3882">
        <v>3880</v>
      </c>
      <c r="N3882">
        <v>318497</v>
      </c>
      <c r="P3882">
        <v>-718464</v>
      </c>
    </row>
    <row r="3883" spans="13:16" x14ac:dyDescent="0.3">
      <c r="M3883">
        <v>3881</v>
      </c>
      <c r="N3883">
        <v>-483918</v>
      </c>
      <c r="P3883">
        <v>-507082</v>
      </c>
    </row>
    <row r="3884" spans="13:16" x14ac:dyDescent="0.3">
      <c r="M3884">
        <v>3882</v>
      </c>
      <c r="N3884">
        <v>-229179</v>
      </c>
      <c r="P3884">
        <v>376785</v>
      </c>
    </row>
    <row r="3885" spans="13:16" x14ac:dyDescent="0.3">
      <c r="M3885">
        <v>3883</v>
      </c>
      <c r="N3885">
        <v>244629</v>
      </c>
      <c r="P3885">
        <v>-272416</v>
      </c>
    </row>
    <row r="3886" spans="13:16" x14ac:dyDescent="0.3">
      <c r="M3886">
        <v>3884</v>
      </c>
      <c r="N3886">
        <v>816971</v>
      </c>
      <c r="P3886">
        <v>451055</v>
      </c>
    </row>
    <row r="3887" spans="13:16" x14ac:dyDescent="0.3">
      <c r="M3887">
        <v>3885</v>
      </c>
      <c r="N3887">
        <v>372628</v>
      </c>
      <c r="P3887">
        <v>-207119</v>
      </c>
    </row>
    <row r="3888" spans="13:16" x14ac:dyDescent="0.3">
      <c r="M3888">
        <v>3886</v>
      </c>
      <c r="N3888">
        <v>554761</v>
      </c>
      <c r="P3888">
        <v>-236345</v>
      </c>
    </row>
    <row r="3889" spans="13:16" x14ac:dyDescent="0.3">
      <c r="M3889">
        <v>3887</v>
      </c>
      <c r="N3889">
        <v>-328464</v>
      </c>
      <c r="P3889">
        <v>79961</v>
      </c>
    </row>
    <row r="3890" spans="13:16" x14ac:dyDescent="0.3">
      <c r="M3890">
        <v>3888</v>
      </c>
      <c r="N3890">
        <v>-30487</v>
      </c>
      <c r="P3890">
        <v>387500</v>
      </c>
    </row>
    <row r="3891" spans="13:16" x14ac:dyDescent="0.3">
      <c r="M3891">
        <v>3889</v>
      </c>
      <c r="N3891">
        <v>-441800</v>
      </c>
      <c r="P3891">
        <v>-608741</v>
      </c>
    </row>
    <row r="3892" spans="13:16" x14ac:dyDescent="0.3">
      <c r="M3892">
        <v>3890</v>
      </c>
      <c r="N3892">
        <v>421240</v>
      </c>
      <c r="P3892">
        <v>-143080</v>
      </c>
    </row>
    <row r="3893" spans="13:16" x14ac:dyDescent="0.3">
      <c r="M3893">
        <v>3891</v>
      </c>
      <c r="N3893">
        <v>292367</v>
      </c>
      <c r="P3893">
        <v>-26734</v>
      </c>
    </row>
    <row r="3894" spans="13:16" x14ac:dyDescent="0.3">
      <c r="M3894">
        <v>3892</v>
      </c>
      <c r="N3894">
        <v>10425</v>
      </c>
      <c r="P3894">
        <v>-266634</v>
      </c>
    </row>
    <row r="3895" spans="13:16" x14ac:dyDescent="0.3">
      <c r="M3895">
        <v>3893</v>
      </c>
      <c r="N3895">
        <v>-282528</v>
      </c>
      <c r="P3895">
        <v>-386616</v>
      </c>
    </row>
    <row r="3896" spans="13:16" x14ac:dyDescent="0.3">
      <c r="M3896">
        <v>3894</v>
      </c>
      <c r="N3896">
        <v>-718925</v>
      </c>
      <c r="P3896">
        <v>192460</v>
      </c>
    </row>
    <row r="3897" spans="13:16" x14ac:dyDescent="0.3">
      <c r="M3897">
        <v>3895</v>
      </c>
      <c r="N3897">
        <v>-446816</v>
      </c>
      <c r="P3897">
        <v>-198090</v>
      </c>
    </row>
    <row r="3898" spans="13:16" x14ac:dyDescent="0.3">
      <c r="M3898">
        <v>3896</v>
      </c>
      <c r="N3898">
        <v>-408171</v>
      </c>
      <c r="P3898">
        <v>-393285</v>
      </c>
    </row>
    <row r="3899" spans="13:16" x14ac:dyDescent="0.3">
      <c r="M3899">
        <v>3897</v>
      </c>
      <c r="N3899">
        <v>-522082</v>
      </c>
      <c r="P3899">
        <v>-289553</v>
      </c>
    </row>
    <row r="3900" spans="13:16" x14ac:dyDescent="0.3">
      <c r="M3900">
        <v>3898</v>
      </c>
      <c r="N3900">
        <v>206273</v>
      </c>
      <c r="P3900">
        <v>-350399</v>
      </c>
    </row>
    <row r="3901" spans="13:16" x14ac:dyDescent="0.3">
      <c r="M3901">
        <v>3899</v>
      </c>
      <c r="N3901">
        <v>16562</v>
      </c>
      <c r="P3901">
        <v>-493581</v>
      </c>
    </row>
    <row r="3902" spans="13:16" x14ac:dyDescent="0.3">
      <c r="M3902">
        <v>3900</v>
      </c>
      <c r="N3902">
        <v>-52764</v>
      </c>
      <c r="P3902">
        <v>183888</v>
      </c>
    </row>
    <row r="3903" spans="13:16" x14ac:dyDescent="0.3">
      <c r="M3903">
        <v>3901</v>
      </c>
      <c r="N3903">
        <v>300753</v>
      </c>
      <c r="P3903">
        <v>-522922</v>
      </c>
    </row>
    <row r="3904" spans="13:16" x14ac:dyDescent="0.3">
      <c r="M3904">
        <v>3902</v>
      </c>
      <c r="N3904">
        <v>634880</v>
      </c>
      <c r="P3904">
        <v>239203</v>
      </c>
    </row>
    <row r="3905" spans="13:16" x14ac:dyDescent="0.3">
      <c r="M3905">
        <v>3903</v>
      </c>
      <c r="N3905">
        <v>-351714</v>
      </c>
      <c r="P3905">
        <v>213672</v>
      </c>
    </row>
    <row r="3906" spans="13:16" x14ac:dyDescent="0.3">
      <c r="M3906">
        <v>3904</v>
      </c>
      <c r="N3906">
        <v>-495984</v>
      </c>
      <c r="P3906">
        <v>302915</v>
      </c>
    </row>
    <row r="3907" spans="13:16" x14ac:dyDescent="0.3">
      <c r="M3907">
        <v>3905</v>
      </c>
      <c r="N3907">
        <v>638379</v>
      </c>
      <c r="P3907">
        <v>-354681</v>
      </c>
    </row>
    <row r="3908" spans="13:16" x14ac:dyDescent="0.3">
      <c r="M3908">
        <v>3906</v>
      </c>
      <c r="N3908">
        <v>598093</v>
      </c>
      <c r="P3908">
        <v>653341</v>
      </c>
    </row>
    <row r="3909" spans="13:16" x14ac:dyDescent="0.3">
      <c r="M3909">
        <v>3907</v>
      </c>
      <c r="N3909">
        <v>-34340</v>
      </c>
      <c r="P3909">
        <v>-528130</v>
      </c>
    </row>
    <row r="3910" spans="13:16" x14ac:dyDescent="0.3">
      <c r="M3910">
        <v>3908</v>
      </c>
      <c r="N3910">
        <v>-283779</v>
      </c>
      <c r="P3910">
        <v>855400</v>
      </c>
    </row>
    <row r="3911" spans="13:16" x14ac:dyDescent="0.3">
      <c r="M3911">
        <v>3909</v>
      </c>
      <c r="N3911">
        <v>-170990</v>
      </c>
      <c r="P3911">
        <v>52874</v>
      </c>
    </row>
    <row r="3912" spans="13:16" x14ac:dyDescent="0.3">
      <c r="M3912">
        <v>3910</v>
      </c>
      <c r="N3912">
        <v>737700</v>
      </c>
      <c r="P3912">
        <v>-150839</v>
      </c>
    </row>
    <row r="3913" spans="13:16" x14ac:dyDescent="0.3">
      <c r="M3913">
        <v>3911</v>
      </c>
      <c r="N3913">
        <v>818507</v>
      </c>
      <c r="P3913">
        <v>503019</v>
      </c>
    </row>
    <row r="3914" spans="13:16" x14ac:dyDescent="0.3">
      <c r="M3914">
        <v>3912</v>
      </c>
      <c r="N3914">
        <v>-92397</v>
      </c>
      <c r="P3914">
        <v>515057</v>
      </c>
    </row>
    <row r="3915" spans="13:16" x14ac:dyDescent="0.3">
      <c r="M3915">
        <v>3913</v>
      </c>
      <c r="N3915">
        <v>98366</v>
      </c>
      <c r="P3915">
        <v>134570</v>
      </c>
    </row>
    <row r="3916" spans="13:16" x14ac:dyDescent="0.3">
      <c r="M3916">
        <v>3914</v>
      </c>
      <c r="N3916">
        <v>-597220</v>
      </c>
      <c r="P3916">
        <v>-167349</v>
      </c>
    </row>
    <row r="3917" spans="13:16" x14ac:dyDescent="0.3">
      <c r="M3917">
        <v>3915</v>
      </c>
      <c r="N3917">
        <v>-41790</v>
      </c>
      <c r="P3917">
        <v>-237034</v>
      </c>
    </row>
    <row r="3918" spans="13:16" x14ac:dyDescent="0.3">
      <c r="M3918">
        <v>3916</v>
      </c>
      <c r="N3918">
        <v>612953</v>
      </c>
      <c r="P3918">
        <v>568257</v>
      </c>
    </row>
    <row r="3919" spans="13:16" x14ac:dyDescent="0.3">
      <c r="M3919">
        <v>3917</v>
      </c>
      <c r="N3919">
        <v>-88212</v>
      </c>
      <c r="P3919">
        <v>621690</v>
      </c>
    </row>
    <row r="3920" spans="13:16" x14ac:dyDescent="0.3">
      <c r="M3920">
        <v>3918</v>
      </c>
      <c r="N3920">
        <v>-83023</v>
      </c>
      <c r="P3920">
        <v>874498</v>
      </c>
    </row>
    <row r="3921" spans="13:16" x14ac:dyDescent="0.3">
      <c r="M3921">
        <v>3919</v>
      </c>
      <c r="N3921">
        <v>747509</v>
      </c>
      <c r="P3921">
        <v>182783</v>
      </c>
    </row>
    <row r="3922" spans="13:16" x14ac:dyDescent="0.3">
      <c r="M3922">
        <v>3920</v>
      </c>
      <c r="N3922">
        <v>-413421</v>
      </c>
      <c r="P3922">
        <v>-342089</v>
      </c>
    </row>
    <row r="3923" spans="13:16" x14ac:dyDescent="0.3">
      <c r="M3923">
        <v>3921</v>
      </c>
      <c r="N3923">
        <v>343470</v>
      </c>
      <c r="P3923">
        <v>120780</v>
      </c>
    </row>
    <row r="3924" spans="13:16" x14ac:dyDescent="0.3">
      <c r="M3924">
        <v>3922</v>
      </c>
      <c r="N3924">
        <v>-711196</v>
      </c>
      <c r="P3924">
        <v>-374588</v>
      </c>
    </row>
    <row r="3925" spans="13:16" x14ac:dyDescent="0.3">
      <c r="M3925">
        <v>3923</v>
      </c>
      <c r="N3925">
        <v>-61019</v>
      </c>
      <c r="P3925">
        <v>257204</v>
      </c>
    </row>
    <row r="3926" spans="13:16" x14ac:dyDescent="0.3">
      <c r="M3926">
        <v>3924</v>
      </c>
      <c r="N3926">
        <v>-649783</v>
      </c>
      <c r="P3926">
        <v>83387</v>
      </c>
    </row>
    <row r="3927" spans="13:16" x14ac:dyDescent="0.3">
      <c r="M3927">
        <v>3925</v>
      </c>
      <c r="N3927">
        <v>-315091</v>
      </c>
      <c r="P3927">
        <v>349012</v>
      </c>
    </row>
    <row r="3928" spans="13:16" x14ac:dyDescent="0.3">
      <c r="M3928">
        <v>3926</v>
      </c>
      <c r="N3928">
        <v>244171</v>
      </c>
      <c r="P3928">
        <v>-398453</v>
      </c>
    </row>
    <row r="3929" spans="13:16" x14ac:dyDescent="0.3">
      <c r="M3929">
        <v>3927</v>
      </c>
      <c r="N3929">
        <v>-315100</v>
      </c>
      <c r="P3929">
        <v>-157830</v>
      </c>
    </row>
    <row r="3930" spans="13:16" x14ac:dyDescent="0.3">
      <c r="M3930">
        <v>3928</v>
      </c>
      <c r="N3930">
        <v>-291656</v>
      </c>
      <c r="P3930">
        <v>144986</v>
      </c>
    </row>
    <row r="3931" spans="13:16" x14ac:dyDescent="0.3">
      <c r="M3931">
        <v>3929</v>
      </c>
      <c r="N3931">
        <v>-115094</v>
      </c>
      <c r="P3931">
        <v>135267</v>
      </c>
    </row>
    <row r="3932" spans="13:16" x14ac:dyDescent="0.3">
      <c r="M3932">
        <v>3930</v>
      </c>
      <c r="N3932">
        <v>-327439</v>
      </c>
      <c r="P3932">
        <v>-120863</v>
      </c>
    </row>
    <row r="3933" spans="13:16" x14ac:dyDescent="0.3">
      <c r="M3933">
        <v>3931</v>
      </c>
      <c r="N3933">
        <v>-581912</v>
      </c>
      <c r="P3933">
        <v>-153191</v>
      </c>
    </row>
    <row r="3934" spans="13:16" x14ac:dyDescent="0.3">
      <c r="M3934">
        <v>3932</v>
      </c>
      <c r="N3934">
        <v>114663</v>
      </c>
      <c r="P3934">
        <v>-77898</v>
      </c>
    </row>
    <row r="3935" spans="13:16" x14ac:dyDescent="0.3">
      <c r="M3935">
        <v>3933</v>
      </c>
      <c r="N3935">
        <v>72945</v>
      </c>
      <c r="P3935">
        <v>355033</v>
      </c>
    </row>
    <row r="3936" spans="13:16" x14ac:dyDescent="0.3">
      <c r="M3936">
        <v>3934</v>
      </c>
      <c r="N3936">
        <v>-699507</v>
      </c>
      <c r="P3936">
        <v>301637</v>
      </c>
    </row>
    <row r="3937" spans="13:16" x14ac:dyDescent="0.3">
      <c r="M3937">
        <v>3935</v>
      </c>
      <c r="N3937">
        <v>635910</v>
      </c>
      <c r="P3937">
        <v>-235679</v>
      </c>
    </row>
    <row r="3938" spans="13:16" x14ac:dyDescent="0.3">
      <c r="M3938">
        <v>3936</v>
      </c>
      <c r="N3938">
        <v>247339</v>
      </c>
      <c r="P3938">
        <v>46102</v>
      </c>
    </row>
    <row r="3939" spans="13:16" x14ac:dyDescent="0.3">
      <c r="M3939">
        <v>3937</v>
      </c>
      <c r="N3939">
        <v>-620584</v>
      </c>
      <c r="P3939">
        <v>283132</v>
      </c>
    </row>
    <row r="3940" spans="13:16" x14ac:dyDescent="0.3">
      <c r="M3940">
        <v>3938</v>
      </c>
      <c r="N3940">
        <v>-463726</v>
      </c>
      <c r="P3940">
        <v>-370977</v>
      </c>
    </row>
    <row r="3941" spans="13:16" x14ac:dyDescent="0.3">
      <c r="M3941">
        <v>3939</v>
      </c>
      <c r="N3941">
        <v>269710</v>
      </c>
      <c r="P3941">
        <v>-176848</v>
      </c>
    </row>
    <row r="3942" spans="13:16" x14ac:dyDescent="0.3">
      <c r="M3942">
        <v>3940</v>
      </c>
      <c r="N3942">
        <v>859706</v>
      </c>
      <c r="P3942">
        <v>-79882</v>
      </c>
    </row>
    <row r="3943" spans="13:16" x14ac:dyDescent="0.3">
      <c r="M3943">
        <v>3941</v>
      </c>
      <c r="N3943">
        <v>-175643</v>
      </c>
      <c r="P3943">
        <v>-495143</v>
      </c>
    </row>
    <row r="3944" spans="13:16" x14ac:dyDescent="0.3">
      <c r="M3944">
        <v>3942</v>
      </c>
      <c r="N3944">
        <v>-338678</v>
      </c>
      <c r="P3944">
        <v>-263307</v>
      </c>
    </row>
    <row r="3945" spans="13:16" x14ac:dyDescent="0.3">
      <c r="M3945">
        <v>3943</v>
      </c>
      <c r="N3945">
        <v>136098</v>
      </c>
      <c r="P3945">
        <v>-439481</v>
      </c>
    </row>
    <row r="3946" spans="13:16" x14ac:dyDescent="0.3">
      <c r="M3946">
        <v>3944</v>
      </c>
      <c r="N3946">
        <v>-48252</v>
      </c>
      <c r="P3946">
        <v>25629</v>
      </c>
    </row>
    <row r="3947" spans="13:16" x14ac:dyDescent="0.3">
      <c r="M3947">
        <v>3945</v>
      </c>
      <c r="N3947">
        <v>-601548</v>
      </c>
      <c r="P3947">
        <v>497583</v>
      </c>
    </row>
    <row r="3948" spans="13:16" x14ac:dyDescent="0.3">
      <c r="M3948">
        <v>3946</v>
      </c>
      <c r="N3948">
        <v>405284</v>
      </c>
      <c r="P3948">
        <v>399100</v>
      </c>
    </row>
    <row r="3949" spans="13:16" x14ac:dyDescent="0.3">
      <c r="M3949">
        <v>3947</v>
      </c>
      <c r="N3949">
        <v>-624642</v>
      </c>
      <c r="P3949">
        <v>-684810</v>
      </c>
    </row>
    <row r="3950" spans="13:16" x14ac:dyDescent="0.3">
      <c r="M3950">
        <v>3948</v>
      </c>
      <c r="N3950">
        <v>-599041</v>
      </c>
      <c r="P3950">
        <v>-128405</v>
      </c>
    </row>
    <row r="3951" spans="13:16" x14ac:dyDescent="0.3">
      <c r="M3951">
        <v>3949</v>
      </c>
      <c r="N3951">
        <v>635191</v>
      </c>
      <c r="P3951">
        <v>-578594</v>
      </c>
    </row>
    <row r="3952" spans="13:16" x14ac:dyDescent="0.3">
      <c r="M3952">
        <v>3950</v>
      </c>
      <c r="N3952">
        <v>162186</v>
      </c>
      <c r="P3952">
        <v>-528400</v>
      </c>
    </row>
    <row r="3953" spans="13:16" x14ac:dyDescent="0.3">
      <c r="M3953">
        <v>3951</v>
      </c>
      <c r="N3953">
        <v>174767</v>
      </c>
      <c r="P3953">
        <v>-96348</v>
      </c>
    </row>
    <row r="3954" spans="13:16" x14ac:dyDescent="0.3">
      <c r="M3954">
        <v>3952</v>
      </c>
      <c r="N3954">
        <v>-124367</v>
      </c>
      <c r="P3954">
        <v>-526313</v>
      </c>
    </row>
    <row r="3955" spans="13:16" x14ac:dyDescent="0.3">
      <c r="M3955">
        <v>3953</v>
      </c>
      <c r="N3955">
        <v>-604751</v>
      </c>
      <c r="P3955">
        <v>-338939</v>
      </c>
    </row>
    <row r="3956" spans="13:16" x14ac:dyDescent="0.3">
      <c r="M3956">
        <v>3954</v>
      </c>
      <c r="N3956">
        <v>628900</v>
      </c>
      <c r="P3956">
        <v>-189704</v>
      </c>
    </row>
    <row r="3957" spans="13:16" x14ac:dyDescent="0.3">
      <c r="M3957">
        <v>3955</v>
      </c>
      <c r="N3957">
        <v>-574357</v>
      </c>
      <c r="P3957">
        <v>200394</v>
      </c>
    </row>
    <row r="3958" spans="13:16" x14ac:dyDescent="0.3">
      <c r="M3958">
        <v>3956</v>
      </c>
      <c r="N3958">
        <v>-272347</v>
      </c>
      <c r="P3958">
        <v>-286466</v>
      </c>
    </row>
    <row r="3959" spans="13:16" x14ac:dyDescent="0.3">
      <c r="M3959">
        <v>3957</v>
      </c>
      <c r="N3959">
        <v>202415</v>
      </c>
      <c r="P3959">
        <v>-167092</v>
      </c>
    </row>
    <row r="3960" spans="13:16" x14ac:dyDescent="0.3">
      <c r="M3960">
        <v>3958</v>
      </c>
      <c r="N3960">
        <v>-326602</v>
      </c>
      <c r="P3960">
        <v>484728</v>
      </c>
    </row>
    <row r="3961" spans="13:16" x14ac:dyDescent="0.3">
      <c r="M3961">
        <v>3959</v>
      </c>
      <c r="N3961">
        <v>118129</v>
      </c>
      <c r="P3961">
        <v>-190700</v>
      </c>
    </row>
    <row r="3962" spans="13:16" x14ac:dyDescent="0.3">
      <c r="M3962">
        <v>3960</v>
      </c>
      <c r="N3962">
        <v>64585</v>
      </c>
      <c r="P3962">
        <v>118064</v>
      </c>
    </row>
    <row r="3963" spans="13:16" x14ac:dyDescent="0.3">
      <c r="M3963">
        <v>3961</v>
      </c>
      <c r="N3963">
        <v>195189</v>
      </c>
      <c r="P3963">
        <v>-378751</v>
      </c>
    </row>
    <row r="3964" spans="13:16" x14ac:dyDescent="0.3">
      <c r="M3964">
        <v>3962</v>
      </c>
      <c r="N3964">
        <v>335145</v>
      </c>
      <c r="P3964">
        <v>-743033</v>
      </c>
    </row>
    <row r="3965" spans="13:16" x14ac:dyDescent="0.3">
      <c r="M3965">
        <v>3963</v>
      </c>
      <c r="N3965">
        <v>-521733</v>
      </c>
      <c r="P3965">
        <v>252890</v>
      </c>
    </row>
    <row r="3966" spans="13:16" x14ac:dyDescent="0.3">
      <c r="M3966">
        <v>3964</v>
      </c>
      <c r="N3966">
        <v>389916</v>
      </c>
      <c r="P3966">
        <v>-306702</v>
      </c>
    </row>
    <row r="3967" spans="13:16" x14ac:dyDescent="0.3">
      <c r="M3967">
        <v>3965</v>
      </c>
      <c r="N3967">
        <v>-238744</v>
      </c>
      <c r="P3967">
        <v>-696552</v>
      </c>
    </row>
    <row r="3968" spans="13:16" x14ac:dyDescent="0.3">
      <c r="M3968">
        <v>3966</v>
      </c>
      <c r="N3968">
        <v>-517978</v>
      </c>
      <c r="P3968">
        <v>109251</v>
      </c>
    </row>
    <row r="3969" spans="13:16" x14ac:dyDescent="0.3">
      <c r="M3969">
        <v>3967</v>
      </c>
      <c r="N3969">
        <v>225428</v>
      </c>
      <c r="P3969">
        <v>-484446</v>
      </c>
    </row>
    <row r="3970" spans="13:16" x14ac:dyDescent="0.3">
      <c r="M3970">
        <v>3968</v>
      </c>
      <c r="N3970">
        <v>588338</v>
      </c>
      <c r="P3970">
        <v>455637</v>
      </c>
    </row>
    <row r="3971" spans="13:16" x14ac:dyDescent="0.3">
      <c r="M3971">
        <v>3969</v>
      </c>
      <c r="N3971">
        <v>387878</v>
      </c>
      <c r="P3971">
        <v>139786</v>
      </c>
    </row>
    <row r="3972" spans="13:16" x14ac:dyDescent="0.3">
      <c r="M3972">
        <v>3970</v>
      </c>
      <c r="N3972">
        <v>505481</v>
      </c>
      <c r="P3972">
        <v>479899</v>
      </c>
    </row>
    <row r="3973" spans="13:16" x14ac:dyDescent="0.3">
      <c r="M3973">
        <v>3971</v>
      </c>
      <c r="N3973">
        <v>-304698</v>
      </c>
      <c r="P3973">
        <v>597765</v>
      </c>
    </row>
    <row r="3974" spans="13:16" x14ac:dyDescent="0.3">
      <c r="M3974">
        <v>3972</v>
      </c>
      <c r="N3974">
        <v>-243397</v>
      </c>
      <c r="P3974">
        <v>-254925</v>
      </c>
    </row>
    <row r="3975" spans="13:16" x14ac:dyDescent="0.3">
      <c r="M3975">
        <v>3973</v>
      </c>
      <c r="N3975">
        <v>-316725</v>
      </c>
      <c r="P3975">
        <v>-42692</v>
      </c>
    </row>
    <row r="3976" spans="13:16" x14ac:dyDescent="0.3">
      <c r="M3976">
        <v>3974</v>
      </c>
      <c r="N3976">
        <v>-595699</v>
      </c>
      <c r="P3976">
        <v>-192648</v>
      </c>
    </row>
    <row r="3977" spans="13:16" x14ac:dyDescent="0.3">
      <c r="M3977">
        <v>3975</v>
      </c>
      <c r="N3977">
        <v>-722504</v>
      </c>
      <c r="P3977">
        <v>746164</v>
      </c>
    </row>
    <row r="3978" spans="13:16" x14ac:dyDescent="0.3">
      <c r="M3978">
        <v>3976</v>
      </c>
      <c r="N3978">
        <v>292215</v>
      </c>
      <c r="P3978">
        <v>-631985</v>
      </c>
    </row>
    <row r="3979" spans="13:16" x14ac:dyDescent="0.3">
      <c r="M3979">
        <v>3977</v>
      </c>
      <c r="N3979">
        <v>-735260</v>
      </c>
      <c r="P3979">
        <v>272407</v>
      </c>
    </row>
    <row r="3980" spans="13:16" x14ac:dyDescent="0.3">
      <c r="M3980">
        <v>3978</v>
      </c>
      <c r="N3980">
        <v>-329517</v>
      </c>
      <c r="P3980">
        <v>177670</v>
      </c>
    </row>
    <row r="3981" spans="13:16" x14ac:dyDescent="0.3">
      <c r="M3981">
        <v>3979</v>
      </c>
      <c r="N3981">
        <v>-671696</v>
      </c>
      <c r="P3981">
        <v>331146</v>
      </c>
    </row>
    <row r="3982" spans="13:16" x14ac:dyDescent="0.3">
      <c r="M3982">
        <v>3980</v>
      </c>
      <c r="N3982">
        <v>140460</v>
      </c>
      <c r="P3982">
        <v>-349001</v>
      </c>
    </row>
    <row r="3983" spans="13:16" x14ac:dyDescent="0.3">
      <c r="M3983">
        <v>3981</v>
      </c>
      <c r="N3983">
        <v>290923</v>
      </c>
      <c r="P3983">
        <v>879750</v>
      </c>
    </row>
    <row r="3984" spans="13:16" x14ac:dyDescent="0.3">
      <c r="M3984">
        <v>3982</v>
      </c>
      <c r="N3984">
        <v>-790160</v>
      </c>
      <c r="P3984">
        <v>-163561</v>
      </c>
    </row>
    <row r="3985" spans="13:16" x14ac:dyDescent="0.3">
      <c r="M3985">
        <v>3983</v>
      </c>
      <c r="N3985">
        <v>-136582</v>
      </c>
      <c r="P3985">
        <v>226802</v>
      </c>
    </row>
    <row r="3986" spans="13:16" x14ac:dyDescent="0.3">
      <c r="M3986">
        <v>3984</v>
      </c>
      <c r="N3986">
        <v>329709</v>
      </c>
      <c r="P3986">
        <v>-125857</v>
      </c>
    </row>
    <row r="3987" spans="13:16" x14ac:dyDescent="0.3">
      <c r="M3987">
        <v>3985</v>
      </c>
      <c r="N3987">
        <v>-764234</v>
      </c>
      <c r="P3987">
        <v>739287</v>
      </c>
    </row>
    <row r="3988" spans="13:16" x14ac:dyDescent="0.3">
      <c r="M3988">
        <v>3986</v>
      </c>
      <c r="N3988">
        <v>418267</v>
      </c>
      <c r="P3988">
        <v>-352491</v>
      </c>
    </row>
    <row r="3989" spans="13:16" x14ac:dyDescent="0.3">
      <c r="M3989">
        <v>3987</v>
      </c>
      <c r="N3989">
        <v>-256690</v>
      </c>
      <c r="P3989">
        <v>796168</v>
      </c>
    </row>
    <row r="3990" spans="13:16" x14ac:dyDescent="0.3">
      <c r="M3990">
        <v>3988</v>
      </c>
      <c r="N3990">
        <v>-14484</v>
      </c>
      <c r="P3990">
        <v>206268</v>
      </c>
    </row>
    <row r="3991" spans="13:16" x14ac:dyDescent="0.3">
      <c r="M3991">
        <v>3989</v>
      </c>
      <c r="N3991">
        <v>-414935</v>
      </c>
      <c r="P3991">
        <v>328814</v>
      </c>
    </row>
    <row r="3992" spans="13:16" x14ac:dyDescent="0.3">
      <c r="M3992">
        <v>3990</v>
      </c>
      <c r="N3992">
        <v>573657</v>
      </c>
      <c r="P3992">
        <v>620012</v>
      </c>
    </row>
    <row r="3993" spans="13:16" x14ac:dyDescent="0.3">
      <c r="M3993">
        <v>3991</v>
      </c>
      <c r="N3993">
        <v>96123</v>
      </c>
      <c r="P3993">
        <v>132926</v>
      </c>
    </row>
    <row r="3994" spans="13:16" x14ac:dyDescent="0.3">
      <c r="M3994">
        <v>3992</v>
      </c>
      <c r="N3994">
        <v>113663</v>
      </c>
      <c r="P3994">
        <v>-97683</v>
      </c>
    </row>
    <row r="3995" spans="13:16" x14ac:dyDescent="0.3">
      <c r="M3995">
        <v>3993</v>
      </c>
      <c r="N3995">
        <v>546940</v>
      </c>
      <c r="P3995">
        <v>-467179</v>
      </c>
    </row>
    <row r="3996" spans="13:16" x14ac:dyDescent="0.3">
      <c r="M3996">
        <v>3994</v>
      </c>
      <c r="N3996">
        <v>125611</v>
      </c>
      <c r="P3996">
        <v>340428</v>
      </c>
    </row>
    <row r="3997" spans="13:16" x14ac:dyDescent="0.3">
      <c r="M3997">
        <v>3995</v>
      </c>
      <c r="N3997">
        <v>-369228</v>
      </c>
      <c r="P3997">
        <v>-77370</v>
      </c>
    </row>
    <row r="3998" spans="13:16" x14ac:dyDescent="0.3">
      <c r="M3998">
        <v>3996</v>
      </c>
      <c r="N3998">
        <v>5509</v>
      </c>
      <c r="P3998">
        <v>-595256</v>
      </c>
    </row>
    <row r="3999" spans="13:16" x14ac:dyDescent="0.3">
      <c r="M3999">
        <v>3997</v>
      </c>
      <c r="N3999">
        <v>66033</v>
      </c>
      <c r="P3999">
        <v>55748</v>
      </c>
    </row>
    <row r="4000" spans="13:16" x14ac:dyDescent="0.3">
      <c r="M4000">
        <v>3998</v>
      </c>
      <c r="N4000">
        <v>-442012</v>
      </c>
      <c r="P4000">
        <v>88436</v>
      </c>
    </row>
    <row r="4001" spans="13:16" x14ac:dyDescent="0.3">
      <c r="M4001">
        <v>3999</v>
      </c>
      <c r="N4001">
        <v>-119917</v>
      </c>
      <c r="P4001">
        <v>-138531</v>
      </c>
    </row>
    <row r="4002" spans="13:16" x14ac:dyDescent="0.3">
      <c r="M4002">
        <v>4000</v>
      </c>
      <c r="N4002">
        <v>473095</v>
      </c>
      <c r="P4002">
        <v>-337065</v>
      </c>
    </row>
    <row r="4003" spans="13:16" x14ac:dyDescent="0.3">
      <c r="M4003">
        <v>4001</v>
      </c>
      <c r="N4003">
        <v>117000</v>
      </c>
      <c r="P4003">
        <v>-181176</v>
      </c>
    </row>
    <row r="4004" spans="13:16" x14ac:dyDescent="0.3">
      <c r="M4004">
        <v>4002</v>
      </c>
      <c r="N4004">
        <v>-50332</v>
      </c>
      <c r="P4004">
        <v>-526034</v>
      </c>
    </row>
    <row r="4005" spans="13:16" x14ac:dyDescent="0.3">
      <c r="M4005">
        <v>4003</v>
      </c>
      <c r="N4005">
        <v>-337988</v>
      </c>
      <c r="P4005">
        <v>42085</v>
      </c>
    </row>
    <row r="4006" spans="13:16" x14ac:dyDescent="0.3">
      <c r="M4006">
        <v>4004</v>
      </c>
      <c r="N4006">
        <v>-345181</v>
      </c>
      <c r="P4006">
        <v>300359</v>
      </c>
    </row>
    <row r="4007" spans="13:16" x14ac:dyDescent="0.3">
      <c r="M4007">
        <v>4005</v>
      </c>
      <c r="N4007">
        <v>-743456</v>
      </c>
      <c r="P4007">
        <v>647330</v>
      </c>
    </row>
    <row r="4008" spans="13:16" x14ac:dyDescent="0.3">
      <c r="M4008">
        <v>4006</v>
      </c>
      <c r="N4008">
        <v>-392936</v>
      </c>
      <c r="P4008">
        <v>756462</v>
      </c>
    </row>
    <row r="4009" spans="13:16" x14ac:dyDescent="0.3">
      <c r="M4009">
        <v>4007</v>
      </c>
      <c r="N4009">
        <v>-202541</v>
      </c>
      <c r="P4009">
        <v>-354580</v>
      </c>
    </row>
    <row r="4010" spans="13:16" x14ac:dyDescent="0.3">
      <c r="M4010">
        <v>4008</v>
      </c>
      <c r="N4010">
        <v>-376478</v>
      </c>
      <c r="P4010">
        <v>550268</v>
      </c>
    </row>
    <row r="4011" spans="13:16" x14ac:dyDescent="0.3">
      <c r="M4011">
        <v>4009</v>
      </c>
      <c r="N4011">
        <v>539137</v>
      </c>
      <c r="P4011">
        <v>143029</v>
      </c>
    </row>
    <row r="4012" spans="13:16" x14ac:dyDescent="0.3">
      <c r="M4012">
        <v>4010</v>
      </c>
      <c r="N4012">
        <v>-18341</v>
      </c>
      <c r="P4012">
        <v>-370371</v>
      </c>
    </row>
    <row r="4013" spans="13:16" x14ac:dyDescent="0.3">
      <c r="M4013">
        <v>4011</v>
      </c>
      <c r="N4013">
        <v>525808</v>
      </c>
      <c r="P4013">
        <v>-488937</v>
      </c>
    </row>
    <row r="4014" spans="13:16" x14ac:dyDescent="0.3">
      <c r="M4014">
        <v>4012</v>
      </c>
      <c r="N4014">
        <v>-362760</v>
      </c>
      <c r="P4014">
        <v>51499</v>
      </c>
    </row>
    <row r="4015" spans="13:16" x14ac:dyDescent="0.3">
      <c r="M4015">
        <v>4013</v>
      </c>
      <c r="N4015">
        <v>575410</v>
      </c>
      <c r="P4015">
        <v>-132230</v>
      </c>
    </row>
    <row r="4016" spans="13:16" x14ac:dyDescent="0.3">
      <c r="M4016">
        <v>4014</v>
      </c>
      <c r="N4016">
        <v>-690591</v>
      </c>
      <c r="P4016">
        <v>-144227</v>
      </c>
    </row>
    <row r="4017" spans="13:16" x14ac:dyDescent="0.3">
      <c r="M4017">
        <v>4015</v>
      </c>
      <c r="N4017">
        <v>-498589</v>
      </c>
      <c r="P4017">
        <v>-418386</v>
      </c>
    </row>
    <row r="4018" spans="13:16" x14ac:dyDescent="0.3">
      <c r="M4018">
        <v>4016</v>
      </c>
      <c r="N4018">
        <v>581345</v>
      </c>
      <c r="P4018">
        <v>-420246</v>
      </c>
    </row>
    <row r="4019" spans="13:16" x14ac:dyDescent="0.3">
      <c r="M4019">
        <v>4017</v>
      </c>
      <c r="N4019">
        <v>437505</v>
      </c>
      <c r="P4019">
        <v>-263175</v>
      </c>
    </row>
    <row r="4020" spans="13:16" x14ac:dyDescent="0.3">
      <c r="M4020">
        <v>4018</v>
      </c>
      <c r="N4020">
        <v>-567337</v>
      </c>
      <c r="P4020">
        <v>-303207</v>
      </c>
    </row>
    <row r="4021" spans="13:16" x14ac:dyDescent="0.3">
      <c r="M4021">
        <v>4019</v>
      </c>
      <c r="N4021">
        <v>-678947</v>
      </c>
      <c r="P4021">
        <v>280143</v>
      </c>
    </row>
    <row r="4022" spans="13:16" x14ac:dyDescent="0.3">
      <c r="M4022">
        <v>4020</v>
      </c>
      <c r="N4022">
        <v>229775</v>
      </c>
      <c r="P4022">
        <v>373636</v>
      </c>
    </row>
    <row r="4023" spans="13:16" x14ac:dyDescent="0.3">
      <c r="M4023">
        <v>4021</v>
      </c>
      <c r="N4023">
        <v>385298</v>
      </c>
      <c r="P4023">
        <v>-407675</v>
      </c>
    </row>
    <row r="4024" spans="13:16" x14ac:dyDescent="0.3">
      <c r="M4024">
        <v>4022</v>
      </c>
      <c r="N4024">
        <v>-280079</v>
      </c>
      <c r="P4024">
        <v>-440537</v>
      </c>
    </row>
    <row r="4025" spans="13:16" x14ac:dyDescent="0.3">
      <c r="M4025">
        <v>4023</v>
      </c>
      <c r="N4025">
        <v>-841093</v>
      </c>
      <c r="P4025">
        <v>-488381</v>
      </c>
    </row>
    <row r="4026" spans="13:16" x14ac:dyDescent="0.3">
      <c r="M4026">
        <v>4024</v>
      </c>
      <c r="N4026">
        <v>289986</v>
      </c>
      <c r="P4026">
        <v>-462160</v>
      </c>
    </row>
    <row r="4027" spans="13:16" x14ac:dyDescent="0.3">
      <c r="M4027">
        <v>4025</v>
      </c>
      <c r="N4027">
        <v>-153592</v>
      </c>
      <c r="P4027">
        <v>340828</v>
      </c>
    </row>
    <row r="4028" spans="13:16" x14ac:dyDescent="0.3">
      <c r="M4028">
        <v>4026</v>
      </c>
      <c r="N4028">
        <v>-149588</v>
      </c>
      <c r="P4028">
        <v>119559</v>
      </c>
    </row>
    <row r="4029" spans="13:16" x14ac:dyDescent="0.3">
      <c r="M4029">
        <v>4027</v>
      </c>
      <c r="N4029">
        <v>91709</v>
      </c>
      <c r="P4029">
        <v>435275</v>
      </c>
    </row>
    <row r="4030" spans="13:16" x14ac:dyDescent="0.3">
      <c r="M4030">
        <v>4028</v>
      </c>
      <c r="N4030">
        <v>-486728</v>
      </c>
      <c r="P4030">
        <v>-316438</v>
      </c>
    </row>
    <row r="4031" spans="13:16" x14ac:dyDescent="0.3">
      <c r="M4031">
        <v>4029</v>
      </c>
      <c r="N4031">
        <v>2017</v>
      </c>
      <c r="P4031">
        <v>228449</v>
      </c>
    </row>
    <row r="4032" spans="13:16" x14ac:dyDescent="0.3">
      <c r="M4032">
        <v>4030</v>
      </c>
      <c r="N4032">
        <v>-638179</v>
      </c>
      <c r="P4032">
        <v>242608</v>
      </c>
    </row>
    <row r="4033" spans="13:16" x14ac:dyDescent="0.3">
      <c r="M4033">
        <v>4031</v>
      </c>
      <c r="N4033">
        <v>-354363</v>
      </c>
      <c r="P4033">
        <v>656309</v>
      </c>
    </row>
    <row r="4034" spans="13:16" x14ac:dyDescent="0.3">
      <c r="M4034">
        <v>4032</v>
      </c>
      <c r="N4034">
        <v>-201534</v>
      </c>
      <c r="P4034">
        <v>360946</v>
      </c>
    </row>
    <row r="4035" spans="13:16" x14ac:dyDescent="0.3">
      <c r="M4035">
        <v>4033</v>
      </c>
      <c r="N4035">
        <v>-432955</v>
      </c>
      <c r="P4035">
        <v>28037</v>
      </c>
    </row>
    <row r="4036" spans="13:16" x14ac:dyDescent="0.3">
      <c r="M4036">
        <v>4034</v>
      </c>
      <c r="N4036">
        <v>-248152</v>
      </c>
      <c r="P4036">
        <v>413702</v>
      </c>
    </row>
    <row r="4037" spans="13:16" x14ac:dyDescent="0.3">
      <c r="M4037">
        <v>4035</v>
      </c>
      <c r="N4037">
        <v>348900</v>
      </c>
      <c r="P4037">
        <v>-392782</v>
      </c>
    </row>
    <row r="4038" spans="13:16" x14ac:dyDescent="0.3">
      <c r="M4038">
        <v>4036</v>
      </c>
      <c r="N4038">
        <v>805827</v>
      </c>
      <c r="P4038">
        <v>-448443</v>
      </c>
    </row>
    <row r="4039" spans="13:16" x14ac:dyDescent="0.3">
      <c r="M4039">
        <v>4037</v>
      </c>
      <c r="N4039">
        <v>-518229</v>
      </c>
      <c r="P4039">
        <v>-369417</v>
      </c>
    </row>
    <row r="4040" spans="13:16" x14ac:dyDescent="0.3">
      <c r="M4040">
        <v>4038</v>
      </c>
      <c r="N4040">
        <v>309487</v>
      </c>
      <c r="P4040">
        <v>-161443</v>
      </c>
    </row>
    <row r="4041" spans="13:16" x14ac:dyDescent="0.3">
      <c r="M4041">
        <v>4039</v>
      </c>
      <c r="N4041">
        <v>-742825</v>
      </c>
      <c r="P4041">
        <v>234666</v>
      </c>
    </row>
    <row r="4042" spans="13:16" x14ac:dyDescent="0.3">
      <c r="M4042">
        <v>4040</v>
      </c>
      <c r="N4042">
        <v>202896</v>
      </c>
      <c r="P4042">
        <v>-31062</v>
      </c>
    </row>
    <row r="4043" spans="13:16" x14ac:dyDescent="0.3">
      <c r="M4043">
        <v>4041</v>
      </c>
      <c r="N4043">
        <v>-122534</v>
      </c>
      <c r="P4043">
        <v>197024</v>
      </c>
    </row>
    <row r="4044" spans="13:16" x14ac:dyDescent="0.3">
      <c r="M4044">
        <v>4042</v>
      </c>
      <c r="N4044">
        <v>362496</v>
      </c>
      <c r="P4044">
        <v>408979</v>
      </c>
    </row>
    <row r="4045" spans="13:16" x14ac:dyDescent="0.3">
      <c r="M4045">
        <v>4043</v>
      </c>
      <c r="N4045">
        <v>154018</v>
      </c>
      <c r="P4045">
        <v>-326908</v>
      </c>
    </row>
    <row r="4046" spans="13:16" x14ac:dyDescent="0.3">
      <c r="M4046">
        <v>4044</v>
      </c>
      <c r="N4046">
        <v>513326</v>
      </c>
      <c r="P4046">
        <v>-15080</v>
      </c>
    </row>
    <row r="4047" spans="13:16" x14ac:dyDescent="0.3">
      <c r="M4047">
        <v>4045</v>
      </c>
      <c r="N4047">
        <v>436222</v>
      </c>
      <c r="P4047">
        <v>-128651</v>
      </c>
    </row>
    <row r="4048" spans="13:16" x14ac:dyDescent="0.3">
      <c r="M4048">
        <v>4046</v>
      </c>
      <c r="N4048">
        <v>-620365</v>
      </c>
      <c r="P4048">
        <v>-68807</v>
      </c>
    </row>
    <row r="4049" spans="13:16" x14ac:dyDescent="0.3">
      <c r="M4049">
        <v>4047</v>
      </c>
      <c r="N4049">
        <v>-435495</v>
      </c>
      <c r="P4049">
        <v>242615</v>
      </c>
    </row>
    <row r="4050" spans="13:16" x14ac:dyDescent="0.3">
      <c r="M4050">
        <v>4048</v>
      </c>
      <c r="N4050">
        <v>-636824</v>
      </c>
      <c r="P4050">
        <v>-712553</v>
      </c>
    </row>
    <row r="4051" spans="13:16" x14ac:dyDescent="0.3">
      <c r="M4051">
        <v>4049</v>
      </c>
      <c r="N4051">
        <v>545686</v>
      </c>
      <c r="P4051">
        <v>541850</v>
      </c>
    </row>
    <row r="4052" spans="13:16" x14ac:dyDescent="0.3">
      <c r="M4052">
        <v>4050</v>
      </c>
      <c r="N4052">
        <v>-399530</v>
      </c>
      <c r="P4052">
        <v>375560</v>
      </c>
    </row>
    <row r="4053" spans="13:16" x14ac:dyDescent="0.3">
      <c r="M4053">
        <v>4051</v>
      </c>
      <c r="N4053">
        <v>220270</v>
      </c>
      <c r="P4053">
        <v>-20393</v>
      </c>
    </row>
    <row r="4054" spans="13:16" x14ac:dyDescent="0.3">
      <c r="M4054">
        <v>4052</v>
      </c>
      <c r="N4054">
        <v>-24168</v>
      </c>
      <c r="P4054">
        <v>219314</v>
      </c>
    </row>
    <row r="4055" spans="13:16" x14ac:dyDescent="0.3">
      <c r="M4055">
        <v>4053</v>
      </c>
      <c r="N4055">
        <v>-395168</v>
      </c>
      <c r="P4055">
        <v>-279545</v>
      </c>
    </row>
    <row r="4056" spans="13:16" x14ac:dyDescent="0.3">
      <c r="M4056">
        <v>4054</v>
      </c>
      <c r="N4056">
        <v>704534</v>
      </c>
      <c r="P4056">
        <v>199639</v>
      </c>
    </row>
    <row r="4057" spans="13:16" x14ac:dyDescent="0.3">
      <c r="M4057">
        <v>4055</v>
      </c>
      <c r="N4057">
        <v>-83695</v>
      </c>
      <c r="P4057">
        <v>-503150</v>
      </c>
    </row>
    <row r="4058" spans="13:16" x14ac:dyDescent="0.3">
      <c r="M4058">
        <v>4056</v>
      </c>
      <c r="N4058">
        <v>-245037</v>
      </c>
      <c r="P4058">
        <v>445309</v>
      </c>
    </row>
    <row r="4059" spans="13:16" x14ac:dyDescent="0.3">
      <c r="M4059">
        <v>4057</v>
      </c>
      <c r="N4059">
        <v>696191</v>
      </c>
      <c r="P4059">
        <v>526894</v>
      </c>
    </row>
    <row r="4060" spans="13:16" x14ac:dyDescent="0.3">
      <c r="M4060">
        <v>4058</v>
      </c>
      <c r="N4060">
        <v>744357</v>
      </c>
      <c r="P4060">
        <v>406346</v>
      </c>
    </row>
    <row r="4061" spans="13:16" x14ac:dyDescent="0.3">
      <c r="M4061">
        <v>4059</v>
      </c>
      <c r="N4061">
        <v>-146369</v>
      </c>
      <c r="P4061">
        <v>341920</v>
      </c>
    </row>
    <row r="4062" spans="13:16" x14ac:dyDescent="0.3">
      <c r="M4062">
        <v>4060</v>
      </c>
      <c r="N4062">
        <v>-342654</v>
      </c>
      <c r="P4062">
        <v>-562427</v>
      </c>
    </row>
    <row r="4063" spans="13:16" x14ac:dyDescent="0.3">
      <c r="M4063">
        <v>4061</v>
      </c>
      <c r="N4063">
        <v>-245263</v>
      </c>
      <c r="P4063">
        <v>-627572</v>
      </c>
    </row>
    <row r="4064" spans="13:16" x14ac:dyDescent="0.3">
      <c r="M4064">
        <v>4062</v>
      </c>
      <c r="N4064">
        <v>-641994</v>
      </c>
      <c r="P4064">
        <v>212532</v>
      </c>
    </row>
    <row r="4065" spans="13:16" x14ac:dyDescent="0.3">
      <c r="M4065">
        <v>4063</v>
      </c>
      <c r="N4065">
        <v>-548247</v>
      </c>
      <c r="P4065">
        <v>-343626</v>
      </c>
    </row>
    <row r="4066" spans="13:16" x14ac:dyDescent="0.3">
      <c r="M4066">
        <v>4064</v>
      </c>
      <c r="N4066">
        <v>87381</v>
      </c>
      <c r="P4066">
        <v>-363659</v>
      </c>
    </row>
    <row r="4067" spans="13:16" x14ac:dyDescent="0.3">
      <c r="M4067">
        <v>4065</v>
      </c>
      <c r="N4067">
        <v>101489</v>
      </c>
      <c r="P4067">
        <v>-133610</v>
      </c>
    </row>
    <row r="4068" spans="13:16" x14ac:dyDescent="0.3">
      <c r="M4068">
        <v>4066</v>
      </c>
      <c r="N4068">
        <v>361439</v>
      </c>
      <c r="P4068">
        <v>518991</v>
      </c>
    </row>
    <row r="4069" spans="13:16" x14ac:dyDescent="0.3">
      <c r="M4069">
        <v>4067</v>
      </c>
      <c r="N4069">
        <v>2624</v>
      </c>
      <c r="P4069">
        <v>242569</v>
      </c>
    </row>
    <row r="4070" spans="13:16" x14ac:dyDescent="0.3">
      <c r="M4070">
        <v>4068</v>
      </c>
      <c r="N4070">
        <v>-261020</v>
      </c>
      <c r="P4070">
        <v>-101432</v>
      </c>
    </row>
    <row r="4071" spans="13:16" x14ac:dyDescent="0.3">
      <c r="M4071">
        <v>4069</v>
      </c>
      <c r="N4071">
        <v>442820</v>
      </c>
      <c r="P4071">
        <v>339037</v>
      </c>
    </row>
    <row r="4072" spans="13:16" x14ac:dyDescent="0.3">
      <c r="M4072">
        <v>4070</v>
      </c>
      <c r="N4072">
        <v>254895</v>
      </c>
      <c r="P4072">
        <v>142086</v>
      </c>
    </row>
    <row r="4073" spans="13:16" x14ac:dyDescent="0.3">
      <c r="M4073">
        <v>4071</v>
      </c>
      <c r="N4073">
        <v>579884</v>
      </c>
      <c r="P4073">
        <v>348362</v>
      </c>
    </row>
    <row r="4074" spans="13:16" x14ac:dyDescent="0.3">
      <c r="M4074">
        <v>4072</v>
      </c>
      <c r="N4074">
        <v>-31351</v>
      </c>
      <c r="P4074">
        <v>97629</v>
      </c>
    </row>
    <row r="4075" spans="13:16" x14ac:dyDescent="0.3">
      <c r="M4075">
        <v>4073</v>
      </c>
      <c r="N4075">
        <v>485397</v>
      </c>
      <c r="P4075">
        <v>-192913</v>
      </c>
    </row>
    <row r="4076" spans="13:16" x14ac:dyDescent="0.3">
      <c r="M4076">
        <v>4074</v>
      </c>
      <c r="N4076">
        <v>-373070</v>
      </c>
      <c r="P4076">
        <v>121829</v>
      </c>
    </row>
    <row r="4077" spans="13:16" x14ac:dyDescent="0.3">
      <c r="M4077">
        <v>4075</v>
      </c>
      <c r="N4077">
        <v>208268</v>
      </c>
      <c r="P4077">
        <v>261129</v>
      </c>
    </row>
    <row r="4078" spans="13:16" x14ac:dyDescent="0.3">
      <c r="M4078">
        <v>4076</v>
      </c>
      <c r="N4078">
        <v>-72950</v>
      </c>
      <c r="P4078">
        <v>-761952</v>
      </c>
    </row>
    <row r="4079" spans="13:16" x14ac:dyDescent="0.3">
      <c r="M4079">
        <v>4077</v>
      </c>
      <c r="N4079">
        <v>-322884</v>
      </c>
      <c r="P4079">
        <v>-414987</v>
      </c>
    </row>
    <row r="4080" spans="13:16" x14ac:dyDescent="0.3">
      <c r="M4080">
        <v>4078</v>
      </c>
      <c r="N4080">
        <v>-184415</v>
      </c>
      <c r="P4080">
        <v>524897</v>
      </c>
    </row>
    <row r="4081" spans="13:16" x14ac:dyDescent="0.3">
      <c r="M4081">
        <v>4079</v>
      </c>
      <c r="N4081">
        <v>-362492</v>
      </c>
      <c r="P4081">
        <v>-164886</v>
      </c>
    </row>
    <row r="4082" spans="13:16" x14ac:dyDescent="0.3">
      <c r="M4082">
        <v>4080</v>
      </c>
      <c r="N4082">
        <v>635884</v>
      </c>
      <c r="P4082">
        <v>532291</v>
      </c>
    </row>
    <row r="4083" spans="13:16" x14ac:dyDescent="0.3">
      <c r="M4083">
        <v>4081</v>
      </c>
      <c r="N4083">
        <v>664426</v>
      </c>
      <c r="P4083">
        <v>-457358</v>
      </c>
    </row>
    <row r="4084" spans="13:16" x14ac:dyDescent="0.3">
      <c r="M4084">
        <v>4082</v>
      </c>
      <c r="N4084">
        <v>241083</v>
      </c>
      <c r="P4084">
        <v>491207</v>
      </c>
    </row>
    <row r="4085" spans="13:16" x14ac:dyDescent="0.3">
      <c r="M4085">
        <v>4083</v>
      </c>
      <c r="N4085">
        <v>196417</v>
      </c>
      <c r="P4085">
        <v>317788</v>
      </c>
    </row>
    <row r="4086" spans="13:16" x14ac:dyDescent="0.3">
      <c r="M4086">
        <v>4084</v>
      </c>
      <c r="N4086">
        <v>247997</v>
      </c>
      <c r="P4086">
        <v>901005</v>
      </c>
    </row>
    <row r="4087" spans="13:16" x14ac:dyDescent="0.3">
      <c r="M4087">
        <v>4085</v>
      </c>
      <c r="N4087">
        <v>-319460</v>
      </c>
      <c r="P4087">
        <v>-680163</v>
      </c>
    </row>
    <row r="4088" spans="13:16" x14ac:dyDescent="0.3">
      <c r="M4088">
        <v>4086</v>
      </c>
      <c r="N4088">
        <v>-534934</v>
      </c>
      <c r="P4088">
        <v>-296115</v>
      </c>
    </row>
    <row r="4089" spans="13:16" x14ac:dyDescent="0.3">
      <c r="M4089">
        <v>4087</v>
      </c>
      <c r="N4089">
        <v>-9580</v>
      </c>
      <c r="P4089">
        <v>-146594</v>
      </c>
    </row>
    <row r="4090" spans="13:16" x14ac:dyDescent="0.3">
      <c r="M4090">
        <v>4088</v>
      </c>
      <c r="N4090">
        <v>-643860</v>
      </c>
      <c r="P4090">
        <v>-134797</v>
      </c>
    </row>
    <row r="4091" spans="13:16" x14ac:dyDescent="0.3">
      <c r="M4091">
        <v>4089</v>
      </c>
      <c r="N4091">
        <v>376857</v>
      </c>
      <c r="P4091">
        <v>-71760</v>
      </c>
    </row>
    <row r="4092" spans="13:16" x14ac:dyDescent="0.3">
      <c r="M4092">
        <v>4090</v>
      </c>
      <c r="N4092">
        <v>389842</v>
      </c>
      <c r="P4092">
        <v>793421</v>
      </c>
    </row>
    <row r="4093" spans="13:16" x14ac:dyDescent="0.3">
      <c r="M4093">
        <v>4091</v>
      </c>
      <c r="N4093">
        <v>277919</v>
      </c>
      <c r="P4093">
        <v>397696</v>
      </c>
    </row>
    <row r="4094" spans="13:16" x14ac:dyDescent="0.3">
      <c r="M4094">
        <v>4092</v>
      </c>
      <c r="N4094">
        <v>344427</v>
      </c>
      <c r="P4094">
        <v>105258</v>
      </c>
    </row>
    <row r="4095" spans="13:16" x14ac:dyDescent="0.3">
      <c r="M4095">
        <v>4093</v>
      </c>
      <c r="N4095">
        <v>-827634</v>
      </c>
      <c r="P4095">
        <v>860820</v>
      </c>
    </row>
    <row r="4096" spans="13:16" x14ac:dyDescent="0.3">
      <c r="M4096">
        <v>4094</v>
      </c>
      <c r="N4096">
        <v>752166</v>
      </c>
      <c r="P4096">
        <v>-75806</v>
      </c>
    </row>
    <row r="4097" spans="13:16" x14ac:dyDescent="0.3">
      <c r="M4097">
        <v>4095</v>
      </c>
      <c r="N4097">
        <v>185777</v>
      </c>
      <c r="P4097">
        <v>105688</v>
      </c>
    </row>
    <row r="4098" spans="13:16" x14ac:dyDescent="0.3">
      <c r="M4098">
        <v>4096</v>
      </c>
      <c r="N4098">
        <v>701330</v>
      </c>
      <c r="P4098">
        <v>721882</v>
      </c>
    </row>
    <row r="4099" spans="13:16" x14ac:dyDescent="0.3">
      <c r="M4099">
        <v>4097</v>
      </c>
      <c r="N4099">
        <v>396447</v>
      </c>
      <c r="P4099">
        <v>1006993</v>
      </c>
    </row>
    <row r="4100" spans="13:16" x14ac:dyDescent="0.3">
      <c r="M4100">
        <v>4098</v>
      </c>
      <c r="N4100">
        <v>245671</v>
      </c>
      <c r="P4100">
        <v>29357</v>
      </c>
    </row>
    <row r="4101" spans="13:16" x14ac:dyDescent="0.3">
      <c r="M4101">
        <v>4099</v>
      </c>
      <c r="N4101">
        <v>456496</v>
      </c>
      <c r="P4101">
        <v>261314</v>
      </c>
    </row>
    <row r="4102" spans="13:16" x14ac:dyDescent="0.3">
      <c r="M4102">
        <v>4100</v>
      </c>
      <c r="N4102">
        <v>308366</v>
      </c>
      <c r="P4102">
        <v>934316</v>
      </c>
    </row>
    <row r="4103" spans="13:16" x14ac:dyDescent="0.3">
      <c r="M4103">
        <v>4101</v>
      </c>
      <c r="N4103">
        <v>251862</v>
      </c>
      <c r="P4103">
        <v>-468294</v>
      </c>
    </row>
    <row r="4104" spans="13:16" x14ac:dyDescent="0.3">
      <c r="M4104">
        <v>4102</v>
      </c>
      <c r="N4104">
        <v>499753</v>
      </c>
      <c r="P4104">
        <v>123880</v>
      </c>
    </row>
    <row r="4105" spans="13:16" x14ac:dyDescent="0.3">
      <c r="M4105">
        <v>4103</v>
      </c>
      <c r="N4105">
        <v>40966</v>
      </c>
      <c r="P4105">
        <v>-283507</v>
      </c>
    </row>
    <row r="4106" spans="13:16" x14ac:dyDescent="0.3">
      <c r="M4106">
        <v>4104</v>
      </c>
      <c r="N4106">
        <v>234007</v>
      </c>
      <c r="P4106">
        <v>-218426</v>
      </c>
    </row>
    <row r="4107" spans="13:16" x14ac:dyDescent="0.3">
      <c r="M4107">
        <v>4105</v>
      </c>
      <c r="N4107">
        <v>526850</v>
      </c>
      <c r="P4107">
        <v>-295130</v>
      </c>
    </row>
    <row r="4108" spans="13:16" x14ac:dyDescent="0.3">
      <c r="M4108">
        <v>4106</v>
      </c>
      <c r="N4108">
        <v>188050</v>
      </c>
      <c r="P4108">
        <v>-160290</v>
      </c>
    </row>
    <row r="4109" spans="13:16" x14ac:dyDescent="0.3">
      <c r="M4109">
        <v>4107</v>
      </c>
      <c r="N4109">
        <v>548009</v>
      </c>
      <c r="P4109">
        <v>-666422</v>
      </c>
    </row>
    <row r="4110" spans="13:16" x14ac:dyDescent="0.3">
      <c r="M4110">
        <v>4108</v>
      </c>
      <c r="N4110">
        <v>329488</v>
      </c>
      <c r="P4110">
        <v>327800</v>
      </c>
    </row>
    <row r="4111" spans="13:16" x14ac:dyDescent="0.3">
      <c r="M4111">
        <v>4109</v>
      </c>
      <c r="N4111">
        <v>-165748</v>
      </c>
      <c r="P4111">
        <v>-26991</v>
      </c>
    </row>
    <row r="4112" spans="13:16" x14ac:dyDescent="0.3">
      <c r="M4112">
        <v>4110</v>
      </c>
      <c r="N4112">
        <v>-282791</v>
      </c>
      <c r="P4112">
        <v>-369539</v>
      </c>
    </row>
    <row r="4113" spans="13:16" x14ac:dyDescent="0.3">
      <c r="M4113">
        <v>4111</v>
      </c>
      <c r="N4113">
        <v>488852</v>
      </c>
      <c r="P4113">
        <v>-112964</v>
      </c>
    </row>
    <row r="4114" spans="13:16" x14ac:dyDescent="0.3">
      <c r="M4114">
        <v>4112</v>
      </c>
      <c r="N4114">
        <v>262092</v>
      </c>
      <c r="P4114">
        <v>-685575</v>
      </c>
    </row>
    <row r="4115" spans="13:16" x14ac:dyDescent="0.3">
      <c r="M4115">
        <v>4113</v>
      </c>
      <c r="N4115">
        <v>-1602</v>
      </c>
      <c r="P4115">
        <v>688690</v>
      </c>
    </row>
    <row r="4116" spans="13:16" x14ac:dyDescent="0.3">
      <c r="M4116">
        <v>4114</v>
      </c>
      <c r="N4116">
        <v>-356077</v>
      </c>
      <c r="P4116">
        <v>-678622</v>
      </c>
    </row>
    <row r="4117" spans="13:16" x14ac:dyDescent="0.3">
      <c r="M4117">
        <v>4115</v>
      </c>
      <c r="N4117">
        <v>-417421</v>
      </c>
      <c r="P4117">
        <v>612501</v>
      </c>
    </row>
    <row r="4118" spans="13:16" x14ac:dyDescent="0.3">
      <c r="M4118">
        <v>4116</v>
      </c>
      <c r="N4118">
        <v>-203562</v>
      </c>
      <c r="P4118">
        <v>153926</v>
      </c>
    </row>
    <row r="4119" spans="13:16" x14ac:dyDescent="0.3">
      <c r="M4119">
        <v>4117</v>
      </c>
      <c r="N4119">
        <v>610835</v>
      </c>
      <c r="P4119">
        <v>38380</v>
      </c>
    </row>
    <row r="4120" spans="13:16" x14ac:dyDescent="0.3">
      <c r="M4120">
        <v>4118</v>
      </c>
      <c r="N4120">
        <v>161433</v>
      </c>
      <c r="P4120">
        <v>-429308</v>
      </c>
    </row>
    <row r="4121" spans="13:16" x14ac:dyDescent="0.3">
      <c r="M4121">
        <v>4119</v>
      </c>
      <c r="N4121">
        <v>327153</v>
      </c>
      <c r="P4121">
        <v>68116</v>
      </c>
    </row>
    <row r="4122" spans="13:16" x14ac:dyDescent="0.3">
      <c r="M4122">
        <v>4120</v>
      </c>
      <c r="N4122">
        <v>312530</v>
      </c>
      <c r="P4122">
        <v>-239490</v>
      </c>
    </row>
    <row r="4123" spans="13:16" x14ac:dyDescent="0.3">
      <c r="M4123">
        <v>4121</v>
      </c>
      <c r="N4123">
        <v>180582</v>
      </c>
      <c r="P4123">
        <v>-587263</v>
      </c>
    </row>
    <row r="4124" spans="13:16" x14ac:dyDescent="0.3">
      <c r="M4124">
        <v>4122</v>
      </c>
      <c r="N4124">
        <v>-557487</v>
      </c>
      <c r="P4124">
        <v>51892</v>
      </c>
    </row>
    <row r="4125" spans="13:16" x14ac:dyDescent="0.3">
      <c r="M4125">
        <v>4123</v>
      </c>
      <c r="N4125">
        <v>-243766</v>
      </c>
      <c r="P4125">
        <v>-389204</v>
      </c>
    </row>
    <row r="4126" spans="13:16" x14ac:dyDescent="0.3">
      <c r="M4126">
        <v>4124</v>
      </c>
      <c r="N4126">
        <v>385428</v>
      </c>
      <c r="P4126">
        <v>141484</v>
      </c>
    </row>
    <row r="4127" spans="13:16" x14ac:dyDescent="0.3">
      <c r="M4127">
        <v>4125</v>
      </c>
      <c r="N4127">
        <v>609027</v>
      </c>
      <c r="P4127">
        <v>-251004</v>
      </c>
    </row>
    <row r="4128" spans="13:16" x14ac:dyDescent="0.3">
      <c r="M4128">
        <v>4126</v>
      </c>
      <c r="N4128">
        <v>-20451</v>
      </c>
      <c r="P4128">
        <v>9456</v>
      </c>
    </row>
    <row r="4129" spans="13:16" x14ac:dyDescent="0.3">
      <c r="M4129">
        <v>4127</v>
      </c>
      <c r="N4129">
        <v>268276</v>
      </c>
      <c r="P4129">
        <v>-146311</v>
      </c>
    </row>
    <row r="4130" spans="13:16" x14ac:dyDescent="0.3">
      <c r="M4130">
        <v>4128</v>
      </c>
      <c r="N4130">
        <v>-160356</v>
      </c>
      <c r="P4130">
        <v>775554</v>
      </c>
    </row>
    <row r="4131" spans="13:16" x14ac:dyDescent="0.3">
      <c r="M4131">
        <v>4129</v>
      </c>
      <c r="N4131">
        <v>-567151</v>
      </c>
      <c r="P4131">
        <v>-208929</v>
      </c>
    </row>
    <row r="4132" spans="13:16" x14ac:dyDescent="0.3">
      <c r="M4132">
        <v>4130</v>
      </c>
      <c r="N4132">
        <v>-209187</v>
      </c>
      <c r="P4132">
        <v>657831</v>
      </c>
    </row>
    <row r="4133" spans="13:16" x14ac:dyDescent="0.3">
      <c r="M4133">
        <v>4131</v>
      </c>
      <c r="N4133">
        <v>59456</v>
      </c>
      <c r="P4133">
        <v>-40700</v>
      </c>
    </row>
    <row r="4134" spans="13:16" x14ac:dyDescent="0.3">
      <c r="M4134">
        <v>4132</v>
      </c>
      <c r="N4134">
        <v>969616</v>
      </c>
      <c r="P4134">
        <v>-148229</v>
      </c>
    </row>
    <row r="4135" spans="13:16" x14ac:dyDescent="0.3">
      <c r="M4135">
        <v>4133</v>
      </c>
      <c r="N4135">
        <v>-460358</v>
      </c>
      <c r="P4135">
        <v>-173637</v>
      </c>
    </row>
    <row r="4136" spans="13:16" x14ac:dyDescent="0.3">
      <c r="M4136">
        <v>4134</v>
      </c>
      <c r="N4136">
        <v>147347</v>
      </c>
      <c r="P4136">
        <v>1164</v>
      </c>
    </row>
    <row r="4137" spans="13:16" x14ac:dyDescent="0.3">
      <c r="M4137">
        <v>4135</v>
      </c>
      <c r="N4137">
        <v>-465308</v>
      </c>
      <c r="P4137">
        <v>-792227</v>
      </c>
    </row>
    <row r="4138" spans="13:16" x14ac:dyDescent="0.3">
      <c r="M4138">
        <v>4136</v>
      </c>
      <c r="N4138">
        <v>69704</v>
      </c>
      <c r="P4138">
        <v>-531484</v>
      </c>
    </row>
    <row r="4139" spans="13:16" x14ac:dyDescent="0.3">
      <c r="M4139">
        <v>4137</v>
      </c>
      <c r="N4139">
        <v>513244</v>
      </c>
      <c r="P4139">
        <v>104379</v>
      </c>
    </row>
    <row r="4140" spans="13:16" x14ac:dyDescent="0.3">
      <c r="M4140">
        <v>4138</v>
      </c>
      <c r="N4140">
        <v>275232</v>
      </c>
      <c r="P4140">
        <v>-369557</v>
      </c>
    </row>
    <row r="4141" spans="13:16" x14ac:dyDescent="0.3">
      <c r="M4141">
        <v>4139</v>
      </c>
      <c r="N4141">
        <v>604712</v>
      </c>
      <c r="P4141">
        <v>415273</v>
      </c>
    </row>
    <row r="4142" spans="13:16" x14ac:dyDescent="0.3">
      <c r="M4142">
        <v>4140</v>
      </c>
      <c r="N4142">
        <v>-427620</v>
      </c>
      <c r="P4142">
        <v>-281705</v>
      </c>
    </row>
    <row r="4143" spans="13:16" x14ac:dyDescent="0.3">
      <c r="M4143">
        <v>4141</v>
      </c>
      <c r="N4143">
        <v>672385</v>
      </c>
      <c r="P4143">
        <v>255039</v>
      </c>
    </row>
    <row r="4144" spans="13:16" x14ac:dyDescent="0.3">
      <c r="M4144">
        <v>4142</v>
      </c>
      <c r="N4144">
        <v>131715</v>
      </c>
      <c r="P4144">
        <v>547108</v>
      </c>
    </row>
    <row r="4145" spans="13:16" x14ac:dyDescent="0.3">
      <c r="M4145">
        <v>4143</v>
      </c>
      <c r="N4145">
        <v>-23859</v>
      </c>
      <c r="P4145">
        <v>458241</v>
      </c>
    </row>
    <row r="4146" spans="13:16" x14ac:dyDescent="0.3">
      <c r="M4146">
        <v>4144</v>
      </c>
      <c r="N4146">
        <v>395308</v>
      </c>
      <c r="P4146">
        <v>361875</v>
      </c>
    </row>
    <row r="4147" spans="13:16" x14ac:dyDescent="0.3">
      <c r="M4147">
        <v>4145</v>
      </c>
      <c r="N4147">
        <v>-316894</v>
      </c>
      <c r="P4147">
        <v>941414</v>
      </c>
    </row>
    <row r="4148" spans="13:16" x14ac:dyDescent="0.3">
      <c r="M4148">
        <v>4146</v>
      </c>
      <c r="N4148">
        <v>-180383</v>
      </c>
      <c r="P4148">
        <v>144184</v>
      </c>
    </row>
    <row r="4149" spans="13:16" x14ac:dyDescent="0.3">
      <c r="M4149">
        <v>4147</v>
      </c>
      <c r="N4149">
        <v>440033</v>
      </c>
      <c r="P4149">
        <v>-650424</v>
      </c>
    </row>
    <row r="4150" spans="13:16" x14ac:dyDescent="0.3">
      <c r="M4150">
        <v>4148</v>
      </c>
      <c r="N4150">
        <v>-1261</v>
      </c>
      <c r="P4150">
        <v>372047</v>
      </c>
    </row>
    <row r="4151" spans="13:16" x14ac:dyDescent="0.3">
      <c r="M4151">
        <v>4149</v>
      </c>
      <c r="N4151">
        <v>100712</v>
      </c>
      <c r="P4151">
        <v>-92866</v>
      </c>
    </row>
    <row r="4152" spans="13:16" x14ac:dyDescent="0.3">
      <c r="M4152">
        <v>4150</v>
      </c>
      <c r="N4152">
        <v>-389414</v>
      </c>
      <c r="P4152">
        <v>-143586</v>
      </c>
    </row>
    <row r="4153" spans="13:16" x14ac:dyDescent="0.3">
      <c r="M4153">
        <v>4151</v>
      </c>
      <c r="N4153">
        <v>263970</v>
      </c>
      <c r="P4153">
        <v>542267</v>
      </c>
    </row>
    <row r="4154" spans="13:16" x14ac:dyDescent="0.3">
      <c r="M4154">
        <v>4152</v>
      </c>
      <c r="N4154">
        <v>163051</v>
      </c>
      <c r="P4154">
        <v>-126184</v>
      </c>
    </row>
    <row r="4155" spans="13:16" x14ac:dyDescent="0.3">
      <c r="M4155">
        <v>4153</v>
      </c>
      <c r="N4155">
        <v>413002</v>
      </c>
      <c r="P4155">
        <v>224642</v>
      </c>
    </row>
    <row r="4156" spans="13:16" x14ac:dyDescent="0.3">
      <c r="M4156">
        <v>4154</v>
      </c>
      <c r="N4156">
        <v>-289679</v>
      </c>
      <c r="P4156">
        <v>122477</v>
      </c>
    </row>
    <row r="4157" spans="13:16" x14ac:dyDescent="0.3">
      <c r="M4157">
        <v>4155</v>
      </c>
      <c r="N4157">
        <v>-140750</v>
      </c>
      <c r="P4157">
        <v>-363741</v>
      </c>
    </row>
    <row r="4158" spans="13:16" x14ac:dyDescent="0.3">
      <c r="M4158">
        <v>4156</v>
      </c>
      <c r="N4158">
        <v>453692</v>
      </c>
      <c r="P4158">
        <v>-23435</v>
      </c>
    </row>
    <row r="4159" spans="13:16" x14ac:dyDescent="0.3">
      <c r="M4159">
        <v>4157</v>
      </c>
      <c r="N4159">
        <v>-466944</v>
      </c>
      <c r="P4159">
        <v>534234</v>
      </c>
    </row>
    <row r="4160" spans="13:16" x14ac:dyDescent="0.3">
      <c r="M4160">
        <v>4158</v>
      </c>
      <c r="N4160">
        <v>-77337</v>
      </c>
      <c r="P4160">
        <v>-442273</v>
      </c>
    </row>
    <row r="4161" spans="13:16" x14ac:dyDescent="0.3">
      <c r="M4161">
        <v>4159</v>
      </c>
      <c r="N4161">
        <v>-551788</v>
      </c>
      <c r="P4161">
        <v>-39484</v>
      </c>
    </row>
    <row r="4162" spans="13:16" x14ac:dyDescent="0.3">
      <c r="M4162">
        <v>4160</v>
      </c>
      <c r="N4162">
        <v>-730470</v>
      </c>
      <c r="P4162">
        <v>-269552</v>
      </c>
    </row>
    <row r="4163" spans="13:16" x14ac:dyDescent="0.3">
      <c r="M4163">
        <v>4161</v>
      </c>
      <c r="N4163">
        <v>491115</v>
      </c>
      <c r="P4163">
        <v>423982</v>
      </c>
    </row>
    <row r="4164" spans="13:16" x14ac:dyDescent="0.3">
      <c r="M4164">
        <v>4162</v>
      </c>
      <c r="N4164">
        <v>176880</v>
      </c>
      <c r="P4164">
        <v>-301418</v>
      </c>
    </row>
    <row r="4165" spans="13:16" x14ac:dyDescent="0.3">
      <c r="M4165">
        <v>4163</v>
      </c>
      <c r="N4165">
        <v>554820</v>
      </c>
      <c r="P4165">
        <v>279572</v>
      </c>
    </row>
    <row r="4166" spans="13:16" x14ac:dyDescent="0.3">
      <c r="M4166">
        <v>4164</v>
      </c>
      <c r="N4166">
        <v>131630</v>
      </c>
      <c r="P4166">
        <v>154883</v>
      </c>
    </row>
    <row r="4167" spans="13:16" x14ac:dyDescent="0.3">
      <c r="M4167">
        <v>4165</v>
      </c>
      <c r="N4167">
        <v>-398578</v>
      </c>
      <c r="P4167">
        <v>-272447</v>
      </c>
    </row>
    <row r="4168" spans="13:16" x14ac:dyDescent="0.3">
      <c r="M4168">
        <v>4166</v>
      </c>
      <c r="N4168">
        <v>-89514</v>
      </c>
      <c r="P4168">
        <v>-480700</v>
      </c>
    </row>
    <row r="4169" spans="13:16" x14ac:dyDescent="0.3">
      <c r="M4169">
        <v>4167</v>
      </c>
      <c r="N4169">
        <v>-461007</v>
      </c>
      <c r="P4169">
        <v>270298</v>
      </c>
    </row>
    <row r="4170" spans="13:16" x14ac:dyDescent="0.3">
      <c r="M4170">
        <v>4168</v>
      </c>
      <c r="N4170">
        <v>395761</v>
      </c>
      <c r="P4170">
        <v>602097</v>
      </c>
    </row>
    <row r="4171" spans="13:16" x14ac:dyDescent="0.3">
      <c r="M4171">
        <v>4169</v>
      </c>
      <c r="N4171">
        <v>488754</v>
      </c>
      <c r="P4171">
        <v>-13371</v>
      </c>
    </row>
    <row r="4172" spans="13:16" x14ac:dyDescent="0.3">
      <c r="M4172">
        <v>4170</v>
      </c>
      <c r="N4172">
        <v>-169929</v>
      </c>
      <c r="P4172">
        <v>-328238</v>
      </c>
    </row>
    <row r="4173" spans="13:16" x14ac:dyDescent="0.3">
      <c r="M4173">
        <v>4171</v>
      </c>
      <c r="N4173">
        <v>-100157</v>
      </c>
      <c r="P4173">
        <v>168817</v>
      </c>
    </row>
    <row r="4174" spans="13:16" x14ac:dyDescent="0.3">
      <c r="M4174">
        <v>4172</v>
      </c>
      <c r="N4174">
        <v>169034</v>
      </c>
      <c r="P4174">
        <v>171515</v>
      </c>
    </row>
    <row r="4175" spans="13:16" x14ac:dyDescent="0.3">
      <c r="M4175">
        <v>4173</v>
      </c>
      <c r="N4175">
        <v>941307</v>
      </c>
      <c r="P4175">
        <v>1006088</v>
      </c>
    </row>
    <row r="4176" spans="13:16" x14ac:dyDescent="0.3">
      <c r="M4176">
        <v>4174</v>
      </c>
      <c r="N4176">
        <v>-364753</v>
      </c>
      <c r="P4176">
        <v>-692533</v>
      </c>
    </row>
    <row r="4177" spans="13:16" x14ac:dyDescent="0.3">
      <c r="M4177">
        <v>4175</v>
      </c>
      <c r="N4177">
        <v>-321534</v>
      </c>
      <c r="P4177">
        <v>676169</v>
      </c>
    </row>
    <row r="4178" spans="13:16" x14ac:dyDescent="0.3">
      <c r="M4178">
        <v>4176</v>
      </c>
      <c r="N4178">
        <v>281893</v>
      </c>
      <c r="P4178">
        <v>-502834</v>
      </c>
    </row>
    <row r="4179" spans="13:16" x14ac:dyDescent="0.3">
      <c r="M4179">
        <v>4177</v>
      </c>
      <c r="N4179">
        <v>-514895</v>
      </c>
      <c r="P4179">
        <v>708953</v>
      </c>
    </row>
    <row r="4180" spans="13:16" x14ac:dyDescent="0.3">
      <c r="M4180">
        <v>4178</v>
      </c>
      <c r="N4180">
        <v>22046</v>
      </c>
      <c r="P4180">
        <v>-186938</v>
      </c>
    </row>
    <row r="4181" spans="13:16" x14ac:dyDescent="0.3">
      <c r="M4181">
        <v>4179</v>
      </c>
      <c r="N4181">
        <v>-168588</v>
      </c>
      <c r="P4181">
        <v>560301</v>
      </c>
    </row>
    <row r="4182" spans="13:16" x14ac:dyDescent="0.3">
      <c r="M4182">
        <v>4180</v>
      </c>
      <c r="N4182">
        <v>442936</v>
      </c>
      <c r="P4182">
        <v>-81394</v>
      </c>
    </row>
    <row r="4183" spans="13:16" x14ac:dyDescent="0.3">
      <c r="M4183">
        <v>4181</v>
      </c>
      <c r="N4183">
        <v>1010608</v>
      </c>
      <c r="P4183">
        <v>376431</v>
      </c>
    </row>
    <row r="4184" spans="13:16" x14ac:dyDescent="0.3">
      <c r="M4184">
        <v>4182</v>
      </c>
      <c r="N4184">
        <v>-321040</v>
      </c>
      <c r="P4184">
        <v>-457229</v>
      </c>
    </row>
    <row r="4185" spans="13:16" x14ac:dyDescent="0.3">
      <c r="M4185">
        <v>4183</v>
      </c>
      <c r="N4185">
        <v>608723</v>
      </c>
      <c r="P4185">
        <v>-252712</v>
      </c>
    </row>
    <row r="4186" spans="13:16" x14ac:dyDescent="0.3">
      <c r="M4186">
        <v>4184</v>
      </c>
      <c r="N4186">
        <v>-316378</v>
      </c>
      <c r="P4186">
        <v>-61423</v>
      </c>
    </row>
    <row r="4187" spans="13:16" x14ac:dyDescent="0.3">
      <c r="M4187">
        <v>4185</v>
      </c>
      <c r="N4187">
        <v>75036</v>
      </c>
      <c r="P4187">
        <v>-546565</v>
      </c>
    </row>
    <row r="4188" spans="13:16" x14ac:dyDescent="0.3">
      <c r="M4188">
        <v>4186</v>
      </c>
      <c r="N4188">
        <v>-304495</v>
      </c>
      <c r="P4188">
        <v>277309</v>
      </c>
    </row>
    <row r="4189" spans="13:16" x14ac:dyDescent="0.3">
      <c r="M4189">
        <v>4187</v>
      </c>
      <c r="N4189">
        <v>-119812</v>
      </c>
      <c r="P4189">
        <v>229849</v>
      </c>
    </row>
    <row r="4190" spans="13:16" x14ac:dyDescent="0.3">
      <c r="M4190">
        <v>4188</v>
      </c>
      <c r="N4190">
        <v>-51605</v>
      </c>
      <c r="P4190">
        <v>123152</v>
      </c>
    </row>
    <row r="4191" spans="13:16" x14ac:dyDescent="0.3">
      <c r="M4191">
        <v>4189</v>
      </c>
      <c r="N4191">
        <v>-209368</v>
      </c>
      <c r="P4191">
        <v>-342127</v>
      </c>
    </row>
    <row r="4192" spans="13:16" x14ac:dyDescent="0.3">
      <c r="M4192">
        <v>4190</v>
      </c>
      <c r="N4192">
        <v>-413542</v>
      </c>
      <c r="P4192">
        <v>589866</v>
      </c>
    </row>
    <row r="4193" spans="13:16" x14ac:dyDescent="0.3">
      <c r="M4193">
        <v>4191</v>
      </c>
      <c r="N4193">
        <v>-626807</v>
      </c>
      <c r="P4193">
        <v>-332492</v>
      </c>
    </row>
    <row r="4194" spans="13:16" x14ac:dyDescent="0.3">
      <c r="M4194">
        <v>4192</v>
      </c>
      <c r="N4194">
        <v>316941</v>
      </c>
      <c r="P4194">
        <v>102405</v>
      </c>
    </row>
    <row r="4195" spans="13:16" x14ac:dyDescent="0.3">
      <c r="M4195">
        <v>4193</v>
      </c>
      <c r="N4195">
        <v>-137182</v>
      </c>
      <c r="P4195">
        <v>186866</v>
      </c>
    </row>
    <row r="4196" spans="13:16" x14ac:dyDescent="0.3">
      <c r="M4196">
        <v>4194</v>
      </c>
      <c r="N4196">
        <v>236790</v>
      </c>
      <c r="P4196">
        <v>-75800</v>
      </c>
    </row>
    <row r="4197" spans="13:16" x14ac:dyDescent="0.3">
      <c r="M4197">
        <v>4195</v>
      </c>
      <c r="N4197">
        <v>-244088</v>
      </c>
      <c r="P4197">
        <v>261760</v>
      </c>
    </row>
    <row r="4198" spans="13:16" x14ac:dyDescent="0.3">
      <c r="M4198">
        <v>4196</v>
      </c>
      <c r="N4198">
        <v>-479371</v>
      </c>
      <c r="P4198">
        <v>10543</v>
      </c>
    </row>
    <row r="4199" spans="13:16" x14ac:dyDescent="0.3">
      <c r="M4199">
        <v>4197</v>
      </c>
      <c r="N4199">
        <v>5139</v>
      </c>
      <c r="P4199">
        <v>-63917</v>
      </c>
    </row>
    <row r="4200" spans="13:16" x14ac:dyDescent="0.3">
      <c r="M4200">
        <v>4198</v>
      </c>
      <c r="N4200">
        <v>127724</v>
      </c>
      <c r="P4200">
        <v>78941</v>
      </c>
    </row>
    <row r="4201" spans="13:16" x14ac:dyDescent="0.3">
      <c r="M4201">
        <v>4199</v>
      </c>
      <c r="N4201">
        <v>343401</v>
      </c>
      <c r="P4201">
        <v>-777590</v>
      </c>
    </row>
    <row r="4202" spans="13:16" x14ac:dyDescent="0.3">
      <c r="M4202">
        <v>4200</v>
      </c>
      <c r="N4202">
        <v>-449248</v>
      </c>
      <c r="P4202">
        <v>256907</v>
      </c>
    </row>
    <row r="4203" spans="13:16" x14ac:dyDescent="0.3">
      <c r="M4203">
        <v>4201</v>
      </c>
      <c r="N4203">
        <v>-114206</v>
      </c>
      <c r="P4203">
        <v>-564044</v>
      </c>
    </row>
    <row r="4204" spans="13:16" x14ac:dyDescent="0.3">
      <c r="M4204">
        <v>4202</v>
      </c>
      <c r="N4204">
        <v>-426756</v>
      </c>
      <c r="P4204">
        <v>106680</v>
      </c>
    </row>
    <row r="4205" spans="13:16" x14ac:dyDescent="0.3">
      <c r="M4205">
        <v>4203</v>
      </c>
      <c r="N4205">
        <v>579096</v>
      </c>
      <c r="P4205">
        <v>642451</v>
      </c>
    </row>
    <row r="4206" spans="13:16" x14ac:dyDescent="0.3">
      <c r="M4206">
        <v>4204</v>
      </c>
      <c r="N4206">
        <v>-298195</v>
      </c>
      <c r="P4206">
        <v>438139</v>
      </c>
    </row>
    <row r="4207" spans="13:16" x14ac:dyDescent="0.3">
      <c r="M4207">
        <v>4205</v>
      </c>
      <c r="N4207">
        <v>-533411</v>
      </c>
      <c r="P4207">
        <v>-485563</v>
      </c>
    </row>
    <row r="4208" spans="13:16" x14ac:dyDescent="0.3">
      <c r="M4208">
        <v>4206</v>
      </c>
      <c r="N4208">
        <v>53690</v>
      </c>
      <c r="P4208">
        <v>-159784</v>
      </c>
    </row>
    <row r="4209" spans="13:16" x14ac:dyDescent="0.3">
      <c r="M4209">
        <v>4207</v>
      </c>
      <c r="N4209">
        <v>51086</v>
      </c>
      <c r="P4209">
        <v>-114375</v>
      </c>
    </row>
    <row r="4210" spans="13:16" x14ac:dyDescent="0.3">
      <c r="M4210">
        <v>4208</v>
      </c>
      <c r="N4210">
        <v>-81688</v>
      </c>
      <c r="P4210">
        <v>-59631</v>
      </c>
    </row>
    <row r="4211" spans="13:16" x14ac:dyDescent="0.3">
      <c r="M4211">
        <v>4209</v>
      </c>
      <c r="N4211">
        <v>-824334</v>
      </c>
      <c r="P4211">
        <v>-314921</v>
      </c>
    </row>
    <row r="4212" spans="13:16" x14ac:dyDescent="0.3">
      <c r="M4212">
        <v>4210</v>
      </c>
      <c r="N4212">
        <v>587572</v>
      </c>
      <c r="P4212">
        <v>309655</v>
      </c>
    </row>
    <row r="4213" spans="13:16" x14ac:dyDescent="0.3">
      <c r="M4213">
        <v>4211</v>
      </c>
      <c r="N4213">
        <v>20269</v>
      </c>
      <c r="P4213">
        <v>-117584</v>
      </c>
    </row>
    <row r="4214" spans="13:16" x14ac:dyDescent="0.3">
      <c r="M4214">
        <v>4212</v>
      </c>
      <c r="N4214">
        <v>-433434</v>
      </c>
      <c r="P4214">
        <v>-230449</v>
      </c>
    </row>
    <row r="4215" spans="13:16" x14ac:dyDescent="0.3">
      <c r="M4215">
        <v>4213</v>
      </c>
      <c r="N4215">
        <v>-791344</v>
      </c>
      <c r="P4215">
        <v>-510302</v>
      </c>
    </row>
    <row r="4216" spans="13:16" x14ac:dyDescent="0.3">
      <c r="M4216">
        <v>4214</v>
      </c>
      <c r="N4216">
        <v>93844</v>
      </c>
      <c r="P4216">
        <v>-858327</v>
      </c>
    </row>
    <row r="4217" spans="13:16" x14ac:dyDescent="0.3">
      <c r="M4217">
        <v>4215</v>
      </c>
      <c r="N4217">
        <v>-260071</v>
      </c>
      <c r="P4217">
        <v>-350063</v>
      </c>
    </row>
    <row r="4218" spans="13:16" x14ac:dyDescent="0.3">
      <c r="M4218">
        <v>4216</v>
      </c>
      <c r="N4218">
        <v>682692</v>
      </c>
      <c r="P4218">
        <v>-851968</v>
      </c>
    </row>
    <row r="4219" spans="13:16" x14ac:dyDescent="0.3">
      <c r="M4219">
        <v>4217</v>
      </c>
      <c r="N4219">
        <v>-305592</v>
      </c>
      <c r="P4219">
        <v>418118</v>
      </c>
    </row>
    <row r="4220" spans="13:16" x14ac:dyDescent="0.3">
      <c r="M4220">
        <v>4218</v>
      </c>
      <c r="N4220">
        <v>743543</v>
      </c>
      <c r="P4220">
        <v>674109</v>
      </c>
    </row>
    <row r="4221" spans="13:16" x14ac:dyDescent="0.3">
      <c r="M4221">
        <v>4219</v>
      </c>
      <c r="N4221">
        <v>-247081</v>
      </c>
      <c r="P4221">
        <v>845209</v>
      </c>
    </row>
    <row r="4222" spans="13:16" x14ac:dyDescent="0.3">
      <c r="M4222">
        <v>4220</v>
      </c>
      <c r="N4222">
        <v>605876</v>
      </c>
      <c r="P4222">
        <v>-118379</v>
      </c>
    </row>
    <row r="4223" spans="13:16" x14ac:dyDescent="0.3">
      <c r="M4223">
        <v>4221</v>
      </c>
      <c r="N4223">
        <v>69661</v>
      </c>
      <c r="P4223">
        <v>-166019</v>
      </c>
    </row>
    <row r="4224" spans="13:16" x14ac:dyDescent="0.3">
      <c r="M4224">
        <v>4222</v>
      </c>
      <c r="N4224">
        <v>-629427</v>
      </c>
      <c r="P4224">
        <v>-46350</v>
      </c>
    </row>
    <row r="4225" spans="13:16" x14ac:dyDescent="0.3">
      <c r="M4225">
        <v>4223</v>
      </c>
      <c r="N4225">
        <v>158424</v>
      </c>
      <c r="P4225">
        <v>-625888</v>
      </c>
    </row>
    <row r="4226" spans="13:16" x14ac:dyDescent="0.3">
      <c r="M4226">
        <v>4224</v>
      </c>
      <c r="N4226">
        <v>-224642</v>
      </c>
      <c r="P4226">
        <v>387688</v>
      </c>
    </row>
    <row r="4227" spans="13:16" x14ac:dyDescent="0.3">
      <c r="M4227">
        <v>4225</v>
      </c>
      <c r="N4227">
        <v>-169968</v>
      </c>
      <c r="P4227">
        <v>-286184</v>
      </c>
    </row>
    <row r="4228" spans="13:16" x14ac:dyDescent="0.3">
      <c r="M4228">
        <v>4226</v>
      </c>
      <c r="N4228">
        <v>-205947</v>
      </c>
      <c r="P4228">
        <v>-135019</v>
      </c>
    </row>
    <row r="4229" spans="13:16" x14ac:dyDescent="0.3">
      <c r="M4229">
        <v>4227</v>
      </c>
      <c r="N4229">
        <v>245432</v>
      </c>
      <c r="P4229">
        <v>-327684</v>
      </c>
    </row>
    <row r="4230" spans="13:16" x14ac:dyDescent="0.3">
      <c r="M4230">
        <v>4228</v>
      </c>
      <c r="N4230">
        <v>-611144</v>
      </c>
      <c r="P4230">
        <v>-95295</v>
      </c>
    </row>
    <row r="4231" spans="13:16" x14ac:dyDescent="0.3">
      <c r="M4231">
        <v>4229</v>
      </c>
      <c r="N4231">
        <v>-641358</v>
      </c>
      <c r="P4231">
        <v>-163623</v>
      </c>
    </row>
    <row r="4232" spans="13:16" x14ac:dyDescent="0.3">
      <c r="M4232">
        <v>4230</v>
      </c>
      <c r="N4232">
        <v>-389396</v>
      </c>
      <c r="P4232">
        <v>-390164</v>
      </c>
    </row>
    <row r="4233" spans="13:16" x14ac:dyDescent="0.3">
      <c r="M4233">
        <v>4231</v>
      </c>
      <c r="N4233">
        <v>441339</v>
      </c>
      <c r="P4233">
        <v>287855</v>
      </c>
    </row>
    <row r="4234" spans="13:16" x14ac:dyDescent="0.3">
      <c r="M4234">
        <v>4232</v>
      </c>
      <c r="N4234">
        <v>-83166</v>
      </c>
      <c r="P4234">
        <v>299250</v>
      </c>
    </row>
    <row r="4235" spans="13:16" x14ac:dyDescent="0.3">
      <c r="M4235">
        <v>4233</v>
      </c>
      <c r="N4235">
        <v>427121</v>
      </c>
      <c r="P4235">
        <v>-224879</v>
      </c>
    </row>
    <row r="4236" spans="13:16" x14ac:dyDescent="0.3">
      <c r="M4236">
        <v>4234</v>
      </c>
      <c r="N4236">
        <v>-672266</v>
      </c>
      <c r="P4236">
        <v>221561</v>
      </c>
    </row>
    <row r="4237" spans="13:16" x14ac:dyDescent="0.3">
      <c r="M4237">
        <v>4235</v>
      </c>
      <c r="N4237">
        <v>-245873</v>
      </c>
      <c r="P4237">
        <v>-259667</v>
      </c>
    </row>
    <row r="4238" spans="13:16" x14ac:dyDescent="0.3">
      <c r="M4238">
        <v>4236</v>
      </c>
      <c r="N4238">
        <v>-400143</v>
      </c>
      <c r="P4238">
        <v>-240068</v>
      </c>
    </row>
    <row r="4239" spans="13:16" x14ac:dyDescent="0.3">
      <c r="M4239">
        <v>4237</v>
      </c>
      <c r="N4239">
        <v>339172</v>
      </c>
      <c r="P4239">
        <v>-347787</v>
      </c>
    </row>
    <row r="4240" spans="13:16" x14ac:dyDescent="0.3">
      <c r="M4240">
        <v>4238</v>
      </c>
      <c r="N4240">
        <v>369683</v>
      </c>
      <c r="P4240">
        <v>16742</v>
      </c>
    </row>
    <row r="4241" spans="13:16" x14ac:dyDescent="0.3">
      <c r="M4241">
        <v>4239</v>
      </c>
      <c r="N4241">
        <v>-396885</v>
      </c>
      <c r="P4241">
        <v>-34037</v>
      </c>
    </row>
    <row r="4242" spans="13:16" x14ac:dyDescent="0.3">
      <c r="M4242">
        <v>4240</v>
      </c>
      <c r="N4242">
        <v>136233</v>
      </c>
      <c r="P4242">
        <v>-198381</v>
      </c>
    </row>
    <row r="4243" spans="13:16" x14ac:dyDescent="0.3">
      <c r="M4243">
        <v>4241</v>
      </c>
      <c r="N4243">
        <v>601328</v>
      </c>
      <c r="P4243">
        <v>509782</v>
      </c>
    </row>
    <row r="4244" spans="13:16" x14ac:dyDescent="0.3">
      <c r="M4244">
        <v>4242</v>
      </c>
      <c r="N4244">
        <v>143467</v>
      </c>
      <c r="P4244">
        <v>546922</v>
      </c>
    </row>
    <row r="4245" spans="13:16" x14ac:dyDescent="0.3">
      <c r="M4245">
        <v>4243</v>
      </c>
      <c r="N4245">
        <v>-607509</v>
      </c>
      <c r="P4245">
        <v>35352</v>
      </c>
    </row>
    <row r="4246" spans="13:16" x14ac:dyDescent="0.3">
      <c r="M4246">
        <v>4244</v>
      </c>
      <c r="N4246">
        <v>341134</v>
      </c>
      <c r="P4246">
        <v>-813754</v>
      </c>
    </row>
    <row r="4247" spans="13:16" x14ac:dyDescent="0.3">
      <c r="M4247">
        <v>4245</v>
      </c>
      <c r="N4247">
        <v>-2978</v>
      </c>
      <c r="P4247">
        <v>237978</v>
      </c>
    </row>
    <row r="4248" spans="13:16" x14ac:dyDescent="0.3">
      <c r="M4248">
        <v>4246</v>
      </c>
      <c r="N4248">
        <v>-41039</v>
      </c>
      <c r="P4248">
        <v>-261935</v>
      </c>
    </row>
    <row r="4249" spans="13:16" x14ac:dyDescent="0.3">
      <c r="M4249">
        <v>4247</v>
      </c>
      <c r="N4249">
        <v>185106</v>
      </c>
      <c r="P4249">
        <v>-290437</v>
      </c>
    </row>
    <row r="4250" spans="13:16" x14ac:dyDescent="0.3">
      <c r="M4250">
        <v>4248</v>
      </c>
      <c r="N4250">
        <v>-339011</v>
      </c>
      <c r="P4250">
        <v>15197</v>
      </c>
    </row>
    <row r="4251" spans="13:16" x14ac:dyDescent="0.3">
      <c r="M4251">
        <v>4249</v>
      </c>
      <c r="N4251">
        <v>-661348</v>
      </c>
      <c r="P4251">
        <v>-479548</v>
      </c>
    </row>
    <row r="4252" spans="13:16" x14ac:dyDescent="0.3">
      <c r="M4252">
        <v>4250</v>
      </c>
      <c r="N4252">
        <v>516817</v>
      </c>
      <c r="P4252">
        <v>-239248</v>
      </c>
    </row>
    <row r="4253" spans="13:16" x14ac:dyDescent="0.3">
      <c r="M4253">
        <v>4251</v>
      </c>
      <c r="N4253">
        <v>283214</v>
      </c>
      <c r="P4253">
        <v>-245683</v>
      </c>
    </row>
    <row r="4254" spans="13:16" x14ac:dyDescent="0.3">
      <c r="M4254">
        <v>4252</v>
      </c>
      <c r="N4254">
        <v>434748</v>
      </c>
      <c r="P4254">
        <v>1133</v>
      </c>
    </row>
    <row r="4255" spans="13:16" x14ac:dyDescent="0.3">
      <c r="M4255">
        <v>4253</v>
      </c>
      <c r="N4255">
        <v>-381793</v>
      </c>
      <c r="P4255">
        <v>-243757</v>
      </c>
    </row>
    <row r="4256" spans="13:16" x14ac:dyDescent="0.3">
      <c r="M4256">
        <v>4254</v>
      </c>
      <c r="N4256">
        <v>-49218</v>
      </c>
      <c r="P4256">
        <v>-609277</v>
      </c>
    </row>
    <row r="4257" spans="13:16" x14ac:dyDescent="0.3">
      <c r="M4257">
        <v>4255</v>
      </c>
      <c r="N4257">
        <v>-494875</v>
      </c>
      <c r="P4257">
        <v>-580146</v>
      </c>
    </row>
    <row r="4258" spans="13:16" x14ac:dyDescent="0.3">
      <c r="M4258">
        <v>4256</v>
      </c>
      <c r="N4258">
        <v>673381</v>
      </c>
      <c r="P4258">
        <v>342630</v>
      </c>
    </row>
    <row r="4259" spans="13:16" x14ac:dyDescent="0.3">
      <c r="M4259">
        <v>4257</v>
      </c>
      <c r="N4259">
        <v>270439</v>
      </c>
      <c r="P4259">
        <v>146140</v>
      </c>
    </row>
    <row r="4260" spans="13:16" x14ac:dyDescent="0.3">
      <c r="M4260">
        <v>4258</v>
      </c>
      <c r="N4260">
        <v>498362</v>
      </c>
      <c r="P4260">
        <v>202401</v>
      </c>
    </row>
    <row r="4261" spans="13:16" x14ac:dyDescent="0.3">
      <c r="M4261">
        <v>4259</v>
      </c>
      <c r="N4261">
        <v>457442</v>
      </c>
      <c r="P4261">
        <v>426592</v>
      </c>
    </row>
    <row r="4262" spans="13:16" x14ac:dyDescent="0.3">
      <c r="M4262">
        <v>4260</v>
      </c>
      <c r="N4262">
        <v>735800</v>
      </c>
      <c r="P4262">
        <v>232615</v>
      </c>
    </row>
    <row r="4263" spans="13:16" x14ac:dyDescent="0.3">
      <c r="M4263">
        <v>4261</v>
      </c>
      <c r="N4263">
        <v>1123623</v>
      </c>
      <c r="P4263">
        <v>224170</v>
      </c>
    </row>
    <row r="4264" spans="13:16" x14ac:dyDescent="0.3">
      <c r="M4264">
        <v>4262</v>
      </c>
      <c r="N4264">
        <v>-435621</v>
      </c>
      <c r="P4264">
        <v>700411</v>
      </c>
    </row>
    <row r="4265" spans="13:16" x14ac:dyDescent="0.3">
      <c r="M4265">
        <v>4263</v>
      </c>
      <c r="N4265">
        <v>-21555</v>
      </c>
      <c r="P4265">
        <v>344777</v>
      </c>
    </row>
    <row r="4266" spans="13:16" x14ac:dyDescent="0.3">
      <c r="M4266">
        <v>4264</v>
      </c>
      <c r="N4266">
        <v>-73323</v>
      </c>
      <c r="P4266">
        <v>176283</v>
      </c>
    </row>
    <row r="4267" spans="13:16" x14ac:dyDescent="0.3">
      <c r="M4267">
        <v>4265</v>
      </c>
      <c r="N4267">
        <v>215447</v>
      </c>
      <c r="P4267">
        <v>749939</v>
      </c>
    </row>
    <row r="4268" spans="13:16" x14ac:dyDescent="0.3">
      <c r="M4268">
        <v>4266</v>
      </c>
      <c r="N4268">
        <v>363581</v>
      </c>
      <c r="P4268">
        <v>-203379</v>
      </c>
    </row>
    <row r="4269" spans="13:16" x14ac:dyDescent="0.3">
      <c r="M4269">
        <v>4267</v>
      </c>
      <c r="N4269">
        <v>-326028</v>
      </c>
      <c r="P4269">
        <v>268032</v>
      </c>
    </row>
    <row r="4270" spans="13:16" x14ac:dyDescent="0.3">
      <c r="M4270">
        <v>4268</v>
      </c>
      <c r="N4270">
        <v>517911</v>
      </c>
      <c r="P4270">
        <v>-232956</v>
      </c>
    </row>
    <row r="4271" spans="13:16" x14ac:dyDescent="0.3">
      <c r="M4271">
        <v>4269</v>
      </c>
      <c r="N4271">
        <v>-169703</v>
      </c>
      <c r="P4271">
        <v>-195832</v>
      </c>
    </row>
    <row r="4272" spans="13:16" x14ac:dyDescent="0.3">
      <c r="M4272">
        <v>4270</v>
      </c>
      <c r="N4272">
        <v>600258</v>
      </c>
      <c r="P4272">
        <v>1021745</v>
      </c>
    </row>
    <row r="4273" spans="13:16" x14ac:dyDescent="0.3">
      <c r="M4273">
        <v>4271</v>
      </c>
      <c r="N4273">
        <v>91417</v>
      </c>
      <c r="P4273">
        <v>780454</v>
      </c>
    </row>
    <row r="4274" spans="13:16" x14ac:dyDescent="0.3">
      <c r="M4274">
        <v>4272</v>
      </c>
      <c r="N4274">
        <v>-89925</v>
      </c>
      <c r="P4274">
        <v>592613</v>
      </c>
    </row>
    <row r="4275" spans="13:16" x14ac:dyDescent="0.3">
      <c r="M4275">
        <v>4273</v>
      </c>
      <c r="N4275">
        <v>-492180</v>
      </c>
      <c r="P4275">
        <v>935693</v>
      </c>
    </row>
    <row r="4276" spans="13:16" x14ac:dyDescent="0.3">
      <c r="M4276">
        <v>4274</v>
      </c>
      <c r="N4276">
        <v>-266850</v>
      </c>
      <c r="P4276">
        <v>113691</v>
      </c>
    </row>
    <row r="4277" spans="13:16" x14ac:dyDescent="0.3">
      <c r="M4277">
        <v>4275</v>
      </c>
      <c r="N4277">
        <v>-423723</v>
      </c>
      <c r="P4277">
        <v>381477</v>
      </c>
    </row>
    <row r="4278" spans="13:16" x14ac:dyDescent="0.3">
      <c r="M4278">
        <v>4276</v>
      </c>
      <c r="N4278">
        <v>554090</v>
      </c>
      <c r="P4278">
        <v>-210250</v>
      </c>
    </row>
    <row r="4279" spans="13:16" x14ac:dyDescent="0.3">
      <c r="M4279">
        <v>4277</v>
      </c>
      <c r="N4279">
        <v>303828</v>
      </c>
      <c r="P4279">
        <v>-511248</v>
      </c>
    </row>
    <row r="4280" spans="13:16" x14ac:dyDescent="0.3">
      <c r="M4280">
        <v>4278</v>
      </c>
      <c r="N4280">
        <v>826</v>
      </c>
      <c r="P4280">
        <v>-80745</v>
      </c>
    </row>
    <row r="4281" spans="13:16" x14ac:dyDescent="0.3">
      <c r="M4281">
        <v>4279</v>
      </c>
      <c r="N4281">
        <v>-384938</v>
      </c>
      <c r="P4281">
        <v>-42962</v>
      </c>
    </row>
    <row r="4282" spans="13:16" x14ac:dyDescent="0.3">
      <c r="M4282">
        <v>4280</v>
      </c>
      <c r="N4282">
        <v>-536453</v>
      </c>
      <c r="P4282">
        <v>-527086</v>
      </c>
    </row>
    <row r="4283" spans="13:16" x14ac:dyDescent="0.3">
      <c r="M4283">
        <v>4281</v>
      </c>
      <c r="N4283">
        <v>670575</v>
      </c>
      <c r="P4283">
        <v>-715981</v>
      </c>
    </row>
    <row r="4284" spans="13:16" x14ac:dyDescent="0.3">
      <c r="M4284">
        <v>4282</v>
      </c>
      <c r="N4284">
        <v>-115599</v>
      </c>
      <c r="P4284">
        <v>396939</v>
      </c>
    </row>
    <row r="4285" spans="13:16" x14ac:dyDescent="0.3">
      <c r="M4285">
        <v>4283</v>
      </c>
      <c r="N4285">
        <v>-96470</v>
      </c>
      <c r="P4285">
        <v>6387</v>
      </c>
    </row>
    <row r="4286" spans="13:16" x14ac:dyDescent="0.3">
      <c r="M4286">
        <v>4284</v>
      </c>
      <c r="N4286">
        <v>-458766</v>
      </c>
      <c r="P4286">
        <v>-648461</v>
      </c>
    </row>
    <row r="4287" spans="13:16" x14ac:dyDescent="0.3">
      <c r="M4287">
        <v>4285</v>
      </c>
      <c r="N4287">
        <v>-93979</v>
      </c>
      <c r="P4287">
        <v>-80865</v>
      </c>
    </row>
    <row r="4288" spans="13:16" x14ac:dyDescent="0.3">
      <c r="M4288">
        <v>4286</v>
      </c>
      <c r="N4288">
        <v>619492</v>
      </c>
      <c r="P4288">
        <v>-72832</v>
      </c>
    </row>
    <row r="4289" spans="13:16" x14ac:dyDescent="0.3">
      <c r="M4289">
        <v>4287</v>
      </c>
      <c r="N4289">
        <v>-335447</v>
      </c>
      <c r="P4289">
        <v>-313171</v>
      </c>
    </row>
    <row r="4290" spans="13:16" x14ac:dyDescent="0.3">
      <c r="M4290">
        <v>4288</v>
      </c>
      <c r="N4290">
        <v>-634203</v>
      </c>
      <c r="P4290">
        <v>209956</v>
      </c>
    </row>
    <row r="4291" spans="13:16" x14ac:dyDescent="0.3">
      <c r="M4291">
        <v>4289</v>
      </c>
      <c r="N4291">
        <v>-717173</v>
      </c>
      <c r="P4291">
        <v>761483</v>
      </c>
    </row>
    <row r="4292" spans="13:16" x14ac:dyDescent="0.3">
      <c r="M4292">
        <v>4290</v>
      </c>
      <c r="N4292">
        <v>18294</v>
      </c>
      <c r="P4292">
        <v>-446499</v>
      </c>
    </row>
    <row r="4293" spans="13:16" x14ac:dyDescent="0.3">
      <c r="M4293">
        <v>4291</v>
      </c>
      <c r="N4293">
        <v>603577</v>
      </c>
      <c r="P4293">
        <v>194790</v>
      </c>
    </row>
    <row r="4294" spans="13:16" x14ac:dyDescent="0.3">
      <c r="M4294">
        <v>4292</v>
      </c>
      <c r="N4294">
        <v>-639319</v>
      </c>
      <c r="P4294">
        <v>-492131</v>
      </c>
    </row>
    <row r="4295" spans="13:16" x14ac:dyDescent="0.3">
      <c r="M4295">
        <v>4293</v>
      </c>
      <c r="N4295">
        <v>-497750</v>
      </c>
      <c r="P4295">
        <v>-319733</v>
      </c>
    </row>
    <row r="4296" spans="13:16" x14ac:dyDescent="0.3">
      <c r="M4296">
        <v>4294</v>
      </c>
      <c r="N4296">
        <v>300706</v>
      </c>
      <c r="P4296">
        <v>72410</v>
      </c>
    </row>
    <row r="4297" spans="13:16" x14ac:dyDescent="0.3">
      <c r="M4297">
        <v>4295</v>
      </c>
      <c r="N4297">
        <v>533239</v>
      </c>
      <c r="P4297">
        <v>-530249</v>
      </c>
    </row>
    <row r="4298" spans="13:16" x14ac:dyDescent="0.3">
      <c r="M4298">
        <v>4296</v>
      </c>
      <c r="N4298">
        <v>-462560</v>
      </c>
      <c r="P4298">
        <v>-325502</v>
      </c>
    </row>
    <row r="4299" spans="13:16" x14ac:dyDescent="0.3">
      <c r="M4299">
        <v>4297</v>
      </c>
      <c r="N4299">
        <v>-118319</v>
      </c>
      <c r="P4299">
        <v>-36250</v>
      </c>
    </row>
    <row r="4300" spans="13:16" x14ac:dyDescent="0.3">
      <c r="M4300">
        <v>4298</v>
      </c>
      <c r="N4300">
        <v>385763</v>
      </c>
      <c r="P4300">
        <v>240503</v>
      </c>
    </row>
    <row r="4301" spans="13:16" x14ac:dyDescent="0.3">
      <c r="M4301">
        <v>4299</v>
      </c>
      <c r="N4301">
        <v>208473</v>
      </c>
      <c r="P4301">
        <v>-98603</v>
      </c>
    </row>
    <row r="4302" spans="13:16" x14ac:dyDescent="0.3">
      <c r="M4302">
        <v>4300</v>
      </c>
      <c r="N4302">
        <v>-479502</v>
      </c>
      <c r="P4302">
        <v>833081</v>
      </c>
    </row>
    <row r="4303" spans="13:16" x14ac:dyDescent="0.3">
      <c r="M4303">
        <v>4301</v>
      </c>
      <c r="N4303">
        <v>877470</v>
      </c>
      <c r="P4303">
        <v>532982</v>
      </c>
    </row>
    <row r="4304" spans="13:16" x14ac:dyDescent="0.3">
      <c r="M4304">
        <v>4302</v>
      </c>
      <c r="N4304">
        <v>-538328</v>
      </c>
      <c r="P4304">
        <v>520197</v>
      </c>
    </row>
    <row r="4305" spans="13:16" x14ac:dyDescent="0.3">
      <c r="M4305">
        <v>4303</v>
      </c>
      <c r="N4305">
        <v>413097</v>
      </c>
      <c r="P4305">
        <v>737744</v>
      </c>
    </row>
    <row r="4306" spans="13:16" x14ac:dyDescent="0.3">
      <c r="M4306">
        <v>4304</v>
      </c>
      <c r="N4306">
        <v>-337846</v>
      </c>
      <c r="P4306">
        <v>-504980</v>
      </c>
    </row>
    <row r="4307" spans="13:16" x14ac:dyDescent="0.3">
      <c r="M4307">
        <v>4305</v>
      </c>
      <c r="N4307">
        <v>683795</v>
      </c>
      <c r="P4307">
        <v>-214665</v>
      </c>
    </row>
    <row r="4308" spans="13:16" x14ac:dyDescent="0.3">
      <c r="M4308">
        <v>4306</v>
      </c>
      <c r="N4308">
        <v>212275</v>
      </c>
      <c r="P4308">
        <v>-433418</v>
      </c>
    </row>
    <row r="4309" spans="13:16" x14ac:dyDescent="0.3">
      <c r="M4309">
        <v>4307</v>
      </c>
      <c r="N4309">
        <v>792322</v>
      </c>
      <c r="P4309">
        <v>770353</v>
      </c>
    </row>
    <row r="4310" spans="13:16" x14ac:dyDescent="0.3">
      <c r="M4310">
        <v>4308</v>
      </c>
      <c r="N4310">
        <v>-204831</v>
      </c>
      <c r="P4310">
        <v>324126</v>
      </c>
    </row>
    <row r="4311" spans="13:16" x14ac:dyDescent="0.3">
      <c r="M4311">
        <v>4309</v>
      </c>
      <c r="N4311">
        <v>217582</v>
      </c>
      <c r="P4311">
        <v>172950</v>
      </c>
    </row>
    <row r="4312" spans="13:16" x14ac:dyDescent="0.3">
      <c r="M4312">
        <v>4310</v>
      </c>
      <c r="N4312">
        <v>-24721</v>
      </c>
      <c r="P4312">
        <v>399920</v>
      </c>
    </row>
    <row r="4313" spans="13:16" x14ac:dyDescent="0.3">
      <c r="M4313">
        <v>4311</v>
      </c>
      <c r="N4313">
        <v>-151850</v>
      </c>
      <c r="P4313">
        <v>-198905</v>
      </c>
    </row>
    <row r="4314" spans="13:16" x14ac:dyDescent="0.3">
      <c r="M4314">
        <v>4312</v>
      </c>
      <c r="N4314">
        <v>-406130</v>
      </c>
      <c r="P4314">
        <v>585388</v>
      </c>
    </row>
    <row r="4315" spans="13:16" x14ac:dyDescent="0.3">
      <c r="M4315">
        <v>4313</v>
      </c>
      <c r="N4315">
        <v>-360123</v>
      </c>
      <c r="P4315">
        <v>436287</v>
      </c>
    </row>
    <row r="4316" spans="13:16" x14ac:dyDescent="0.3">
      <c r="M4316">
        <v>4314</v>
      </c>
      <c r="N4316">
        <v>-349627</v>
      </c>
      <c r="P4316">
        <v>-425523</v>
      </c>
    </row>
    <row r="4317" spans="13:16" x14ac:dyDescent="0.3">
      <c r="M4317">
        <v>4315</v>
      </c>
      <c r="N4317">
        <v>410552</v>
      </c>
      <c r="P4317">
        <v>182091</v>
      </c>
    </row>
    <row r="4318" spans="13:16" x14ac:dyDescent="0.3">
      <c r="M4318">
        <v>4316</v>
      </c>
      <c r="N4318">
        <v>233514</v>
      </c>
      <c r="P4318">
        <v>-406969</v>
      </c>
    </row>
    <row r="4319" spans="13:16" x14ac:dyDescent="0.3">
      <c r="M4319">
        <v>4317</v>
      </c>
      <c r="N4319">
        <v>478973</v>
      </c>
      <c r="P4319">
        <v>-401570</v>
      </c>
    </row>
    <row r="4320" spans="13:16" x14ac:dyDescent="0.3">
      <c r="M4320">
        <v>4318</v>
      </c>
      <c r="N4320">
        <v>279588</v>
      </c>
      <c r="P4320">
        <v>-470408</v>
      </c>
    </row>
    <row r="4321" spans="13:16" x14ac:dyDescent="0.3">
      <c r="M4321">
        <v>4319</v>
      </c>
      <c r="N4321">
        <v>283613</v>
      </c>
      <c r="P4321">
        <v>340767</v>
      </c>
    </row>
    <row r="4322" spans="13:16" x14ac:dyDescent="0.3">
      <c r="M4322">
        <v>4320</v>
      </c>
      <c r="N4322">
        <v>598110</v>
      </c>
      <c r="P4322">
        <v>-708140</v>
      </c>
    </row>
    <row r="4323" spans="13:16" x14ac:dyDescent="0.3">
      <c r="M4323">
        <v>4321</v>
      </c>
      <c r="N4323">
        <v>138101</v>
      </c>
      <c r="P4323">
        <v>-687930</v>
      </c>
    </row>
    <row r="4324" spans="13:16" x14ac:dyDescent="0.3">
      <c r="M4324">
        <v>4322</v>
      </c>
      <c r="N4324">
        <v>-153260</v>
      </c>
      <c r="P4324">
        <v>380563</v>
      </c>
    </row>
    <row r="4325" spans="13:16" x14ac:dyDescent="0.3">
      <c r="M4325">
        <v>4323</v>
      </c>
      <c r="N4325">
        <v>-670714</v>
      </c>
      <c r="P4325">
        <v>-555563</v>
      </c>
    </row>
    <row r="4326" spans="13:16" x14ac:dyDescent="0.3">
      <c r="M4326">
        <v>4324</v>
      </c>
      <c r="N4326">
        <v>681250</v>
      </c>
      <c r="P4326">
        <v>299429</v>
      </c>
    </row>
    <row r="4327" spans="13:16" x14ac:dyDescent="0.3">
      <c r="M4327">
        <v>4325</v>
      </c>
      <c r="N4327">
        <v>55699</v>
      </c>
      <c r="P4327">
        <v>900499</v>
      </c>
    </row>
    <row r="4328" spans="13:16" x14ac:dyDescent="0.3">
      <c r="M4328">
        <v>4326</v>
      </c>
      <c r="N4328">
        <v>-482990</v>
      </c>
      <c r="P4328">
        <v>-316131</v>
      </c>
    </row>
    <row r="4329" spans="13:16" x14ac:dyDescent="0.3">
      <c r="M4329">
        <v>4327</v>
      </c>
      <c r="N4329">
        <v>-703424</v>
      </c>
      <c r="P4329">
        <v>-607267</v>
      </c>
    </row>
    <row r="4330" spans="13:16" x14ac:dyDescent="0.3">
      <c r="M4330">
        <v>4328</v>
      </c>
      <c r="N4330">
        <v>246420</v>
      </c>
      <c r="P4330">
        <v>-230504</v>
      </c>
    </row>
    <row r="4331" spans="13:16" x14ac:dyDescent="0.3">
      <c r="M4331">
        <v>4329</v>
      </c>
      <c r="N4331">
        <v>-286430</v>
      </c>
      <c r="P4331">
        <v>218616</v>
      </c>
    </row>
    <row r="4332" spans="13:16" x14ac:dyDescent="0.3">
      <c r="M4332">
        <v>4330</v>
      </c>
      <c r="N4332">
        <v>-243953</v>
      </c>
      <c r="P4332">
        <v>-450174</v>
      </c>
    </row>
    <row r="4333" spans="13:16" x14ac:dyDescent="0.3">
      <c r="M4333">
        <v>4331</v>
      </c>
      <c r="N4333">
        <v>606111</v>
      </c>
      <c r="P4333">
        <v>771033</v>
      </c>
    </row>
    <row r="4334" spans="13:16" x14ac:dyDescent="0.3">
      <c r="M4334">
        <v>4332</v>
      </c>
      <c r="N4334">
        <v>-278112</v>
      </c>
      <c r="P4334">
        <v>709361</v>
      </c>
    </row>
    <row r="4335" spans="13:16" x14ac:dyDescent="0.3">
      <c r="M4335">
        <v>4333</v>
      </c>
      <c r="N4335">
        <v>-185536</v>
      </c>
      <c r="P4335">
        <v>-187580</v>
      </c>
    </row>
    <row r="4336" spans="13:16" x14ac:dyDescent="0.3">
      <c r="M4336">
        <v>4334</v>
      </c>
      <c r="N4336">
        <v>262810</v>
      </c>
      <c r="P4336">
        <v>49179</v>
      </c>
    </row>
    <row r="4337" spans="13:16" x14ac:dyDescent="0.3">
      <c r="M4337">
        <v>4335</v>
      </c>
      <c r="N4337">
        <v>-89973</v>
      </c>
      <c r="P4337">
        <v>329762</v>
      </c>
    </row>
    <row r="4338" spans="13:16" x14ac:dyDescent="0.3">
      <c r="M4338">
        <v>4336</v>
      </c>
      <c r="N4338">
        <v>-28841</v>
      </c>
      <c r="P4338">
        <v>688114</v>
      </c>
    </row>
    <row r="4339" spans="13:16" x14ac:dyDescent="0.3">
      <c r="M4339">
        <v>4337</v>
      </c>
      <c r="N4339">
        <v>989761</v>
      </c>
      <c r="P4339">
        <v>-740050</v>
      </c>
    </row>
    <row r="4340" spans="13:16" x14ac:dyDescent="0.3">
      <c r="M4340">
        <v>4338</v>
      </c>
      <c r="N4340">
        <v>-610914</v>
      </c>
      <c r="P4340">
        <v>525154</v>
      </c>
    </row>
    <row r="4341" spans="13:16" x14ac:dyDescent="0.3">
      <c r="M4341">
        <v>4339</v>
      </c>
      <c r="N4341">
        <v>-222735</v>
      </c>
      <c r="P4341">
        <v>827059</v>
      </c>
    </row>
    <row r="4342" spans="13:16" x14ac:dyDescent="0.3">
      <c r="M4342">
        <v>4340</v>
      </c>
      <c r="N4342">
        <v>351120</v>
      </c>
      <c r="P4342">
        <v>-338161</v>
      </c>
    </row>
    <row r="4343" spans="13:16" x14ac:dyDescent="0.3">
      <c r="M4343">
        <v>4341</v>
      </c>
      <c r="N4343">
        <v>537291</v>
      </c>
      <c r="P4343">
        <v>848029</v>
      </c>
    </row>
    <row r="4344" spans="13:16" x14ac:dyDescent="0.3">
      <c r="M4344">
        <v>4342</v>
      </c>
      <c r="N4344">
        <v>600955</v>
      </c>
      <c r="P4344">
        <v>-338631</v>
      </c>
    </row>
    <row r="4345" spans="13:16" x14ac:dyDescent="0.3">
      <c r="M4345">
        <v>4343</v>
      </c>
      <c r="N4345">
        <v>-262775</v>
      </c>
      <c r="P4345">
        <v>-770590</v>
      </c>
    </row>
    <row r="4346" spans="13:16" x14ac:dyDescent="0.3">
      <c r="M4346">
        <v>4344</v>
      </c>
      <c r="N4346">
        <v>-152982</v>
      </c>
      <c r="P4346">
        <v>463560</v>
      </c>
    </row>
    <row r="4347" spans="13:16" x14ac:dyDescent="0.3">
      <c r="M4347">
        <v>4345</v>
      </c>
      <c r="N4347">
        <v>-133598</v>
      </c>
      <c r="P4347">
        <v>-213541</v>
      </c>
    </row>
    <row r="4348" spans="13:16" x14ac:dyDescent="0.3">
      <c r="M4348">
        <v>4346</v>
      </c>
      <c r="N4348">
        <v>-423052</v>
      </c>
      <c r="P4348">
        <v>191740</v>
      </c>
    </row>
    <row r="4349" spans="13:16" x14ac:dyDescent="0.3">
      <c r="M4349">
        <v>4347</v>
      </c>
      <c r="N4349">
        <v>169439</v>
      </c>
      <c r="P4349">
        <v>350089</v>
      </c>
    </row>
    <row r="4350" spans="13:16" x14ac:dyDescent="0.3">
      <c r="M4350">
        <v>4348</v>
      </c>
      <c r="N4350">
        <v>973864</v>
      </c>
      <c r="P4350">
        <v>-79757</v>
      </c>
    </row>
    <row r="4351" spans="13:16" x14ac:dyDescent="0.3">
      <c r="M4351">
        <v>4349</v>
      </c>
      <c r="N4351">
        <v>-101038</v>
      </c>
      <c r="P4351">
        <v>-139656</v>
      </c>
    </row>
    <row r="4352" spans="13:16" x14ac:dyDescent="0.3">
      <c r="M4352">
        <v>4350</v>
      </c>
      <c r="N4352">
        <v>179410</v>
      </c>
      <c r="P4352">
        <v>-122986</v>
      </c>
    </row>
    <row r="4353" spans="13:16" x14ac:dyDescent="0.3">
      <c r="M4353">
        <v>4351</v>
      </c>
      <c r="N4353">
        <v>-505230</v>
      </c>
      <c r="P4353">
        <v>671382</v>
      </c>
    </row>
    <row r="4354" spans="13:16" x14ac:dyDescent="0.3">
      <c r="M4354">
        <v>4352</v>
      </c>
      <c r="N4354">
        <v>676640</v>
      </c>
      <c r="P4354">
        <v>118676</v>
      </c>
    </row>
    <row r="4355" spans="13:16" x14ac:dyDescent="0.3">
      <c r="M4355">
        <v>4353</v>
      </c>
      <c r="N4355">
        <v>-296431</v>
      </c>
      <c r="P4355">
        <v>-503102</v>
      </c>
    </row>
    <row r="4356" spans="13:16" x14ac:dyDescent="0.3">
      <c r="M4356">
        <v>4354</v>
      </c>
      <c r="N4356">
        <v>127704</v>
      </c>
      <c r="P4356">
        <v>521796</v>
      </c>
    </row>
    <row r="4357" spans="13:16" x14ac:dyDescent="0.3">
      <c r="M4357">
        <v>4355</v>
      </c>
      <c r="N4357">
        <v>-69140</v>
      </c>
      <c r="P4357">
        <v>703867</v>
      </c>
    </row>
    <row r="4358" spans="13:16" x14ac:dyDescent="0.3">
      <c r="M4358">
        <v>4356</v>
      </c>
      <c r="N4358">
        <v>517826</v>
      </c>
      <c r="P4358">
        <v>-450792</v>
      </c>
    </row>
    <row r="4359" spans="13:16" x14ac:dyDescent="0.3">
      <c r="M4359">
        <v>4357</v>
      </c>
      <c r="N4359">
        <v>-318267</v>
      </c>
      <c r="P4359">
        <v>-48812</v>
      </c>
    </row>
    <row r="4360" spans="13:16" x14ac:dyDescent="0.3">
      <c r="M4360">
        <v>4358</v>
      </c>
      <c r="N4360">
        <v>472497</v>
      </c>
      <c r="P4360">
        <v>-104018</v>
      </c>
    </row>
    <row r="4361" spans="13:16" x14ac:dyDescent="0.3">
      <c r="M4361">
        <v>4359</v>
      </c>
      <c r="N4361">
        <v>-655699</v>
      </c>
      <c r="P4361">
        <v>595690</v>
      </c>
    </row>
    <row r="4362" spans="13:16" x14ac:dyDescent="0.3">
      <c r="M4362">
        <v>4360</v>
      </c>
      <c r="N4362">
        <v>140068</v>
      </c>
      <c r="P4362">
        <v>-359681</v>
      </c>
    </row>
    <row r="4363" spans="13:16" x14ac:dyDescent="0.3">
      <c r="M4363">
        <v>4361</v>
      </c>
      <c r="N4363">
        <v>129995</v>
      </c>
      <c r="P4363">
        <v>-339950</v>
      </c>
    </row>
    <row r="4364" spans="13:16" x14ac:dyDescent="0.3">
      <c r="M4364">
        <v>4362</v>
      </c>
      <c r="N4364">
        <v>-9778</v>
      </c>
      <c r="P4364">
        <v>-142647</v>
      </c>
    </row>
    <row r="4365" spans="13:16" x14ac:dyDescent="0.3">
      <c r="M4365">
        <v>4363</v>
      </c>
      <c r="N4365">
        <v>-256639</v>
      </c>
      <c r="P4365">
        <v>-352541</v>
      </c>
    </row>
    <row r="4366" spans="13:16" x14ac:dyDescent="0.3">
      <c r="M4366">
        <v>4364</v>
      </c>
      <c r="N4366">
        <v>499449</v>
      </c>
      <c r="P4366">
        <v>799755</v>
      </c>
    </row>
    <row r="4367" spans="13:16" x14ac:dyDescent="0.3">
      <c r="M4367">
        <v>4365</v>
      </c>
      <c r="N4367">
        <v>-203411</v>
      </c>
      <c r="P4367">
        <v>-492092</v>
      </c>
    </row>
    <row r="4368" spans="13:16" x14ac:dyDescent="0.3">
      <c r="M4368">
        <v>4366</v>
      </c>
      <c r="N4368">
        <v>727675</v>
      </c>
      <c r="P4368">
        <v>769473</v>
      </c>
    </row>
    <row r="4369" spans="13:16" x14ac:dyDescent="0.3">
      <c r="M4369">
        <v>4367</v>
      </c>
      <c r="N4369">
        <v>-25216</v>
      </c>
      <c r="P4369">
        <v>323693</v>
      </c>
    </row>
    <row r="4370" spans="13:16" x14ac:dyDescent="0.3">
      <c r="M4370">
        <v>4368</v>
      </c>
      <c r="N4370">
        <v>-666696</v>
      </c>
      <c r="P4370">
        <v>335742</v>
      </c>
    </row>
    <row r="4371" spans="13:16" x14ac:dyDescent="0.3">
      <c r="M4371">
        <v>4369</v>
      </c>
      <c r="N4371">
        <v>-71497</v>
      </c>
      <c r="P4371">
        <v>488478</v>
      </c>
    </row>
    <row r="4372" spans="13:16" x14ac:dyDescent="0.3">
      <c r="M4372">
        <v>4370</v>
      </c>
      <c r="N4372">
        <v>9104</v>
      </c>
      <c r="P4372">
        <v>-629504</v>
      </c>
    </row>
    <row r="4373" spans="13:16" x14ac:dyDescent="0.3">
      <c r="M4373">
        <v>4371</v>
      </c>
      <c r="N4373">
        <v>-388838</v>
      </c>
      <c r="P4373">
        <v>-181657</v>
      </c>
    </row>
    <row r="4374" spans="13:16" x14ac:dyDescent="0.3">
      <c r="M4374">
        <v>4372</v>
      </c>
      <c r="N4374">
        <v>-175252</v>
      </c>
      <c r="P4374">
        <v>-541916</v>
      </c>
    </row>
    <row r="4375" spans="13:16" x14ac:dyDescent="0.3">
      <c r="M4375">
        <v>4373</v>
      </c>
      <c r="N4375">
        <v>-109686</v>
      </c>
      <c r="P4375">
        <v>82008</v>
      </c>
    </row>
    <row r="4376" spans="13:16" x14ac:dyDescent="0.3">
      <c r="M4376">
        <v>4374</v>
      </c>
      <c r="N4376">
        <v>-702620</v>
      </c>
      <c r="P4376">
        <v>37479</v>
      </c>
    </row>
    <row r="4377" spans="13:16" x14ac:dyDescent="0.3">
      <c r="M4377">
        <v>4375</v>
      </c>
      <c r="N4377">
        <v>-307065</v>
      </c>
      <c r="P4377">
        <v>-125323</v>
      </c>
    </row>
    <row r="4378" spans="13:16" x14ac:dyDescent="0.3">
      <c r="M4378">
        <v>4376</v>
      </c>
      <c r="N4378">
        <v>146531</v>
      </c>
      <c r="P4378">
        <v>-11883</v>
      </c>
    </row>
    <row r="4379" spans="13:16" x14ac:dyDescent="0.3">
      <c r="M4379">
        <v>4377</v>
      </c>
      <c r="N4379">
        <v>-91131</v>
      </c>
      <c r="P4379">
        <v>359881</v>
      </c>
    </row>
    <row r="4380" spans="13:16" x14ac:dyDescent="0.3">
      <c r="M4380">
        <v>4378</v>
      </c>
      <c r="N4380">
        <v>-86329</v>
      </c>
      <c r="P4380">
        <v>-144601</v>
      </c>
    </row>
    <row r="4381" spans="13:16" x14ac:dyDescent="0.3">
      <c r="M4381">
        <v>4379</v>
      </c>
      <c r="N4381">
        <v>-576533</v>
      </c>
      <c r="P4381">
        <v>-521285</v>
      </c>
    </row>
    <row r="4382" spans="13:16" x14ac:dyDescent="0.3">
      <c r="M4382">
        <v>4380</v>
      </c>
      <c r="N4382">
        <v>691332</v>
      </c>
      <c r="P4382">
        <v>-743686</v>
      </c>
    </row>
    <row r="4383" spans="13:16" x14ac:dyDescent="0.3">
      <c r="M4383">
        <v>4381</v>
      </c>
      <c r="N4383">
        <v>84434</v>
      </c>
      <c r="P4383">
        <v>112910</v>
      </c>
    </row>
    <row r="4384" spans="13:16" x14ac:dyDescent="0.3">
      <c r="M4384">
        <v>4382</v>
      </c>
      <c r="N4384">
        <v>214345</v>
      </c>
      <c r="P4384">
        <v>438724</v>
      </c>
    </row>
    <row r="4385" spans="13:16" x14ac:dyDescent="0.3">
      <c r="M4385">
        <v>4383</v>
      </c>
      <c r="N4385">
        <v>452864</v>
      </c>
      <c r="P4385">
        <v>312544</v>
      </c>
    </row>
    <row r="4386" spans="13:16" x14ac:dyDescent="0.3">
      <c r="M4386">
        <v>4384</v>
      </c>
      <c r="N4386">
        <v>22980</v>
      </c>
      <c r="P4386">
        <v>-718760</v>
      </c>
    </row>
    <row r="4387" spans="13:16" x14ac:dyDescent="0.3">
      <c r="M4387">
        <v>4385</v>
      </c>
      <c r="N4387">
        <v>-163216</v>
      </c>
      <c r="P4387">
        <v>-459416</v>
      </c>
    </row>
    <row r="4388" spans="13:16" x14ac:dyDescent="0.3">
      <c r="M4388">
        <v>4386</v>
      </c>
      <c r="N4388">
        <v>98420</v>
      </c>
      <c r="P4388">
        <v>-715895</v>
      </c>
    </row>
    <row r="4389" spans="13:16" x14ac:dyDescent="0.3">
      <c r="M4389">
        <v>4387</v>
      </c>
      <c r="N4389">
        <v>337107</v>
      </c>
      <c r="P4389">
        <v>-632382</v>
      </c>
    </row>
    <row r="4390" spans="13:16" x14ac:dyDescent="0.3">
      <c r="M4390">
        <v>4388</v>
      </c>
      <c r="N4390">
        <v>693847</v>
      </c>
      <c r="P4390">
        <v>214197</v>
      </c>
    </row>
    <row r="4391" spans="13:16" x14ac:dyDescent="0.3">
      <c r="M4391">
        <v>4389</v>
      </c>
      <c r="N4391">
        <v>-66365</v>
      </c>
      <c r="P4391">
        <v>491985</v>
      </c>
    </row>
    <row r="4392" spans="13:16" x14ac:dyDescent="0.3">
      <c r="M4392">
        <v>4390</v>
      </c>
      <c r="N4392">
        <v>-103492</v>
      </c>
      <c r="P4392">
        <v>-486461</v>
      </c>
    </row>
    <row r="4393" spans="13:16" x14ac:dyDescent="0.3">
      <c r="M4393">
        <v>4391</v>
      </c>
      <c r="N4393">
        <v>994394</v>
      </c>
      <c r="P4393">
        <v>-11454</v>
      </c>
    </row>
    <row r="4394" spans="13:16" x14ac:dyDescent="0.3">
      <c r="M4394">
        <v>4392</v>
      </c>
      <c r="N4394">
        <v>706628</v>
      </c>
      <c r="P4394">
        <v>670343</v>
      </c>
    </row>
    <row r="4395" spans="13:16" x14ac:dyDescent="0.3">
      <c r="M4395">
        <v>4393</v>
      </c>
      <c r="N4395">
        <v>806310</v>
      </c>
      <c r="P4395">
        <v>175014</v>
      </c>
    </row>
    <row r="4396" spans="13:16" x14ac:dyDescent="0.3">
      <c r="M4396">
        <v>4394</v>
      </c>
      <c r="N4396">
        <v>-419535</v>
      </c>
      <c r="P4396">
        <v>-35964</v>
      </c>
    </row>
    <row r="4397" spans="13:16" x14ac:dyDescent="0.3">
      <c r="M4397">
        <v>4395</v>
      </c>
      <c r="N4397">
        <v>-342645</v>
      </c>
      <c r="P4397">
        <v>642821</v>
      </c>
    </row>
    <row r="4398" spans="13:16" x14ac:dyDescent="0.3">
      <c r="M4398">
        <v>4396</v>
      </c>
      <c r="N4398">
        <v>-94172</v>
      </c>
      <c r="P4398">
        <v>-368579</v>
      </c>
    </row>
    <row r="4399" spans="13:16" x14ac:dyDescent="0.3">
      <c r="M4399">
        <v>4397</v>
      </c>
      <c r="N4399">
        <v>755461</v>
      </c>
      <c r="P4399">
        <v>520644</v>
      </c>
    </row>
    <row r="4400" spans="13:16" x14ac:dyDescent="0.3">
      <c r="M4400">
        <v>4398</v>
      </c>
      <c r="N4400">
        <v>755205</v>
      </c>
      <c r="P4400">
        <v>389559</v>
      </c>
    </row>
    <row r="4401" spans="13:16" x14ac:dyDescent="0.3">
      <c r="M4401">
        <v>4399</v>
      </c>
      <c r="N4401">
        <v>-84741</v>
      </c>
      <c r="P4401">
        <v>-736656</v>
      </c>
    </row>
    <row r="4402" spans="13:16" x14ac:dyDescent="0.3">
      <c r="M4402">
        <v>4400</v>
      </c>
      <c r="N4402">
        <v>27413</v>
      </c>
      <c r="P4402">
        <v>-681325</v>
      </c>
    </row>
    <row r="4403" spans="13:16" x14ac:dyDescent="0.3">
      <c r="M4403">
        <v>4401</v>
      </c>
      <c r="N4403">
        <v>-643800</v>
      </c>
      <c r="P4403">
        <v>335220</v>
      </c>
    </row>
    <row r="4404" spans="13:16" x14ac:dyDescent="0.3">
      <c r="M4404">
        <v>4402</v>
      </c>
      <c r="N4404">
        <v>-298573</v>
      </c>
      <c r="P4404">
        <v>-56845</v>
      </c>
    </row>
    <row r="4405" spans="13:16" x14ac:dyDescent="0.3">
      <c r="M4405">
        <v>4403</v>
      </c>
      <c r="N4405">
        <v>531612</v>
      </c>
      <c r="P4405">
        <v>243387</v>
      </c>
    </row>
    <row r="4406" spans="13:16" x14ac:dyDescent="0.3">
      <c r="M4406">
        <v>4404</v>
      </c>
      <c r="N4406">
        <v>-574592</v>
      </c>
      <c r="P4406">
        <v>601507</v>
      </c>
    </row>
    <row r="4407" spans="13:16" x14ac:dyDescent="0.3">
      <c r="M4407">
        <v>4405</v>
      </c>
      <c r="N4407">
        <v>-488225</v>
      </c>
      <c r="P4407">
        <v>190081</v>
      </c>
    </row>
    <row r="4408" spans="13:16" x14ac:dyDescent="0.3">
      <c r="M4408">
        <v>4406</v>
      </c>
      <c r="N4408">
        <v>-302410</v>
      </c>
      <c r="P4408">
        <v>-703592</v>
      </c>
    </row>
    <row r="4409" spans="13:16" x14ac:dyDescent="0.3">
      <c r="M4409">
        <v>4407</v>
      </c>
      <c r="N4409">
        <v>294378</v>
      </c>
      <c r="P4409">
        <v>155905</v>
      </c>
    </row>
    <row r="4410" spans="13:16" x14ac:dyDescent="0.3">
      <c r="M4410">
        <v>4408</v>
      </c>
      <c r="N4410">
        <v>556567</v>
      </c>
      <c r="P4410">
        <v>434844</v>
      </c>
    </row>
    <row r="4411" spans="13:16" x14ac:dyDescent="0.3">
      <c r="M4411">
        <v>4409</v>
      </c>
      <c r="N4411">
        <v>-133230</v>
      </c>
      <c r="P4411">
        <v>-310579</v>
      </c>
    </row>
    <row r="4412" spans="13:16" x14ac:dyDescent="0.3">
      <c r="M4412">
        <v>4410</v>
      </c>
      <c r="N4412">
        <v>953508</v>
      </c>
      <c r="P4412">
        <v>131368</v>
      </c>
    </row>
    <row r="4413" spans="13:16" x14ac:dyDescent="0.3">
      <c r="M4413">
        <v>4411</v>
      </c>
      <c r="N4413">
        <v>612310</v>
      </c>
      <c r="P4413">
        <v>-511387</v>
      </c>
    </row>
    <row r="4414" spans="13:16" x14ac:dyDescent="0.3">
      <c r="M4414">
        <v>4412</v>
      </c>
      <c r="N4414">
        <v>-159307</v>
      </c>
      <c r="P4414">
        <v>-435833</v>
      </c>
    </row>
    <row r="4415" spans="13:16" x14ac:dyDescent="0.3">
      <c r="M4415">
        <v>4413</v>
      </c>
      <c r="N4415">
        <v>161933</v>
      </c>
      <c r="P4415">
        <v>285220</v>
      </c>
    </row>
    <row r="4416" spans="13:16" x14ac:dyDescent="0.3">
      <c r="M4416">
        <v>4414</v>
      </c>
      <c r="N4416">
        <v>194134</v>
      </c>
      <c r="P4416">
        <v>-384164</v>
      </c>
    </row>
    <row r="4417" spans="13:16" x14ac:dyDescent="0.3">
      <c r="M4417">
        <v>4415</v>
      </c>
      <c r="N4417">
        <v>-530366</v>
      </c>
      <c r="P4417">
        <v>938911</v>
      </c>
    </row>
    <row r="4418" spans="13:16" x14ac:dyDescent="0.3">
      <c r="M4418">
        <v>4416</v>
      </c>
      <c r="N4418">
        <v>-448741</v>
      </c>
      <c r="P4418">
        <v>916448</v>
      </c>
    </row>
    <row r="4419" spans="13:16" x14ac:dyDescent="0.3">
      <c r="M4419">
        <v>4417</v>
      </c>
      <c r="N4419">
        <v>242269</v>
      </c>
      <c r="P4419">
        <v>1124750</v>
      </c>
    </row>
    <row r="4420" spans="13:16" x14ac:dyDescent="0.3">
      <c r="M4420">
        <v>4418</v>
      </c>
      <c r="N4420">
        <v>505952</v>
      </c>
      <c r="P4420">
        <v>454688</v>
      </c>
    </row>
    <row r="4421" spans="13:16" x14ac:dyDescent="0.3">
      <c r="M4421">
        <v>4419</v>
      </c>
      <c r="N4421">
        <v>240683</v>
      </c>
      <c r="P4421">
        <v>398943</v>
      </c>
    </row>
    <row r="4422" spans="13:16" x14ac:dyDescent="0.3">
      <c r="M4422">
        <v>4420</v>
      </c>
      <c r="N4422">
        <v>-601229</v>
      </c>
      <c r="P4422">
        <v>498709</v>
      </c>
    </row>
    <row r="4423" spans="13:16" x14ac:dyDescent="0.3">
      <c r="M4423">
        <v>4421</v>
      </c>
      <c r="N4423">
        <v>-106800</v>
      </c>
      <c r="P4423">
        <v>196176</v>
      </c>
    </row>
    <row r="4424" spans="13:16" x14ac:dyDescent="0.3">
      <c r="M4424">
        <v>4422</v>
      </c>
      <c r="N4424">
        <v>-134982</v>
      </c>
      <c r="P4424">
        <v>370647</v>
      </c>
    </row>
    <row r="4425" spans="13:16" x14ac:dyDescent="0.3">
      <c r="M4425">
        <v>4423</v>
      </c>
      <c r="N4425">
        <v>473768</v>
      </c>
      <c r="P4425">
        <v>155128</v>
      </c>
    </row>
    <row r="4426" spans="13:16" x14ac:dyDescent="0.3">
      <c r="M4426">
        <v>4424</v>
      </c>
      <c r="N4426">
        <v>288672</v>
      </c>
      <c r="P4426">
        <v>52874</v>
      </c>
    </row>
    <row r="4427" spans="13:16" x14ac:dyDescent="0.3">
      <c r="M4427">
        <v>4425</v>
      </c>
      <c r="N4427">
        <v>620488</v>
      </c>
      <c r="P4427">
        <v>850832</v>
      </c>
    </row>
    <row r="4428" spans="13:16" x14ac:dyDescent="0.3">
      <c r="M4428">
        <v>4426</v>
      </c>
      <c r="N4428">
        <v>579319</v>
      </c>
      <c r="P4428">
        <v>-543959</v>
      </c>
    </row>
    <row r="4429" spans="13:16" x14ac:dyDescent="0.3">
      <c r="M4429">
        <v>4427</v>
      </c>
      <c r="N4429">
        <v>350739</v>
      </c>
      <c r="P4429">
        <v>-423605</v>
      </c>
    </row>
    <row r="4430" spans="13:16" x14ac:dyDescent="0.3">
      <c r="M4430">
        <v>4428</v>
      </c>
      <c r="N4430">
        <v>-10278</v>
      </c>
      <c r="P4430">
        <v>-170804</v>
      </c>
    </row>
    <row r="4431" spans="13:16" x14ac:dyDescent="0.3">
      <c r="M4431">
        <v>4429</v>
      </c>
      <c r="N4431">
        <v>252563</v>
      </c>
      <c r="P4431">
        <v>-543399</v>
      </c>
    </row>
    <row r="4432" spans="13:16" x14ac:dyDescent="0.3">
      <c r="M4432">
        <v>4430</v>
      </c>
      <c r="N4432">
        <v>-278788</v>
      </c>
      <c r="P4432">
        <v>-107289</v>
      </c>
    </row>
    <row r="4433" spans="13:16" x14ac:dyDescent="0.3">
      <c r="M4433">
        <v>4431</v>
      </c>
      <c r="N4433">
        <v>330335</v>
      </c>
      <c r="P4433">
        <v>-325916</v>
      </c>
    </row>
    <row r="4434" spans="13:16" x14ac:dyDescent="0.3">
      <c r="M4434">
        <v>4432</v>
      </c>
      <c r="N4434">
        <v>196655</v>
      </c>
      <c r="P4434">
        <v>561827</v>
      </c>
    </row>
    <row r="4435" spans="13:16" x14ac:dyDescent="0.3">
      <c r="M4435">
        <v>4433</v>
      </c>
      <c r="N4435">
        <v>300495</v>
      </c>
      <c r="P4435">
        <v>68551</v>
      </c>
    </row>
    <row r="4436" spans="13:16" x14ac:dyDescent="0.3">
      <c r="M4436">
        <v>4434</v>
      </c>
      <c r="N4436">
        <v>-458690</v>
      </c>
      <c r="P4436">
        <v>887547</v>
      </c>
    </row>
    <row r="4437" spans="13:16" x14ac:dyDescent="0.3">
      <c r="M4437">
        <v>4435</v>
      </c>
      <c r="N4437">
        <v>-671325</v>
      </c>
      <c r="P4437">
        <v>698803</v>
      </c>
    </row>
    <row r="4438" spans="13:16" x14ac:dyDescent="0.3">
      <c r="M4438">
        <v>4436</v>
      </c>
      <c r="N4438">
        <v>-743106</v>
      </c>
      <c r="P4438">
        <v>-31512</v>
      </c>
    </row>
    <row r="4439" spans="13:16" x14ac:dyDescent="0.3">
      <c r="M4439">
        <v>4437</v>
      </c>
      <c r="N4439">
        <v>457082</v>
      </c>
      <c r="P4439">
        <v>638328</v>
      </c>
    </row>
    <row r="4440" spans="13:16" x14ac:dyDescent="0.3">
      <c r="M4440">
        <v>4438</v>
      </c>
      <c r="N4440">
        <v>-218475</v>
      </c>
      <c r="P4440">
        <v>-225660</v>
      </c>
    </row>
    <row r="4441" spans="13:16" x14ac:dyDescent="0.3">
      <c r="M4441">
        <v>4439</v>
      </c>
      <c r="N4441">
        <v>487556</v>
      </c>
      <c r="P4441">
        <v>-156447</v>
      </c>
    </row>
    <row r="4442" spans="13:16" x14ac:dyDescent="0.3">
      <c r="M4442">
        <v>4440</v>
      </c>
      <c r="N4442">
        <v>196278</v>
      </c>
      <c r="P4442">
        <v>-429956</v>
      </c>
    </row>
    <row r="4443" spans="13:16" x14ac:dyDescent="0.3">
      <c r="M4443">
        <v>4441</v>
      </c>
      <c r="N4443">
        <v>-219503</v>
      </c>
      <c r="P4443">
        <v>-472146</v>
      </c>
    </row>
    <row r="4444" spans="13:16" x14ac:dyDescent="0.3">
      <c r="M4444">
        <v>4442</v>
      </c>
      <c r="N4444">
        <v>-484113</v>
      </c>
      <c r="P4444">
        <v>499655</v>
      </c>
    </row>
    <row r="4445" spans="13:16" x14ac:dyDescent="0.3">
      <c r="M4445">
        <v>4443</v>
      </c>
      <c r="N4445">
        <v>-189003</v>
      </c>
      <c r="P4445">
        <v>-267175</v>
      </c>
    </row>
    <row r="4446" spans="13:16" x14ac:dyDescent="0.3">
      <c r="M4446">
        <v>4444</v>
      </c>
      <c r="N4446">
        <v>88189</v>
      </c>
      <c r="P4446">
        <v>342212</v>
      </c>
    </row>
    <row r="4447" spans="13:16" x14ac:dyDescent="0.3">
      <c r="M4447">
        <v>4445</v>
      </c>
      <c r="N4447">
        <v>-666807</v>
      </c>
      <c r="P4447">
        <v>106580</v>
      </c>
    </row>
    <row r="4448" spans="13:16" x14ac:dyDescent="0.3">
      <c r="M4448">
        <v>4446</v>
      </c>
      <c r="N4448">
        <v>497268</v>
      </c>
      <c r="P4448">
        <v>255182</v>
      </c>
    </row>
    <row r="4449" spans="13:16" x14ac:dyDescent="0.3">
      <c r="M4449">
        <v>4447</v>
      </c>
      <c r="N4449">
        <v>222001</v>
      </c>
      <c r="P4449">
        <v>-169930</v>
      </c>
    </row>
    <row r="4450" spans="13:16" x14ac:dyDescent="0.3">
      <c r="M4450">
        <v>4448</v>
      </c>
      <c r="N4450">
        <v>834068</v>
      </c>
      <c r="P4450">
        <v>-590437</v>
      </c>
    </row>
    <row r="4451" spans="13:16" x14ac:dyDescent="0.3">
      <c r="M4451">
        <v>4449</v>
      </c>
      <c r="N4451">
        <v>423085</v>
      </c>
      <c r="P4451">
        <v>337852</v>
      </c>
    </row>
    <row r="4452" spans="13:16" x14ac:dyDescent="0.3">
      <c r="M4452">
        <v>4450</v>
      </c>
      <c r="N4452">
        <v>351397</v>
      </c>
      <c r="P4452">
        <v>-315418</v>
      </c>
    </row>
    <row r="4453" spans="13:16" x14ac:dyDescent="0.3">
      <c r="M4453">
        <v>4451</v>
      </c>
      <c r="N4453">
        <v>265411</v>
      </c>
      <c r="P4453">
        <v>-406600</v>
      </c>
    </row>
    <row r="4454" spans="13:16" x14ac:dyDescent="0.3">
      <c r="M4454">
        <v>4452</v>
      </c>
      <c r="N4454">
        <v>-563071</v>
      </c>
      <c r="P4454">
        <v>573251</v>
      </c>
    </row>
    <row r="4455" spans="13:16" x14ac:dyDescent="0.3">
      <c r="M4455">
        <v>4453</v>
      </c>
      <c r="N4455">
        <v>-63785</v>
      </c>
      <c r="P4455">
        <v>-122743</v>
      </c>
    </row>
    <row r="4456" spans="13:16" x14ac:dyDescent="0.3">
      <c r="M4456">
        <v>4454</v>
      </c>
      <c r="N4456">
        <v>691610</v>
      </c>
      <c r="P4456">
        <v>-403212</v>
      </c>
    </row>
    <row r="4457" spans="13:16" x14ac:dyDescent="0.3">
      <c r="M4457">
        <v>4455</v>
      </c>
      <c r="N4457">
        <v>159827</v>
      </c>
      <c r="P4457">
        <v>-458686</v>
      </c>
    </row>
    <row r="4458" spans="13:16" x14ac:dyDescent="0.3">
      <c r="M4458">
        <v>4456</v>
      </c>
      <c r="N4458">
        <v>-91338</v>
      </c>
      <c r="P4458">
        <v>464012</v>
      </c>
    </row>
    <row r="4459" spans="13:16" x14ac:dyDescent="0.3">
      <c r="M4459">
        <v>4457</v>
      </c>
      <c r="N4459">
        <v>-374720</v>
      </c>
      <c r="P4459">
        <v>-470967</v>
      </c>
    </row>
    <row r="4460" spans="13:16" x14ac:dyDescent="0.3">
      <c r="M4460">
        <v>4458</v>
      </c>
      <c r="N4460">
        <v>-729414</v>
      </c>
      <c r="P4460">
        <v>-338455</v>
      </c>
    </row>
    <row r="4461" spans="13:16" x14ac:dyDescent="0.3">
      <c r="M4461">
        <v>4459</v>
      </c>
      <c r="N4461">
        <v>320254</v>
      </c>
      <c r="P4461">
        <v>864047</v>
      </c>
    </row>
    <row r="4462" spans="13:16" x14ac:dyDescent="0.3">
      <c r="M4462">
        <v>4460</v>
      </c>
      <c r="N4462">
        <v>-496984</v>
      </c>
      <c r="P4462">
        <v>-431540</v>
      </c>
    </row>
    <row r="4463" spans="13:16" x14ac:dyDescent="0.3">
      <c r="M4463">
        <v>4461</v>
      </c>
      <c r="N4463">
        <v>-416508</v>
      </c>
      <c r="P4463">
        <v>-234328</v>
      </c>
    </row>
    <row r="4464" spans="13:16" x14ac:dyDescent="0.3">
      <c r="M4464">
        <v>4462</v>
      </c>
      <c r="N4464">
        <v>-562079</v>
      </c>
      <c r="P4464">
        <v>-288464</v>
      </c>
    </row>
    <row r="4465" spans="13:16" x14ac:dyDescent="0.3">
      <c r="M4465">
        <v>4463</v>
      </c>
      <c r="N4465">
        <v>-376223</v>
      </c>
      <c r="P4465">
        <v>367028</v>
      </c>
    </row>
    <row r="4466" spans="13:16" x14ac:dyDescent="0.3">
      <c r="M4466">
        <v>4464</v>
      </c>
      <c r="N4466">
        <v>216221</v>
      </c>
      <c r="P4466">
        <v>-410103</v>
      </c>
    </row>
    <row r="4467" spans="13:16" x14ac:dyDescent="0.3">
      <c r="M4467">
        <v>4465</v>
      </c>
      <c r="N4467">
        <v>-550760</v>
      </c>
      <c r="P4467">
        <v>-579155</v>
      </c>
    </row>
    <row r="4468" spans="13:16" x14ac:dyDescent="0.3">
      <c r="M4468">
        <v>4466</v>
      </c>
      <c r="N4468">
        <v>-393719</v>
      </c>
      <c r="P4468">
        <v>996156</v>
      </c>
    </row>
    <row r="4469" spans="13:16" x14ac:dyDescent="0.3">
      <c r="M4469">
        <v>4467</v>
      </c>
      <c r="N4469">
        <v>494595</v>
      </c>
      <c r="P4469">
        <v>531796</v>
      </c>
    </row>
    <row r="4470" spans="13:16" x14ac:dyDescent="0.3">
      <c r="M4470">
        <v>4468</v>
      </c>
      <c r="N4470">
        <v>-319676</v>
      </c>
      <c r="P4470">
        <v>246775</v>
      </c>
    </row>
    <row r="4471" spans="13:16" x14ac:dyDescent="0.3">
      <c r="M4471">
        <v>4469</v>
      </c>
      <c r="N4471">
        <v>229372</v>
      </c>
      <c r="P4471">
        <v>-96169</v>
      </c>
    </row>
    <row r="4472" spans="13:16" x14ac:dyDescent="0.3">
      <c r="M4472">
        <v>4470</v>
      </c>
      <c r="N4472">
        <v>717019</v>
      </c>
      <c r="P4472">
        <v>575036</v>
      </c>
    </row>
    <row r="4473" spans="13:16" x14ac:dyDescent="0.3">
      <c r="M4473">
        <v>4471</v>
      </c>
      <c r="N4473">
        <v>495174</v>
      </c>
      <c r="P4473">
        <v>-655685</v>
      </c>
    </row>
    <row r="4474" spans="13:16" x14ac:dyDescent="0.3">
      <c r="M4474">
        <v>4472</v>
      </c>
      <c r="N4474">
        <v>-313874</v>
      </c>
      <c r="P4474">
        <v>-500917</v>
      </c>
    </row>
    <row r="4475" spans="13:16" x14ac:dyDescent="0.3">
      <c r="M4475">
        <v>4473</v>
      </c>
      <c r="N4475">
        <v>-276170</v>
      </c>
      <c r="P4475">
        <v>-196283</v>
      </c>
    </row>
    <row r="4476" spans="13:16" x14ac:dyDescent="0.3">
      <c r="M4476">
        <v>4474</v>
      </c>
      <c r="N4476">
        <v>471599</v>
      </c>
      <c r="P4476">
        <v>-223976</v>
      </c>
    </row>
    <row r="4477" spans="13:16" x14ac:dyDescent="0.3">
      <c r="M4477">
        <v>4475</v>
      </c>
      <c r="N4477">
        <v>-544131</v>
      </c>
      <c r="P4477">
        <v>584096</v>
      </c>
    </row>
    <row r="4478" spans="13:16" x14ac:dyDescent="0.3">
      <c r="M4478">
        <v>4476</v>
      </c>
      <c r="N4478">
        <v>618642</v>
      </c>
      <c r="P4478">
        <v>377525</v>
      </c>
    </row>
    <row r="4479" spans="13:16" x14ac:dyDescent="0.3">
      <c r="M4479">
        <v>4477</v>
      </c>
      <c r="N4479">
        <v>236970</v>
      </c>
      <c r="P4479">
        <v>374310</v>
      </c>
    </row>
    <row r="4480" spans="13:16" x14ac:dyDescent="0.3">
      <c r="M4480">
        <v>4478</v>
      </c>
      <c r="N4480">
        <v>501149</v>
      </c>
      <c r="P4480">
        <v>512254</v>
      </c>
    </row>
    <row r="4481" spans="13:16" x14ac:dyDescent="0.3">
      <c r="M4481">
        <v>4479</v>
      </c>
      <c r="N4481">
        <v>97674</v>
      </c>
      <c r="P4481">
        <v>-348576</v>
      </c>
    </row>
    <row r="4482" spans="13:16" x14ac:dyDescent="0.3">
      <c r="M4482">
        <v>4480</v>
      </c>
      <c r="N4482">
        <v>111932</v>
      </c>
      <c r="P4482">
        <v>-382506</v>
      </c>
    </row>
    <row r="4483" spans="13:16" x14ac:dyDescent="0.3">
      <c r="M4483">
        <v>4481</v>
      </c>
      <c r="N4483">
        <v>171791</v>
      </c>
      <c r="P4483">
        <v>-349341</v>
      </c>
    </row>
    <row r="4484" spans="13:16" x14ac:dyDescent="0.3">
      <c r="M4484">
        <v>4482</v>
      </c>
      <c r="N4484">
        <v>598123</v>
      </c>
      <c r="P4484">
        <v>-108384</v>
      </c>
    </row>
    <row r="4485" spans="13:16" x14ac:dyDescent="0.3">
      <c r="M4485">
        <v>4483</v>
      </c>
      <c r="N4485">
        <v>313910</v>
      </c>
      <c r="P4485">
        <v>-363508</v>
      </c>
    </row>
    <row r="4486" spans="13:16" x14ac:dyDescent="0.3">
      <c r="M4486">
        <v>4484</v>
      </c>
      <c r="N4486">
        <v>665925</v>
      </c>
      <c r="P4486">
        <v>-839781</v>
      </c>
    </row>
    <row r="4487" spans="13:16" x14ac:dyDescent="0.3">
      <c r="M4487">
        <v>4485</v>
      </c>
      <c r="N4487">
        <v>-76326</v>
      </c>
      <c r="P4487">
        <v>372776</v>
      </c>
    </row>
    <row r="4488" spans="13:16" x14ac:dyDescent="0.3">
      <c r="M4488">
        <v>4486</v>
      </c>
      <c r="N4488">
        <v>-643290</v>
      </c>
      <c r="P4488">
        <v>484903</v>
      </c>
    </row>
    <row r="4489" spans="13:16" x14ac:dyDescent="0.3">
      <c r="M4489">
        <v>4487</v>
      </c>
      <c r="N4489">
        <v>-424045</v>
      </c>
      <c r="P4489">
        <v>70122</v>
      </c>
    </row>
    <row r="4490" spans="13:16" x14ac:dyDescent="0.3">
      <c r="M4490">
        <v>4488</v>
      </c>
      <c r="N4490">
        <v>531191</v>
      </c>
      <c r="P4490">
        <v>-795961</v>
      </c>
    </row>
    <row r="4491" spans="13:16" x14ac:dyDescent="0.3">
      <c r="M4491">
        <v>4489</v>
      </c>
      <c r="N4491">
        <v>473977</v>
      </c>
      <c r="P4491">
        <v>-614973</v>
      </c>
    </row>
    <row r="4492" spans="13:16" x14ac:dyDescent="0.3">
      <c r="M4492">
        <v>4490</v>
      </c>
      <c r="N4492">
        <v>690318</v>
      </c>
      <c r="P4492">
        <v>189880</v>
      </c>
    </row>
    <row r="4493" spans="13:16" x14ac:dyDescent="0.3">
      <c r="M4493">
        <v>4491</v>
      </c>
      <c r="N4493">
        <v>-288227</v>
      </c>
      <c r="P4493">
        <v>421950</v>
      </c>
    </row>
    <row r="4494" spans="13:16" x14ac:dyDescent="0.3">
      <c r="M4494">
        <v>4492</v>
      </c>
      <c r="N4494">
        <v>170502</v>
      </c>
      <c r="P4494">
        <v>-477216</v>
      </c>
    </row>
    <row r="4495" spans="13:16" x14ac:dyDescent="0.3">
      <c r="M4495">
        <v>4493</v>
      </c>
      <c r="N4495">
        <v>-82866</v>
      </c>
      <c r="P4495">
        <v>-383648</v>
      </c>
    </row>
    <row r="4496" spans="13:16" x14ac:dyDescent="0.3">
      <c r="M4496">
        <v>4494</v>
      </c>
      <c r="N4496">
        <v>-348989</v>
      </c>
      <c r="P4496">
        <v>-661635</v>
      </c>
    </row>
    <row r="4497" spans="13:16" x14ac:dyDescent="0.3">
      <c r="M4497">
        <v>4495</v>
      </c>
      <c r="N4497">
        <v>-584968</v>
      </c>
      <c r="P4497">
        <v>323194</v>
      </c>
    </row>
    <row r="4498" spans="13:16" x14ac:dyDescent="0.3">
      <c r="M4498">
        <v>4496</v>
      </c>
      <c r="N4498">
        <v>-169721</v>
      </c>
      <c r="P4498">
        <v>492008</v>
      </c>
    </row>
    <row r="4499" spans="13:16" x14ac:dyDescent="0.3">
      <c r="M4499">
        <v>4497</v>
      </c>
      <c r="N4499">
        <v>-109609</v>
      </c>
      <c r="P4499">
        <v>831091</v>
      </c>
    </row>
    <row r="4500" spans="13:16" x14ac:dyDescent="0.3">
      <c r="M4500">
        <v>4498</v>
      </c>
      <c r="N4500">
        <v>288208</v>
      </c>
      <c r="P4500">
        <v>104909</v>
      </c>
    </row>
    <row r="4501" spans="13:16" x14ac:dyDescent="0.3">
      <c r="M4501">
        <v>4499</v>
      </c>
      <c r="N4501">
        <v>279981</v>
      </c>
      <c r="P4501">
        <v>-581800</v>
      </c>
    </row>
    <row r="4502" spans="13:16" x14ac:dyDescent="0.3">
      <c r="M4502">
        <v>4500</v>
      </c>
      <c r="N4502">
        <v>789559</v>
      </c>
      <c r="P4502">
        <v>135023</v>
      </c>
    </row>
    <row r="4503" spans="13:16" x14ac:dyDescent="0.3">
      <c r="M4503">
        <v>4501</v>
      </c>
      <c r="N4503">
        <v>199909</v>
      </c>
      <c r="P4503">
        <v>-660180</v>
      </c>
    </row>
    <row r="4504" spans="13:16" x14ac:dyDescent="0.3">
      <c r="M4504">
        <v>4502</v>
      </c>
      <c r="N4504">
        <v>289746</v>
      </c>
      <c r="P4504">
        <v>-440790</v>
      </c>
    </row>
    <row r="4505" spans="13:16" x14ac:dyDescent="0.3">
      <c r="M4505">
        <v>4503</v>
      </c>
      <c r="N4505">
        <v>25771</v>
      </c>
      <c r="P4505">
        <v>171657</v>
      </c>
    </row>
    <row r="4506" spans="13:16" x14ac:dyDescent="0.3">
      <c r="M4506">
        <v>4504</v>
      </c>
      <c r="N4506">
        <v>202523</v>
      </c>
      <c r="P4506">
        <v>-389469</v>
      </c>
    </row>
    <row r="4507" spans="13:16" x14ac:dyDescent="0.3">
      <c r="M4507">
        <v>4505</v>
      </c>
      <c r="N4507">
        <v>-563477</v>
      </c>
      <c r="P4507">
        <v>-717447</v>
      </c>
    </row>
    <row r="4508" spans="13:16" x14ac:dyDescent="0.3">
      <c r="M4508">
        <v>4506</v>
      </c>
      <c r="N4508">
        <v>541303</v>
      </c>
      <c r="P4508">
        <v>33366</v>
      </c>
    </row>
    <row r="4509" spans="13:16" x14ac:dyDescent="0.3">
      <c r="M4509">
        <v>4507</v>
      </c>
      <c r="N4509">
        <v>133924</v>
      </c>
      <c r="P4509">
        <v>-199481</v>
      </c>
    </row>
    <row r="4510" spans="13:16" x14ac:dyDescent="0.3">
      <c r="M4510">
        <v>4508</v>
      </c>
      <c r="N4510">
        <v>319901</v>
      </c>
      <c r="P4510">
        <v>166799</v>
      </c>
    </row>
    <row r="4511" spans="13:16" x14ac:dyDescent="0.3">
      <c r="M4511">
        <v>4509</v>
      </c>
      <c r="N4511">
        <v>631606</v>
      </c>
      <c r="P4511">
        <v>295691</v>
      </c>
    </row>
    <row r="4512" spans="13:16" x14ac:dyDescent="0.3">
      <c r="M4512">
        <v>4510</v>
      </c>
      <c r="N4512">
        <v>374926</v>
      </c>
      <c r="P4512">
        <v>29135</v>
      </c>
    </row>
    <row r="4513" spans="13:16" x14ac:dyDescent="0.3">
      <c r="M4513">
        <v>4511</v>
      </c>
      <c r="N4513">
        <v>-619628</v>
      </c>
      <c r="P4513">
        <v>468022</v>
      </c>
    </row>
    <row r="4514" spans="13:16" x14ac:dyDescent="0.3">
      <c r="M4514">
        <v>4512</v>
      </c>
      <c r="N4514">
        <v>-502831</v>
      </c>
      <c r="P4514">
        <v>-585981</v>
      </c>
    </row>
    <row r="4515" spans="13:16" x14ac:dyDescent="0.3">
      <c r="M4515">
        <v>4513</v>
      </c>
      <c r="N4515">
        <v>621690</v>
      </c>
      <c r="P4515">
        <v>251692</v>
      </c>
    </row>
    <row r="4516" spans="13:16" x14ac:dyDescent="0.3">
      <c r="M4516">
        <v>4514</v>
      </c>
      <c r="N4516">
        <v>307063</v>
      </c>
      <c r="P4516">
        <v>154598</v>
      </c>
    </row>
    <row r="4517" spans="13:16" x14ac:dyDescent="0.3">
      <c r="M4517">
        <v>4515</v>
      </c>
      <c r="N4517">
        <v>361877</v>
      </c>
      <c r="P4517">
        <v>-337462</v>
      </c>
    </row>
    <row r="4518" spans="13:16" x14ac:dyDescent="0.3">
      <c r="M4518">
        <v>4516</v>
      </c>
      <c r="N4518">
        <v>-338129</v>
      </c>
      <c r="P4518">
        <v>68486</v>
      </c>
    </row>
    <row r="4519" spans="13:16" x14ac:dyDescent="0.3">
      <c r="M4519">
        <v>4517</v>
      </c>
      <c r="N4519">
        <v>-98961</v>
      </c>
      <c r="P4519">
        <v>-478853</v>
      </c>
    </row>
    <row r="4520" spans="13:16" x14ac:dyDescent="0.3">
      <c r="M4520">
        <v>4518</v>
      </c>
      <c r="N4520">
        <v>1101446</v>
      </c>
      <c r="P4520">
        <v>630247</v>
      </c>
    </row>
    <row r="4521" spans="13:16" x14ac:dyDescent="0.3">
      <c r="M4521">
        <v>4519</v>
      </c>
      <c r="N4521">
        <v>-425049</v>
      </c>
      <c r="P4521">
        <v>-108908</v>
      </c>
    </row>
    <row r="4522" spans="13:16" x14ac:dyDescent="0.3">
      <c r="M4522">
        <v>4520</v>
      </c>
      <c r="N4522">
        <v>-730895</v>
      </c>
      <c r="P4522">
        <v>-14663</v>
      </c>
    </row>
    <row r="4523" spans="13:16" x14ac:dyDescent="0.3">
      <c r="M4523">
        <v>4521</v>
      </c>
      <c r="N4523">
        <v>-322926</v>
      </c>
      <c r="P4523">
        <v>358506</v>
      </c>
    </row>
    <row r="4524" spans="13:16" x14ac:dyDescent="0.3">
      <c r="M4524">
        <v>4522</v>
      </c>
      <c r="N4524">
        <v>827942</v>
      </c>
      <c r="P4524">
        <v>365380</v>
      </c>
    </row>
    <row r="4525" spans="13:16" x14ac:dyDescent="0.3">
      <c r="M4525">
        <v>4523</v>
      </c>
      <c r="N4525">
        <v>405910</v>
      </c>
      <c r="P4525">
        <v>-248090</v>
      </c>
    </row>
    <row r="4526" spans="13:16" x14ac:dyDescent="0.3">
      <c r="M4526">
        <v>4524</v>
      </c>
      <c r="N4526">
        <v>-323146</v>
      </c>
      <c r="P4526">
        <v>-270691</v>
      </c>
    </row>
    <row r="4527" spans="13:16" x14ac:dyDescent="0.3">
      <c r="M4527">
        <v>4525</v>
      </c>
      <c r="N4527">
        <v>-94602</v>
      </c>
      <c r="P4527">
        <v>597436</v>
      </c>
    </row>
    <row r="4528" spans="13:16" x14ac:dyDescent="0.3">
      <c r="M4528">
        <v>4526</v>
      </c>
      <c r="N4528">
        <v>-373993</v>
      </c>
      <c r="P4528">
        <v>-131024</v>
      </c>
    </row>
    <row r="4529" spans="13:16" x14ac:dyDescent="0.3">
      <c r="M4529">
        <v>4527</v>
      </c>
      <c r="N4529">
        <v>173832</v>
      </c>
      <c r="P4529">
        <v>-428309</v>
      </c>
    </row>
    <row r="4530" spans="13:16" x14ac:dyDescent="0.3">
      <c r="M4530">
        <v>4528</v>
      </c>
      <c r="N4530">
        <v>-413848</v>
      </c>
      <c r="P4530">
        <v>352939</v>
      </c>
    </row>
    <row r="4531" spans="13:16" x14ac:dyDescent="0.3">
      <c r="M4531">
        <v>4529</v>
      </c>
      <c r="N4531">
        <v>-27048</v>
      </c>
      <c r="P4531">
        <v>-297847</v>
      </c>
    </row>
    <row r="4532" spans="13:16" x14ac:dyDescent="0.3">
      <c r="M4532">
        <v>4530</v>
      </c>
      <c r="N4532">
        <v>-439600</v>
      </c>
      <c r="P4532">
        <v>-190823</v>
      </c>
    </row>
    <row r="4533" spans="13:16" x14ac:dyDescent="0.3">
      <c r="M4533">
        <v>4531</v>
      </c>
      <c r="N4533">
        <v>694474</v>
      </c>
      <c r="P4533">
        <v>-282874</v>
      </c>
    </row>
    <row r="4534" spans="13:16" x14ac:dyDescent="0.3">
      <c r="M4534">
        <v>4532</v>
      </c>
      <c r="N4534">
        <v>-545314</v>
      </c>
      <c r="P4534">
        <v>-322171</v>
      </c>
    </row>
    <row r="4535" spans="13:16" x14ac:dyDescent="0.3">
      <c r="M4535">
        <v>4533</v>
      </c>
      <c r="N4535">
        <v>-408910</v>
      </c>
      <c r="P4535">
        <v>15166</v>
      </c>
    </row>
    <row r="4536" spans="13:16" x14ac:dyDescent="0.3">
      <c r="M4536">
        <v>4534</v>
      </c>
      <c r="N4536">
        <v>244222</v>
      </c>
      <c r="P4536">
        <v>44623</v>
      </c>
    </row>
    <row r="4537" spans="13:16" x14ac:dyDescent="0.3">
      <c r="M4537">
        <v>4535</v>
      </c>
      <c r="N4537">
        <v>118367</v>
      </c>
      <c r="P4537">
        <v>366045</v>
      </c>
    </row>
    <row r="4538" spans="13:16" x14ac:dyDescent="0.3">
      <c r="M4538">
        <v>4536</v>
      </c>
      <c r="N4538">
        <v>59581</v>
      </c>
      <c r="P4538">
        <v>-133687</v>
      </c>
    </row>
    <row r="4539" spans="13:16" x14ac:dyDescent="0.3">
      <c r="M4539">
        <v>4537</v>
      </c>
      <c r="N4539">
        <v>-788372</v>
      </c>
      <c r="P4539">
        <v>-183594</v>
      </c>
    </row>
    <row r="4540" spans="13:16" x14ac:dyDescent="0.3">
      <c r="M4540">
        <v>4538</v>
      </c>
      <c r="N4540">
        <v>-546032</v>
      </c>
      <c r="P4540">
        <v>-464697</v>
      </c>
    </row>
    <row r="4541" spans="13:16" x14ac:dyDescent="0.3">
      <c r="M4541">
        <v>4539</v>
      </c>
      <c r="N4541">
        <v>-822905</v>
      </c>
      <c r="P4541">
        <v>-419728</v>
      </c>
    </row>
    <row r="4542" spans="13:16" x14ac:dyDescent="0.3">
      <c r="M4542">
        <v>4540</v>
      </c>
      <c r="N4542">
        <v>-58414</v>
      </c>
      <c r="P4542">
        <v>798021</v>
      </c>
    </row>
    <row r="4543" spans="13:16" x14ac:dyDescent="0.3">
      <c r="M4543">
        <v>4541</v>
      </c>
      <c r="N4543">
        <v>506966</v>
      </c>
      <c r="P4543">
        <v>375261</v>
      </c>
    </row>
    <row r="4544" spans="13:16" x14ac:dyDescent="0.3">
      <c r="M4544">
        <v>4542</v>
      </c>
      <c r="N4544">
        <v>-337464</v>
      </c>
      <c r="P4544">
        <v>-262086</v>
      </c>
    </row>
    <row r="4545" spans="13:16" x14ac:dyDescent="0.3">
      <c r="M4545">
        <v>4543</v>
      </c>
      <c r="N4545">
        <v>387050</v>
      </c>
      <c r="P4545">
        <v>-417525</v>
      </c>
    </row>
    <row r="4546" spans="13:16" x14ac:dyDescent="0.3">
      <c r="M4546">
        <v>4544</v>
      </c>
      <c r="N4546">
        <v>324437</v>
      </c>
      <c r="P4546">
        <v>443849</v>
      </c>
    </row>
    <row r="4547" spans="13:16" x14ac:dyDescent="0.3">
      <c r="M4547">
        <v>4545</v>
      </c>
      <c r="N4547">
        <v>541705</v>
      </c>
      <c r="P4547">
        <v>226353</v>
      </c>
    </row>
    <row r="4548" spans="13:16" x14ac:dyDescent="0.3">
      <c r="M4548">
        <v>4546</v>
      </c>
      <c r="N4548">
        <v>878797</v>
      </c>
      <c r="P4548">
        <v>-249948</v>
      </c>
    </row>
    <row r="4549" spans="13:16" x14ac:dyDescent="0.3">
      <c r="M4549">
        <v>4547</v>
      </c>
      <c r="N4549">
        <v>-64332</v>
      </c>
      <c r="P4549">
        <v>-24210</v>
      </c>
    </row>
    <row r="4550" spans="13:16" x14ac:dyDescent="0.3">
      <c r="M4550">
        <v>4548</v>
      </c>
      <c r="N4550">
        <v>-11620</v>
      </c>
      <c r="P4550">
        <v>374830</v>
      </c>
    </row>
    <row r="4551" spans="13:16" x14ac:dyDescent="0.3">
      <c r="M4551">
        <v>4549</v>
      </c>
      <c r="N4551">
        <v>62797</v>
      </c>
      <c r="P4551">
        <v>-400574</v>
      </c>
    </row>
    <row r="4552" spans="13:16" x14ac:dyDescent="0.3">
      <c r="M4552">
        <v>4550</v>
      </c>
      <c r="N4552">
        <v>-535628</v>
      </c>
      <c r="P4552">
        <v>-338075</v>
      </c>
    </row>
    <row r="4553" spans="13:16" x14ac:dyDescent="0.3">
      <c r="M4553">
        <v>4551</v>
      </c>
      <c r="N4553">
        <v>-188880</v>
      </c>
      <c r="P4553">
        <v>-60046</v>
      </c>
    </row>
    <row r="4554" spans="13:16" x14ac:dyDescent="0.3">
      <c r="M4554">
        <v>4552</v>
      </c>
      <c r="N4554">
        <v>175217</v>
      </c>
      <c r="P4554">
        <v>-667968</v>
      </c>
    </row>
    <row r="4555" spans="13:16" x14ac:dyDescent="0.3">
      <c r="M4555">
        <v>4553</v>
      </c>
      <c r="N4555">
        <v>-572768</v>
      </c>
      <c r="P4555">
        <v>-286566</v>
      </c>
    </row>
    <row r="4556" spans="13:16" x14ac:dyDescent="0.3">
      <c r="M4556">
        <v>4554</v>
      </c>
      <c r="N4556">
        <v>678238</v>
      </c>
      <c r="P4556">
        <v>471482</v>
      </c>
    </row>
    <row r="4557" spans="13:16" x14ac:dyDescent="0.3">
      <c r="M4557">
        <v>4555</v>
      </c>
      <c r="N4557">
        <v>421</v>
      </c>
      <c r="P4557">
        <v>-639971</v>
      </c>
    </row>
    <row r="4558" spans="13:16" x14ac:dyDescent="0.3">
      <c r="M4558">
        <v>4556</v>
      </c>
      <c r="N4558">
        <v>-27482</v>
      </c>
      <c r="P4558">
        <v>218213</v>
      </c>
    </row>
    <row r="4559" spans="13:16" x14ac:dyDescent="0.3">
      <c r="M4559">
        <v>4557</v>
      </c>
      <c r="N4559">
        <v>-700557</v>
      </c>
      <c r="P4559">
        <v>53312</v>
      </c>
    </row>
    <row r="4560" spans="13:16" x14ac:dyDescent="0.3">
      <c r="M4560">
        <v>4558</v>
      </c>
      <c r="N4560">
        <v>-519202</v>
      </c>
      <c r="P4560">
        <v>-255972</v>
      </c>
    </row>
    <row r="4561" spans="13:16" x14ac:dyDescent="0.3">
      <c r="M4561">
        <v>4559</v>
      </c>
      <c r="N4561">
        <v>-133591</v>
      </c>
      <c r="P4561">
        <v>-277401</v>
      </c>
    </row>
    <row r="4562" spans="13:16" x14ac:dyDescent="0.3">
      <c r="M4562">
        <v>4560</v>
      </c>
      <c r="N4562">
        <v>271650</v>
      </c>
      <c r="P4562">
        <v>202329</v>
      </c>
    </row>
    <row r="4563" spans="13:16" x14ac:dyDescent="0.3">
      <c r="M4563">
        <v>4561</v>
      </c>
      <c r="N4563">
        <v>316597</v>
      </c>
      <c r="P4563">
        <v>67064</v>
      </c>
    </row>
    <row r="4564" spans="13:16" x14ac:dyDescent="0.3">
      <c r="M4564">
        <v>4562</v>
      </c>
      <c r="N4564">
        <v>574430</v>
      </c>
      <c r="P4564">
        <v>-512321</v>
      </c>
    </row>
    <row r="4565" spans="13:16" x14ac:dyDescent="0.3">
      <c r="M4565">
        <v>4563</v>
      </c>
      <c r="N4565">
        <v>30827</v>
      </c>
      <c r="P4565">
        <v>-16156</v>
      </c>
    </row>
    <row r="4566" spans="13:16" x14ac:dyDescent="0.3">
      <c r="M4566">
        <v>4564</v>
      </c>
      <c r="N4566">
        <v>527963</v>
      </c>
      <c r="P4566">
        <v>1185703</v>
      </c>
    </row>
    <row r="4567" spans="13:16" x14ac:dyDescent="0.3">
      <c r="M4567">
        <v>4565</v>
      </c>
      <c r="N4567">
        <v>1039335</v>
      </c>
      <c r="P4567">
        <v>110728</v>
      </c>
    </row>
    <row r="4568" spans="13:16" x14ac:dyDescent="0.3">
      <c r="M4568">
        <v>4566</v>
      </c>
      <c r="N4568">
        <v>975703</v>
      </c>
      <c r="P4568">
        <v>208419</v>
      </c>
    </row>
    <row r="4569" spans="13:16" x14ac:dyDescent="0.3">
      <c r="M4569">
        <v>4567</v>
      </c>
      <c r="N4569">
        <v>200554</v>
      </c>
      <c r="P4569">
        <v>-84018</v>
      </c>
    </row>
    <row r="4570" spans="13:16" x14ac:dyDescent="0.3">
      <c r="M4570">
        <v>4568</v>
      </c>
      <c r="N4570">
        <v>-432160</v>
      </c>
      <c r="P4570">
        <v>298315</v>
      </c>
    </row>
    <row r="4571" spans="13:16" x14ac:dyDescent="0.3">
      <c r="M4571">
        <v>4569</v>
      </c>
      <c r="N4571">
        <v>578789</v>
      </c>
      <c r="P4571">
        <v>517785</v>
      </c>
    </row>
    <row r="4572" spans="13:16" x14ac:dyDescent="0.3">
      <c r="M4572">
        <v>4570</v>
      </c>
      <c r="N4572">
        <v>-163078</v>
      </c>
      <c r="P4572">
        <v>581797</v>
      </c>
    </row>
    <row r="4573" spans="13:16" x14ac:dyDescent="0.3">
      <c r="M4573">
        <v>4571</v>
      </c>
      <c r="N4573">
        <v>253638</v>
      </c>
      <c r="P4573">
        <v>350455</v>
      </c>
    </row>
    <row r="4574" spans="13:16" x14ac:dyDescent="0.3">
      <c r="M4574">
        <v>4572</v>
      </c>
      <c r="N4574">
        <v>-305059</v>
      </c>
      <c r="P4574">
        <v>-674968</v>
      </c>
    </row>
    <row r="4575" spans="13:16" x14ac:dyDescent="0.3">
      <c r="M4575">
        <v>4573</v>
      </c>
      <c r="N4575">
        <v>-375768</v>
      </c>
      <c r="P4575">
        <v>171928</v>
      </c>
    </row>
    <row r="4576" spans="13:16" x14ac:dyDescent="0.3">
      <c r="M4576">
        <v>4574</v>
      </c>
      <c r="N4576">
        <v>318862</v>
      </c>
      <c r="P4576">
        <v>-52834</v>
      </c>
    </row>
    <row r="4577" spans="13:16" x14ac:dyDescent="0.3">
      <c r="M4577">
        <v>4575</v>
      </c>
      <c r="N4577">
        <v>-40269</v>
      </c>
      <c r="P4577">
        <v>55242</v>
      </c>
    </row>
    <row r="4578" spans="13:16" x14ac:dyDescent="0.3">
      <c r="M4578">
        <v>4576</v>
      </c>
      <c r="N4578">
        <v>931572</v>
      </c>
      <c r="P4578">
        <v>-446840</v>
      </c>
    </row>
    <row r="4579" spans="13:16" x14ac:dyDescent="0.3">
      <c r="M4579">
        <v>4577</v>
      </c>
      <c r="N4579">
        <v>-320055</v>
      </c>
      <c r="P4579">
        <v>363796</v>
      </c>
    </row>
    <row r="4580" spans="13:16" x14ac:dyDescent="0.3">
      <c r="M4580">
        <v>4578</v>
      </c>
      <c r="N4580">
        <v>702314</v>
      </c>
      <c r="P4580">
        <v>270297</v>
      </c>
    </row>
    <row r="4581" spans="13:16" x14ac:dyDescent="0.3">
      <c r="M4581">
        <v>4579</v>
      </c>
      <c r="N4581">
        <v>-261270</v>
      </c>
      <c r="P4581">
        <v>-728777</v>
      </c>
    </row>
    <row r="4582" spans="13:16" x14ac:dyDescent="0.3">
      <c r="M4582">
        <v>4580</v>
      </c>
      <c r="N4582">
        <v>275158</v>
      </c>
      <c r="P4582">
        <v>-383645</v>
      </c>
    </row>
    <row r="4583" spans="13:16" x14ac:dyDescent="0.3">
      <c r="M4583">
        <v>4581</v>
      </c>
      <c r="N4583">
        <v>698496</v>
      </c>
      <c r="P4583">
        <v>195380</v>
      </c>
    </row>
    <row r="4584" spans="13:16" x14ac:dyDescent="0.3">
      <c r="M4584">
        <v>4582</v>
      </c>
      <c r="N4584">
        <v>-550046</v>
      </c>
      <c r="P4584">
        <v>22130</v>
      </c>
    </row>
    <row r="4585" spans="13:16" x14ac:dyDescent="0.3">
      <c r="M4585">
        <v>4583</v>
      </c>
      <c r="N4585">
        <v>-275084</v>
      </c>
      <c r="P4585">
        <v>-316497</v>
      </c>
    </row>
    <row r="4586" spans="13:16" x14ac:dyDescent="0.3">
      <c r="M4586">
        <v>4584</v>
      </c>
      <c r="N4586">
        <v>-478987</v>
      </c>
      <c r="P4586">
        <v>150814</v>
      </c>
    </row>
    <row r="4587" spans="13:16" x14ac:dyDescent="0.3">
      <c r="M4587">
        <v>4585</v>
      </c>
      <c r="N4587">
        <v>-253234</v>
      </c>
      <c r="P4587">
        <v>-417095</v>
      </c>
    </row>
    <row r="4588" spans="13:16" x14ac:dyDescent="0.3">
      <c r="M4588">
        <v>4586</v>
      </c>
      <c r="N4588">
        <v>-460565</v>
      </c>
      <c r="P4588">
        <v>-705165</v>
      </c>
    </row>
    <row r="4589" spans="13:16" x14ac:dyDescent="0.3">
      <c r="M4589">
        <v>4587</v>
      </c>
      <c r="N4589">
        <v>409973</v>
      </c>
      <c r="P4589">
        <v>-631651</v>
      </c>
    </row>
    <row r="4590" spans="13:16" x14ac:dyDescent="0.3">
      <c r="M4590">
        <v>4588</v>
      </c>
      <c r="N4590">
        <v>301115</v>
      </c>
      <c r="P4590">
        <v>-446971</v>
      </c>
    </row>
    <row r="4591" spans="13:16" x14ac:dyDescent="0.3">
      <c r="M4591">
        <v>4589</v>
      </c>
      <c r="N4591">
        <v>-404953</v>
      </c>
      <c r="P4591">
        <v>-214448</v>
      </c>
    </row>
    <row r="4592" spans="13:16" x14ac:dyDescent="0.3">
      <c r="M4592">
        <v>4590</v>
      </c>
      <c r="N4592">
        <v>955823</v>
      </c>
      <c r="P4592">
        <v>-401617</v>
      </c>
    </row>
    <row r="4593" spans="13:16" x14ac:dyDescent="0.3">
      <c r="M4593">
        <v>4591</v>
      </c>
      <c r="N4593">
        <v>173798</v>
      </c>
      <c r="P4593">
        <v>-237451</v>
      </c>
    </row>
    <row r="4594" spans="13:16" x14ac:dyDescent="0.3">
      <c r="M4594">
        <v>4592</v>
      </c>
      <c r="N4594">
        <v>57510</v>
      </c>
      <c r="P4594">
        <v>-176848</v>
      </c>
    </row>
    <row r="4595" spans="13:16" x14ac:dyDescent="0.3">
      <c r="M4595">
        <v>4593</v>
      </c>
      <c r="N4595">
        <v>292667</v>
      </c>
      <c r="P4595">
        <v>592074</v>
      </c>
    </row>
    <row r="4596" spans="13:16" x14ac:dyDescent="0.3">
      <c r="M4596">
        <v>4594</v>
      </c>
      <c r="N4596">
        <v>32504</v>
      </c>
      <c r="P4596">
        <v>-468806</v>
      </c>
    </row>
    <row r="4597" spans="13:16" x14ac:dyDescent="0.3">
      <c r="M4597">
        <v>4595</v>
      </c>
      <c r="N4597">
        <v>653522</v>
      </c>
      <c r="P4597">
        <v>-403603</v>
      </c>
    </row>
    <row r="4598" spans="13:16" x14ac:dyDescent="0.3">
      <c r="M4598">
        <v>4596</v>
      </c>
      <c r="N4598">
        <v>-153476</v>
      </c>
      <c r="P4598">
        <v>885821</v>
      </c>
    </row>
    <row r="4599" spans="13:16" x14ac:dyDescent="0.3">
      <c r="M4599">
        <v>4597</v>
      </c>
      <c r="N4599">
        <v>407058</v>
      </c>
      <c r="P4599">
        <v>487236</v>
      </c>
    </row>
    <row r="4600" spans="13:16" x14ac:dyDescent="0.3">
      <c r="M4600">
        <v>4598</v>
      </c>
      <c r="N4600">
        <v>790892</v>
      </c>
      <c r="P4600">
        <v>480527</v>
      </c>
    </row>
    <row r="4601" spans="13:16" x14ac:dyDescent="0.3">
      <c r="M4601">
        <v>4599</v>
      </c>
      <c r="N4601">
        <v>-378205</v>
      </c>
      <c r="P4601">
        <v>-394996</v>
      </c>
    </row>
    <row r="4602" spans="13:16" x14ac:dyDescent="0.3">
      <c r="M4602">
        <v>4600</v>
      </c>
      <c r="N4602">
        <v>-283998</v>
      </c>
      <c r="P4602">
        <v>125263</v>
      </c>
    </row>
    <row r="4603" spans="13:16" x14ac:dyDescent="0.3">
      <c r="M4603">
        <v>4601</v>
      </c>
      <c r="N4603">
        <v>-573947</v>
      </c>
      <c r="P4603">
        <v>-118830</v>
      </c>
    </row>
    <row r="4604" spans="13:16" x14ac:dyDescent="0.3">
      <c r="M4604">
        <v>4602</v>
      </c>
      <c r="N4604">
        <v>21317</v>
      </c>
      <c r="P4604">
        <v>541255</v>
      </c>
    </row>
    <row r="4605" spans="13:16" x14ac:dyDescent="0.3">
      <c r="M4605">
        <v>4603</v>
      </c>
      <c r="N4605">
        <v>-152883</v>
      </c>
      <c r="P4605">
        <v>-253156</v>
      </c>
    </row>
    <row r="4606" spans="13:16" x14ac:dyDescent="0.3">
      <c r="M4606">
        <v>4604</v>
      </c>
      <c r="N4606">
        <v>-389412</v>
      </c>
      <c r="P4606">
        <v>-554953</v>
      </c>
    </row>
    <row r="4607" spans="13:16" x14ac:dyDescent="0.3">
      <c r="M4607">
        <v>4605</v>
      </c>
      <c r="N4607">
        <v>-268057</v>
      </c>
      <c r="P4607">
        <v>-59290</v>
      </c>
    </row>
    <row r="4608" spans="13:16" x14ac:dyDescent="0.3">
      <c r="M4608">
        <v>4606</v>
      </c>
      <c r="N4608">
        <v>-113467</v>
      </c>
      <c r="P4608">
        <v>468338</v>
      </c>
    </row>
    <row r="4609" spans="13:16" x14ac:dyDescent="0.3">
      <c r="M4609">
        <v>4607</v>
      </c>
      <c r="N4609">
        <v>82959</v>
      </c>
      <c r="P4609">
        <v>207255</v>
      </c>
    </row>
    <row r="4610" spans="13:16" x14ac:dyDescent="0.3">
      <c r="M4610">
        <v>4608</v>
      </c>
      <c r="N4610">
        <v>-568739</v>
      </c>
      <c r="P4610">
        <v>665470</v>
      </c>
    </row>
    <row r="4611" spans="13:16" x14ac:dyDescent="0.3">
      <c r="M4611">
        <v>4609</v>
      </c>
      <c r="N4611">
        <v>311885</v>
      </c>
      <c r="P4611">
        <v>517740</v>
      </c>
    </row>
    <row r="4612" spans="13:16" x14ac:dyDescent="0.3">
      <c r="M4612">
        <v>4610</v>
      </c>
      <c r="N4612">
        <v>-631489</v>
      </c>
      <c r="P4612">
        <v>385506</v>
      </c>
    </row>
    <row r="4613" spans="13:16" x14ac:dyDescent="0.3">
      <c r="M4613">
        <v>4611</v>
      </c>
      <c r="N4613">
        <v>-163415</v>
      </c>
      <c r="P4613">
        <v>398628</v>
      </c>
    </row>
    <row r="4614" spans="13:16" x14ac:dyDescent="0.3">
      <c r="M4614">
        <v>4612</v>
      </c>
      <c r="N4614">
        <v>348631</v>
      </c>
      <c r="P4614">
        <v>-342316</v>
      </c>
    </row>
    <row r="4615" spans="13:16" x14ac:dyDescent="0.3">
      <c r="M4615">
        <v>4613</v>
      </c>
      <c r="N4615">
        <v>-465363</v>
      </c>
      <c r="P4615">
        <v>-637169</v>
      </c>
    </row>
    <row r="4616" spans="13:16" x14ac:dyDescent="0.3">
      <c r="M4616">
        <v>4614</v>
      </c>
      <c r="N4616">
        <v>-672577</v>
      </c>
      <c r="P4616">
        <v>201766</v>
      </c>
    </row>
    <row r="4617" spans="13:16" x14ac:dyDescent="0.3">
      <c r="M4617">
        <v>4615</v>
      </c>
      <c r="N4617">
        <v>2520</v>
      </c>
      <c r="P4617">
        <v>-451338</v>
      </c>
    </row>
    <row r="4618" spans="13:16" x14ac:dyDescent="0.3">
      <c r="M4618">
        <v>4616</v>
      </c>
      <c r="N4618">
        <v>-768537</v>
      </c>
      <c r="P4618">
        <v>-303974</v>
      </c>
    </row>
    <row r="4619" spans="13:16" x14ac:dyDescent="0.3">
      <c r="M4619">
        <v>4617</v>
      </c>
      <c r="N4619">
        <v>481854</v>
      </c>
      <c r="P4619">
        <v>215524</v>
      </c>
    </row>
    <row r="4620" spans="13:16" x14ac:dyDescent="0.3">
      <c r="M4620">
        <v>4618</v>
      </c>
      <c r="N4620">
        <v>357314</v>
      </c>
      <c r="P4620">
        <v>-18726</v>
      </c>
    </row>
    <row r="4621" spans="13:16" x14ac:dyDescent="0.3">
      <c r="M4621">
        <v>4619</v>
      </c>
      <c r="N4621">
        <v>-65845</v>
      </c>
      <c r="P4621">
        <v>402221</v>
      </c>
    </row>
    <row r="4622" spans="13:16" x14ac:dyDescent="0.3">
      <c r="M4622">
        <v>4620</v>
      </c>
      <c r="N4622">
        <v>-624639</v>
      </c>
      <c r="P4622">
        <v>86939</v>
      </c>
    </row>
    <row r="4623" spans="13:16" x14ac:dyDescent="0.3">
      <c r="M4623">
        <v>4621</v>
      </c>
      <c r="N4623">
        <v>-114087</v>
      </c>
      <c r="P4623">
        <v>352682</v>
      </c>
    </row>
    <row r="4624" spans="13:16" x14ac:dyDescent="0.3">
      <c r="M4624">
        <v>4622</v>
      </c>
      <c r="N4624">
        <v>511090</v>
      </c>
      <c r="P4624">
        <v>158995</v>
      </c>
    </row>
    <row r="4625" spans="13:16" x14ac:dyDescent="0.3">
      <c r="M4625">
        <v>4623</v>
      </c>
      <c r="N4625">
        <v>-813993</v>
      </c>
      <c r="P4625">
        <v>93041</v>
      </c>
    </row>
    <row r="4626" spans="13:16" x14ac:dyDescent="0.3">
      <c r="M4626">
        <v>4624</v>
      </c>
      <c r="N4626">
        <v>-593318</v>
      </c>
      <c r="P4626">
        <v>-573389</v>
      </c>
    </row>
    <row r="4627" spans="13:16" x14ac:dyDescent="0.3">
      <c r="M4627">
        <v>4625</v>
      </c>
      <c r="N4627">
        <v>-107104</v>
      </c>
      <c r="P4627">
        <v>-301805</v>
      </c>
    </row>
    <row r="4628" spans="13:16" x14ac:dyDescent="0.3">
      <c r="M4628">
        <v>4626</v>
      </c>
      <c r="N4628">
        <v>-327002</v>
      </c>
      <c r="P4628">
        <v>357209</v>
      </c>
    </row>
    <row r="4629" spans="13:16" x14ac:dyDescent="0.3">
      <c r="M4629">
        <v>4627</v>
      </c>
      <c r="N4629">
        <v>-303307</v>
      </c>
      <c r="P4629">
        <v>9195</v>
      </c>
    </row>
    <row r="4630" spans="13:16" x14ac:dyDescent="0.3">
      <c r="M4630">
        <v>4628</v>
      </c>
      <c r="N4630">
        <v>613879</v>
      </c>
      <c r="P4630">
        <v>-647618</v>
      </c>
    </row>
    <row r="4631" spans="13:16" x14ac:dyDescent="0.3">
      <c r="M4631">
        <v>4629</v>
      </c>
      <c r="N4631">
        <v>105485</v>
      </c>
      <c r="P4631">
        <v>380750</v>
      </c>
    </row>
    <row r="4632" spans="13:16" x14ac:dyDescent="0.3">
      <c r="M4632">
        <v>4630</v>
      </c>
      <c r="N4632">
        <v>568757</v>
      </c>
      <c r="P4632">
        <v>1001057</v>
      </c>
    </row>
    <row r="4633" spans="13:16" x14ac:dyDescent="0.3">
      <c r="M4633">
        <v>4631</v>
      </c>
      <c r="N4633">
        <v>-269413</v>
      </c>
      <c r="P4633">
        <v>165747</v>
      </c>
    </row>
    <row r="4634" spans="13:16" x14ac:dyDescent="0.3">
      <c r="M4634">
        <v>4632</v>
      </c>
      <c r="N4634">
        <v>173220</v>
      </c>
      <c r="P4634">
        <v>295243</v>
      </c>
    </row>
    <row r="4635" spans="13:16" x14ac:dyDescent="0.3">
      <c r="M4635">
        <v>4633</v>
      </c>
      <c r="N4635">
        <v>200457</v>
      </c>
      <c r="P4635">
        <v>-192777</v>
      </c>
    </row>
    <row r="4636" spans="13:16" x14ac:dyDescent="0.3">
      <c r="M4636">
        <v>4634</v>
      </c>
      <c r="N4636">
        <v>-484636</v>
      </c>
      <c r="P4636">
        <v>-763068</v>
      </c>
    </row>
    <row r="4637" spans="13:16" x14ac:dyDescent="0.3">
      <c r="M4637">
        <v>4635</v>
      </c>
      <c r="N4637">
        <v>257988</v>
      </c>
      <c r="P4637">
        <v>-272535</v>
      </c>
    </row>
    <row r="4638" spans="13:16" x14ac:dyDescent="0.3">
      <c r="M4638">
        <v>4636</v>
      </c>
      <c r="N4638">
        <v>-475526</v>
      </c>
      <c r="P4638">
        <v>773023</v>
      </c>
    </row>
    <row r="4639" spans="13:16" x14ac:dyDescent="0.3">
      <c r="M4639">
        <v>4637</v>
      </c>
      <c r="N4639">
        <v>587774</v>
      </c>
      <c r="P4639">
        <v>-699550</v>
      </c>
    </row>
    <row r="4640" spans="13:16" x14ac:dyDescent="0.3">
      <c r="M4640">
        <v>4638</v>
      </c>
      <c r="N4640">
        <v>183753</v>
      </c>
      <c r="P4640">
        <v>-516328</v>
      </c>
    </row>
    <row r="4641" spans="13:16" x14ac:dyDescent="0.3">
      <c r="M4641">
        <v>4639</v>
      </c>
      <c r="N4641">
        <v>-205205</v>
      </c>
      <c r="P4641">
        <v>85229</v>
      </c>
    </row>
    <row r="4642" spans="13:16" x14ac:dyDescent="0.3">
      <c r="M4642">
        <v>4640</v>
      </c>
      <c r="N4642">
        <v>-275065</v>
      </c>
      <c r="P4642">
        <v>-589014</v>
      </c>
    </row>
    <row r="4643" spans="13:16" x14ac:dyDescent="0.3">
      <c r="M4643">
        <v>4641</v>
      </c>
      <c r="N4643">
        <v>-193282</v>
      </c>
      <c r="P4643">
        <v>-237372</v>
      </c>
    </row>
    <row r="4644" spans="13:16" x14ac:dyDescent="0.3">
      <c r="M4644">
        <v>4642</v>
      </c>
      <c r="N4644">
        <v>651360</v>
      </c>
      <c r="P4644">
        <v>-47929</v>
      </c>
    </row>
    <row r="4645" spans="13:16" x14ac:dyDescent="0.3">
      <c r="M4645">
        <v>4643</v>
      </c>
      <c r="N4645">
        <v>678535</v>
      </c>
      <c r="P4645">
        <v>439751</v>
      </c>
    </row>
    <row r="4646" spans="13:16" x14ac:dyDescent="0.3">
      <c r="M4646">
        <v>4644</v>
      </c>
      <c r="N4646">
        <v>513534</v>
      </c>
      <c r="P4646">
        <v>-378831</v>
      </c>
    </row>
    <row r="4647" spans="13:16" x14ac:dyDescent="0.3">
      <c r="M4647">
        <v>4645</v>
      </c>
      <c r="N4647">
        <v>-261781</v>
      </c>
      <c r="P4647">
        <v>-183269</v>
      </c>
    </row>
    <row r="4648" spans="13:16" x14ac:dyDescent="0.3">
      <c r="M4648">
        <v>4646</v>
      </c>
      <c r="N4648">
        <v>76963</v>
      </c>
      <c r="P4648">
        <v>-498380</v>
      </c>
    </row>
    <row r="4649" spans="13:16" x14ac:dyDescent="0.3">
      <c r="M4649">
        <v>4647</v>
      </c>
      <c r="N4649">
        <v>15322</v>
      </c>
      <c r="P4649">
        <v>-56611</v>
      </c>
    </row>
    <row r="4650" spans="13:16" x14ac:dyDescent="0.3">
      <c r="M4650">
        <v>4648</v>
      </c>
      <c r="N4650">
        <v>497022</v>
      </c>
      <c r="P4650">
        <v>11928</v>
      </c>
    </row>
    <row r="4651" spans="13:16" x14ac:dyDescent="0.3">
      <c r="M4651">
        <v>4649</v>
      </c>
      <c r="N4651">
        <v>-80463</v>
      </c>
      <c r="P4651">
        <v>71502</v>
      </c>
    </row>
    <row r="4652" spans="13:16" x14ac:dyDescent="0.3">
      <c r="M4652">
        <v>4650</v>
      </c>
      <c r="N4652">
        <v>-600873</v>
      </c>
      <c r="P4652">
        <v>704096</v>
      </c>
    </row>
    <row r="4653" spans="13:16" x14ac:dyDescent="0.3">
      <c r="M4653">
        <v>4651</v>
      </c>
      <c r="N4653">
        <v>-87368</v>
      </c>
      <c r="P4653">
        <v>191335</v>
      </c>
    </row>
    <row r="4654" spans="13:16" x14ac:dyDescent="0.3">
      <c r="M4654">
        <v>4652</v>
      </c>
      <c r="N4654">
        <v>638943</v>
      </c>
      <c r="P4654">
        <v>-608162</v>
      </c>
    </row>
    <row r="4655" spans="13:16" x14ac:dyDescent="0.3">
      <c r="M4655">
        <v>4653</v>
      </c>
      <c r="N4655">
        <v>-52927</v>
      </c>
      <c r="P4655">
        <v>559408</v>
      </c>
    </row>
    <row r="4656" spans="13:16" x14ac:dyDescent="0.3">
      <c r="M4656">
        <v>4654</v>
      </c>
      <c r="N4656">
        <v>328777</v>
      </c>
      <c r="P4656">
        <v>-629241</v>
      </c>
    </row>
    <row r="4657" spans="13:16" x14ac:dyDescent="0.3">
      <c r="M4657">
        <v>4655</v>
      </c>
      <c r="N4657">
        <v>-669412</v>
      </c>
      <c r="P4657">
        <v>-317125</v>
      </c>
    </row>
    <row r="4658" spans="13:16" x14ac:dyDescent="0.3">
      <c r="M4658">
        <v>4656</v>
      </c>
      <c r="N4658">
        <v>-239377</v>
      </c>
      <c r="P4658">
        <v>622694</v>
      </c>
    </row>
    <row r="4659" spans="13:16" x14ac:dyDescent="0.3">
      <c r="M4659">
        <v>4657</v>
      </c>
      <c r="N4659">
        <v>-318505</v>
      </c>
      <c r="P4659">
        <v>-482165</v>
      </c>
    </row>
    <row r="4660" spans="13:16" x14ac:dyDescent="0.3">
      <c r="M4660">
        <v>4658</v>
      </c>
      <c r="N4660">
        <v>-494420</v>
      </c>
      <c r="P4660">
        <v>605258</v>
      </c>
    </row>
    <row r="4661" spans="13:16" x14ac:dyDescent="0.3">
      <c r="M4661">
        <v>4659</v>
      </c>
      <c r="N4661">
        <v>-237249</v>
      </c>
      <c r="P4661">
        <v>-378352</v>
      </c>
    </row>
    <row r="4662" spans="13:16" x14ac:dyDescent="0.3">
      <c r="M4662">
        <v>4660</v>
      </c>
      <c r="N4662">
        <v>266685</v>
      </c>
      <c r="P4662">
        <v>-205220</v>
      </c>
    </row>
    <row r="4663" spans="13:16" x14ac:dyDescent="0.3">
      <c r="M4663">
        <v>4661</v>
      </c>
      <c r="N4663">
        <v>-550286</v>
      </c>
      <c r="P4663">
        <v>-541994</v>
      </c>
    </row>
    <row r="4664" spans="13:16" x14ac:dyDescent="0.3">
      <c r="M4664">
        <v>4662</v>
      </c>
      <c r="N4664">
        <v>291211</v>
      </c>
      <c r="P4664">
        <v>-491510</v>
      </c>
    </row>
    <row r="4665" spans="13:16" x14ac:dyDescent="0.3">
      <c r="M4665">
        <v>4663</v>
      </c>
      <c r="N4665">
        <v>-616627</v>
      </c>
      <c r="P4665">
        <v>338371</v>
      </c>
    </row>
    <row r="4666" spans="13:16" x14ac:dyDescent="0.3">
      <c r="M4666">
        <v>4664</v>
      </c>
      <c r="N4666">
        <v>329099</v>
      </c>
      <c r="P4666">
        <v>682228</v>
      </c>
    </row>
    <row r="4667" spans="13:16" x14ac:dyDescent="0.3">
      <c r="M4667">
        <v>4665</v>
      </c>
      <c r="N4667">
        <v>-668318</v>
      </c>
      <c r="P4667">
        <v>-430155</v>
      </c>
    </row>
    <row r="4668" spans="13:16" x14ac:dyDescent="0.3">
      <c r="M4668">
        <v>4666</v>
      </c>
      <c r="N4668">
        <v>-163141</v>
      </c>
      <c r="P4668">
        <v>-752833</v>
      </c>
    </row>
    <row r="4669" spans="13:16" x14ac:dyDescent="0.3">
      <c r="M4669">
        <v>4667</v>
      </c>
      <c r="N4669">
        <v>-141620</v>
      </c>
      <c r="P4669">
        <v>235913</v>
      </c>
    </row>
    <row r="4670" spans="13:16" x14ac:dyDescent="0.3">
      <c r="M4670">
        <v>4668</v>
      </c>
      <c r="N4670">
        <v>-526429</v>
      </c>
      <c r="P4670">
        <v>-214036</v>
      </c>
    </row>
    <row r="4671" spans="13:16" x14ac:dyDescent="0.3">
      <c r="M4671">
        <v>4669</v>
      </c>
      <c r="N4671">
        <v>-257722</v>
      </c>
      <c r="P4671">
        <v>-170737</v>
      </c>
    </row>
    <row r="4672" spans="13:16" x14ac:dyDescent="0.3">
      <c r="M4672">
        <v>4670</v>
      </c>
      <c r="N4672">
        <v>-341123</v>
      </c>
      <c r="P4672">
        <v>608167</v>
      </c>
    </row>
    <row r="4673" spans="13:16" x14ac:dyDescent="0.3">
      <c r="M4673">
        <v>4671</v>
      </c>
      <c r="N4673">
        <v>360312</v>
      </c>
      <c r="P4673">
        <v>476616</v>
      </c>
    </row>
    <row r="4674" spans="13:16" x14ac:dyDescent="0.3">
      <c r="M4674">
        <v>4672</v>
      </c>
      <c r="N4674">
        <v>474876</v>
      </c>
      <c r="P4674">
        <v>17678</v>
      </c>
    </row>
    <row r="4675" spans="13:16" x14ac:dyDescent="0.3">
      <c r="M4675">
        <v>4673</v>
      </c>
      <c r="N4675">
        <v>39769</v>
      </c>
      <c r="P4675">
        <v>121420</v>
      </c>
    </row>
    <row r="4676" spans="13:16" x14ac:dyDescent="0.3">
      <c r="M4676">
        <v>4674</v>
      </c>
      <c r="N4676">
        <v>527226</v>
      </c>
      <c r="P4676">
        <v>-342866</v>
      </c>
    </row>
    <row r="4677" spans="13:16" x14ac:dyDescent="0.3">
      <c r="M4677">
        <v>4675</v>
      </c>
      <c r="N4677">
        <v>-52740</v>
      </c>
      <c r="P4677">
        <v>55983</v>
      </c>
    </row>
    <row r="4678" spans="13:16" x14ac:dyDescent="0.3">
      <c r="M4678">
        <v>4676</v>
      </c>
      <c r="N4678">
        <v>4389</v>
      </c>
      <c r="P4678">
        <v>692316</v>
      </c>
    </row>
    <row r="4679" spans="13:16" x14ac:dyDescent="0.3">
      <c r="M4679">
        <v>4677</v>
      </c>
      <c r="N4679">
        <v>499432</v>
      </c>
      <c r="P4679">
        <v>-677451</v>
      </c>
    </row>
    <row r="4680" spans="13:16" x14ac:dyDescent="0.3">
      <c r="M4680">
        <v>4678</v>
      </c>
      <c r="N4680">
        <v>315444</v>
      </c>
      <c r="P4680">
        <v>981294</v>
      </c>
    </row>
    <row r="4681" spans="13:16" x14ac:dyDescent="0.3">
      <c r="M4681">
        <v>4679</v>
      </c>
      <c r="N4681">
        <v>398734</v>
      </c>
      <c r="P4681">
        <v>43131</v>
      </c>
    </row>
    <row r="4682" spans="13:16" x14ac:dyDescent="0.3">
      <c r="M4682">
        <v>4680</v>
      </c>
      <c r="N4682">
        <v>-475603</v>
      </c>
      <c r="P4682">
        <v>-443362</v>
      </c>
    </row>
    <row r="4683" spans="13:16" x14ac:dyDescent="0.3">
      <c r="M4683">
        <v>4681</v>
      </c>
      <c r="N4683">
        <v>49420</v>
      </c>
      <c r="P4683">
        <v>-752234</v>
      </c>
    </row>
    <row r="4684" spans="13:16" x14ac:dyDescent="0.3">
      <c r="M4684">
        <v>4682</v>
      </c>
      <c r="N4684">
        <v>803761</v>
      </c>
      <c r="P4684">
        <v>-287710</v>
      </c>
    </row>
    <row r="4685" spans="13:16" x14ac:dyDescent="0.3">
      <c r="M4685">
        <v>4683</v>
      </c>
      <c r="N4685">
        <v>-318996</v>
      </c>
      <c r="P4685">
        <v>594358</v>
      </c>
    </row>
    <row r="4686" spans="13:16" x14ac:dyDescent="0.3">
      <c r="M4686">
        <v>4684</v>
      </c>
      <c r="N4686">
        <v>-473671</v>
      </c>
      <c r="P4686">
        <v>-406645</v>
      </c>
    </row>
    <row r="4687" spans="13:16" x14ac:dyDescent="0.3">
      <c r="M4687">
        <v>4685</v>
      </c>
      <c r="N4687">
        <v>-219300</v>
      </c>
      <c r="P4687">
        <v>861506</v>
      </c>
    </row>
    <row r="4688" spans="13:16" x14ac:dyDescent="0.3">
      <c r="M4688">
        <v>4686</v>
      </c>
      <c r="N4688">
        <v>227861</v>
      </c>
      <c r="P4688">
        <v>376655</v>
      </c>
    </row>
    <row r="4689" spans="13:16" x14ac:dyDescent="0.3">
      <c r="M4689">
        <v>4687</v>
      </c>
      <c r="N4689">
        <v>-140920</v>
      </c>
      <c r="P4689">
        <v>454998</v>
      </c>
    </row>
    <row r="4690" spans="13:16" x14ac:dyDescent="0.3">
      <c r="M4690">
        <v>4688</v>
      </c>
      <c r="N4690">
        <v>49476</v>
      </c>
      <c r="P4690">
        <v>301727</v>
      </c>
    </row>
    <row r="4691" spans="13:16" x14ac:dyDescent="0.3">
      <c r="M4691">
        <v>4689</v>
      </c>
      <c r="N4691">
        <v>-522724</v>
      </c>
      <c r="P4691">
        <v>-455385</v>
      </c>
    </row>
    <row r="4692" spans="13:16" x14ac:dyDescent="0.3">
      <c r="M4692">
        <v>4690</v>
      </c>
      <c r="N4692">
        <v>41454</v>
      </c>
      <c r="P4692">
        <v>-39752</v>
      </c>
    </row>
    <row r="4693" spans="13:16" x14ac:dyDescent="0.3">
      <c r="M4693">
        <v>4691</v>
      </c>
      <c r="N4693">
        <v>727901</v>
      </c>
      <c r="P4693">
        <v>231462</v>
      </c>
    </row>
    <row r="4694" spans="13:16" x14ac:dyDescent="0.3">
      <c r="M4694">
        <v>4692</v>
      </c>
      <c r="N4694">
        <v>694773</v>
      </c>
      <c r="P4694">
        <v>-592443</v>
      </c>
    </row>
    <row r="4695" spans="13:16" x14ac:dyDescent="0.3">
      <c r="M4695">
        <v>4693</v>
      </c>
      <c r="N4695">
        <v>-187510</v>
      </c>
      <c r="P4695">
        <v>-164881</v>
      </c>
    </row>
    <row r="4696" spans="13:16" x14ac:dyDescent="0.3">
      <c r="M4696">
        <v>4694</v>
      </c>
      <c r="N4696">
        <v>-239395</v>
      </c>
      <c r="P4696">
        <v>250104</v>
      </c>
    </row>
    <row r="4697" spans="13:16" x14ac:dyDescent="0.3">
      <c r="M4697">
        <v>4695</v>
      </c>
      <c r="N4697">
        <v>-180401</v>
      </c>
      <c r="P4697">
        <v>299952</v>
      </c>
    </row>
    <row r="4698" spans="13:16" x14ac:dyDescent="0.3">
      <c r="M4698">
        <v>4696</v>
      </c>
      <c r="N4698">
        <v>-427593</v>
      </c>
      <c r="P4698">
        <v>240781</v>
      </c>
    </row>
    <row r="4699" spans="13:16" x14ac:dyDescent="0.3">
      <c r="M4699">
        <v>4697</v>
      </c>
      <c r="N4699">
        <v>59323</v>
      </c>
      <c r="P4699">
        <v>341013</v>
      </c>
    </row>
    <row r="4700" spans="13:16" x14ac:dyDescent="0.3">
      <c r="M4700">
        <v>4698</v>
      </c>
      <c r="N4700">
        <v>-617474</v>
      </c>
      <c r="P4700">
        <v>236519</v>
      </c>
    </row>
    <row r="4701" spans="13:16" x14ac:dyDescent="0.3">
      <c r="M4701">
        <v>4699</v>
      </c>
      <c r="N4701">
        <v>-332308</v>
      </c>
      <c r="P4701">
        <v>-362879</v>
      </c>
    </row>
    <row r="4702" spans="13:16" x14ac:dyDescent="0.3">
      <c r="M4702">
        <v>4700</v>
      </c>
      <c r="N4702">
        <v>856729</v>
      </c>
      <c r="P4702">
        <v>736716</v>
      </c>
    </row>
    <row r="4703" spans="13:16" x14ac:dyDescent="0.3">
      <c r="M4703">
        <v>4701</v>
      </c>
      <c r="N4703">
        <v>-409946</v>
      </c>
      <c r="P4703">
        <v>-88681</v>
      </c>
    </row>
    <row r="4704" spans="13:16" x14ac:dyDescent="0.3">
      <c r="M4704">
        <v>4702</v>
      </c>
      <c r="N4704">
        <v>-722086</v>
      </c>
      <c r="P4704">
        <v>426273</v>
      </c>
    </row>
    <row r="4705" spans="13:16" x14ac:dyDescent="0.3">
      <c r="M4705">
        <v>4703</v>
      </c>
      <c r="N4705">
        <v>275339</v>
      </c>
      <c r="P4705">
        <v>-193072</v>
      </c>
    </row>
    <row r="4706" spans="13:16" x14ac:dyDescent="0.3">
      <c r="M4706">
        <v>4704</v>
      </c>
      <c r="N4706">
        <v>-406501</v>
      </c>
      <c r="P4706">
        <v>283402</v>
      </c>
    </row>
    <row r="4707" spans="13:16" x14ac:dyDescent="0.3">
      <c r="M4707">
        <v>4705</v>
      </c>
      <c r="N4707">
        <v>204276</v>
      </c>
      <c r="P4707">
        <v>72373</v>
      </c>
    </row>
    <row r="4708" spans="13:16" x14ac:dyDescent="0.3">
      <c r="M4708">
        <v>4706</v>
      </c>
      <c r="N4708">
        <v>-397348</v>
      </c>
      <c r="P4708">
        <v>275857</v>
      </c>
    </row>
    <row r="4709" spans="13:16" x14ac:dyDescent="0.3">
      <c r="M4709">
        <v>4707</v>
      </c>
      <c r="N4709">
        <v>371185</v>
      </c>
      <c r="P4709">
        <v>284582</v>
      </c>
    </row>
    <row r="4710" spans="13:16" x14ac:dyDescent="0.3">
      <c r="M4710">
        <v>4708</v>
      </c>
      <c r="N4710">
        <v>-194025</v>
      </c>
      <c r="P4710">
        <v>577723</v>
      </c>
    </row>
    <row r="4711" spans="13:16" x14ac:dyDescent="0.3">
      <c r="M4711">
        <v>4709</v>
      </c>
      <c r="N4711">
        <v>-297237</v>
      </c>
      <c r="P4711">
        <v>-612638</v>
      </c>
    </row>
    <row r="4712" spans="13:16" x14ac:dyDescent="0.3">
      <c r="M4712">
        <v>4710</v>
      </c>
      <c r="N4712">
        <v>359240</v>
      </c>
      <c r="P4712">
        <v>581825</v>
      </c>
    </row>
    <row r="4713" spans="13:16" x14ac:dyDescent="0.3">
      <c r="M4713">
        <v>4711</v>
      </c>
      <c r="N4713">
        <v>309919</v>
      </c>
      <c r="P4713">
        <v>-546770</v>
      </c>
    </row>
    <row r="4714" spans="13:16" x14ac:dyDescent="0.3">
      <c r="M4714">
        <v>4712</v>
      </c>
      <c r="N4714">
        <v>-98018</v>
      </c>
      <c r="P4714">
        <v>-394253</v>
      </c>
    </row>
    <row r="4715" spans="13:16" x14ac:dyDescent="0.3">
      <c r="M4715">
        <v>4713</v>
      </c>
      <c r="N4715">
        <v>-109136</v>
      </c>
      <c r="P4715">
        <v>212054</v>
      </c>
    </row>
    <row r="4716" spans="13:16" x14ac:dyDescent="0.3">
      <c r="M4716">
        <v>4714</v>
      </c>
      <c r="N4716">
        <v>367492</v>
      </c>
      <c r="P4716">
        <v>-25378</v>
      </c>
    </row>
    <row r="4717" spans="13:16" x14ac:dyDescent="0.3">
      <c r="M4717">
        <v>4715</v>
      </c>
      <c r="N4717">
        <v>461859</v>
      </c>
      <c r="P4717">
        <v>-253191</v>
      </c>
    </row>
    <row r="4718" spans="13:16" x14ac:dyDescent="0.3">
      <c r="M4718">
        <v>4716</v>
      </c>
      <c r="N4718">
        <v>-475491</v>
      </c>
      <c r="P4718">
        <v>161154</v>
      </c>
    </row>
    <row r="4719" spans="13:16" x14ac:dyDescent="0.3">
      <c r="M4719">
        <v>4717</v>
      </c>
      <c r="N4719">
        <v>-509180</v>
      </c>
      <c r="P4719">
        <v>-5456</v>
      </c>
    </row>
    <row r="4720" spans="13:16" x14ac:dyDescent="0.3">
      <c r="M4720">
        <v>4718</v>
      </c>
      <c r="N4720">
        <v>290685</v>
      </c>
      <c r="P4720">
        <v>144368</v>
      </c>
    </row>
    <row r="4721" spans="13:16" x14ac:dyDescent="0.3">
      <c r="M4721">
        <v>4719</v>
      </c>
      <c r="N4721">
        <v>-326916</v>
      </c>
      <c r="P4721">
        <v>-164560</v>
      </c>
    </row>
    <row r="4722" spans="13:16" x14ac:dyDescent="0.3">
      <c r="M4722">
        <v>4720</v>
      </c>
      <c r="N4722">
        <v>430783</v>
      </c>
      <c r="P4722">
        <v>-178866</v>
      </c>
    </row>
    <row r="4723" spans="13:16" x14ac:dyDescent="0.3">
      <c r="M4723">
        <v>4721</v>
      </c>
      <c r="N4723">
        <v>-149127</v>
      </c>
      <c r="P4723">
        <v>-143883</v>
      </c>
    </row>
    <row r="4724" spans="13:16" x14ac:dyDescent="0.3">
      <c r="M4724">
        <v>4722</v>
      </c>
      <c r="N4724">
        <v>-260506</v>
      </c>
      <c r="P4724">
        <v>-337820</v>
      </c>
    </row>
    <row r="4725" spans="13:16" x14ac:dyDescent="0.3">
      <c r="M4725">
        <v>4723</v>
      </c>
      <c r="N4725">
        <v>286377</v>
      </c>
      <c r="P4725">
        <v>-588516</v>
      </c>
    </row>
    <row r="4726" spans="13:16" x14ac:dyDescent="0.3">
      <c r="M4726">
        <v>4724</v>
      </c>
      <c r="N4726">
        <v>-19093</v>
      </c>
      <c r="P4726">
        <v>853799</v>
      </c>
    </row>
    <row r="4727" spans="13:16" x14ac:dyDescent="0.3">
      <c r="M4727">
        <v>4725</v>
      </c>
      <c r="N4727">
        <v>1135615</v>
      </c>
      <c r="P4727">
        <v>253969</v>
      </c>
    </row>
    <row r="4728" spans="13:16" x14ac:dyDescent="0.3">
      <c r="M4728">
        <v>4726</v>
      </c>
      <c r="N4728">
        <v>451108</v>
      </c>
      <c r="P4728">
        <v>190296</v>
      </c>
    </row>
    <row r="4729" spans="13:16" x14ac:dyDescent="0.3">
      <c r="M4729">
        <v>4727</v>
      </c>
      <c r="N4729">
        <v>52897</v>
      </c>
      <c r="P4729">
        <v>-285110</v>
      </c>
    </row>
    <row r="4730" spans="13:16" x14ac:dyDescent="0.3">
      <c r="M4730">
        <v>4728</v>
      </c>
      <c r="N4730">
        <v>-205465</v>
      </c>
      <c r="P4730">
        <v>-222253</v>
      </c>
    </row>
    <row r="4731" spans="13:16" x14ac:dyDescent="0.3">
      <c r="M4731">
        <v>4729</v>
      </c>
      <c r="N4731">
        <v>303388</v>
      </c>
      <c r="P4731">
        <v>-364705</v>
      </c>
    </row>
    <row r="4732" spans="13:16" x14ac:dyDescent="0.3">
      <c r="M4732">
        <v>4730</v>
      </c>
      <c r="N4732">
        <v>-460833</v>
      </c>
      <c r="P4732">
        <v>235657</v>
      </c>
    </row>
    <row r="4733" spans="13:16" x14ac:dyDescent="0.3">
      <c r="M4733">
        <v>4731</v>
      </c>
      <c r="N4733">
        <v>973707</v>
      </c>
      <c r="P4733">
        <v>-124869</v>
      </c>
    </row>
    <row r="4734" spans="13:16" x14ac:dyDescent="0.3">
      <c r="M4734">
        <v>4732</v>
      </c>
      <c r="N4734">
        <v>172000</v>
      </c>
      <c r="P4734">
        <v>-149412</v>
      </c>
    </row>
    <row r="4735" spans="13:16" x14ac:dyDescent="0.3">
      <c r="M4735">
        <v>4733</v>
      </c>
      <c r="N4735">
        <v>282459</v>
      </c>
      <c r="P4735">
        <v>272299</v>
      </c>
    </row>
    <row r="4736" spans="13:16" x14ac:dyDescent="0.3">
      <c r="M4736">
        <v>4734</v>
      </c>
      <c r="N4736">
        <v>258835</v>
      </c>
      <c r="P4736">
        <v>-329165</v>
      </c>
    </row>
    <row r="4737" spans="13:16" x14ac:dyDescent="0.3">
      <c r="M4737">
        <v>4735</v>
      </c>
      <c r="N4737">
        <v>507242</v>
      </c>
      <c r="P4737">
        <v>-160507</v>
      </c>
    </row>
    <row r="4738" spans="13:16" x14ac:dyDescent="0.3">
      <c r="M4738">
        <v>4736</v>
      </c>
      <c r="N4738">
        <v>-66240</v>
      </c>
      <c r="P4738">
        <v>-529818</v>
      </c>
    </row>
    <row r="4739" spans="13:16" x14ac:dyDescent="0.3">
      <c r="M4739">
        <v>4737</v>
      </c>
      <c r="N4739">
        <v>99662</v>
      </c>
      <c r="P4739">
        <v>-239170</v>
      </c>
    </row>
    <row r="4740" spans="13:16" x14ac:dyDescent="0.3">
      <c r="M4740">
        <v>4738</v>
      </c>
      <c r="N4740">
        <v>396288</v>
      </c>
      <c r="P4740">
        <v>-320165</v>
      </c>
    </row>
    <row r="4741" spans="13:16" x14ac:dyDescent="0.3">
      <c r="M4741">
        <v>4739</v>
      </c>
      <c r="N4741">
        <v>742978</v>
      </c>
      <c r="P4741">
        <v>96048</v>
      </c>
    </row>
    <row r="4742" spans="13:16" x14ac:dyDescent="0.3">
      <c r="M4742">
        <v>4740</v>
      </c>
      <c r="N4742">
        <v>334680</v>
      </c>
      <c r="P4742">
        <v>-526002</v>
      </c>
    </row>
    <row r="4743" spans="13:16" x14ac:dyDescent="0.3">
      <c r="M4743">
        <v>4741</v>
      </c>
      <c r="N4743">
        <v>-593731</v>
      </c>
      <c r="P4743">
        <v>-142683</v>
      </c>
    </row>
    <row r="4744" spans="13:16" x14ac:dyDescent="0.3">
      <c r="M4744">
        <v>4742</v>
      </c>
      <c r="N4744">
        <v>-841107</v>
      </c>
      <c r="P4744">
        <v>-529153</v>
      </c>
    </row>
    <row r="4745" spans="13:16" x14ac:dyDescent="0.3">
      <c r="M4745">
        <v>4743</v>
      </c>
      <c r="N4745">
        <v>-57126</v>
      </c>
      <c r="P4745">
        <v>262665</v>
      </c>
    </row>
    <row r="4746" spans="13:16" x14ac:dyDescent="0.3">
      <c r="M4746">
        <v>4744</v>
      </c>
      <c r="N4746">
        <v>-440738</v>
      </c>
      <c r="P4746">
        <v>101763</v>
      </c>
    </row>
    <row r="4747" spans="13:16" x14ac:dyDescent="0.3">
      <c r="M4747">
        <v>4745</v>
      </c>
      <c r="N4747">
        <v>-13249</v>
      </c>
      <c r="P4747">
        <v>221012</v>
      </c>
    </row>
    <row r="4748" spans="13:16" x14ac:dyDescent="0.3">
      <c r="M4748">
        <v>4746</v>
      </c>
      <c r="N4748">
        <v>-550307</v>
      </c>
      <c r="P4748">
        <v>-134637</v>
      </c>
    </row>
    <row r="4749" spans="13:16" x14ac:dyDescent="0.3">
      <c r="M4749">
        <v>4747</v>
      </c>
      <c r="N4749">
        <v>596934</v>
      </c>
      <c r="P4749">
        <v>-137369</v>
      </c>
    </row>
    <row r="4750" spans="13:16" x14ac:dyDescent="0.3">
      <c r="M4750">
        <v>4748</v>
      </c>
      <c r="N4750">
        <v>-291366</v>
      </c>
      <c r="P4750">
        <v>52657</v>
      </c>
    </row>
    <row r="4751" spans="13:16" x14ac:dyDescent="0.3">
      <c r="M4751">
        <v>4749</v>
      </c>
      <c r="N4751">
        <v>-314837</v>
      </c>
      <c r="P4751">
        <v>-750504</v>
      </c>
    </row>
    <row r="4752" spans="13:16" x14ac:dyDescent="0.3">
      <c r="M4752">
        <v>4750</v>
      </c>
      <c r="N4752">
        <v>410377</v>
      </c>
      <c r="P4752">
        <v>443575</v>
      </c>
    </row>
    <row r="4753" spans="13:16" x14ac:dyDescent="0.3">
      <c r="M4753">
        <v>4751</v>
      </c>
      <c r="N4753">
        <v>-141513</v>
      </c>
      <c r="P4753">
        <v>-828108</v>
      </c>
    </row>
    <row r="4754" spans="13:16" x14ac:dyDescent="0.3">
      <c r="M4754">
        <v>4752</v>
      </c>
      <c r="N4754">
        <v>-123093</v>
      </c>
      <c r="P4754">
        <v>-358742</v>
      </c>
    </row>
    <row r="4755" spans="13:16" x14ac:dyDescent="0.3">
      <c r="M4755">
        <v>4753</v>
      </c>
      <c r="N4755">
        <v>717420</v>
      </c>
      <c r="P4755">
        <v>94445</v>
      </c>
    </row>
    <row r="4756" spans="13:16" x14ac:dyDescent="0.3">
      <c r="M4756">
        <v>4754</v>
      </c>
      <c r="N4756">
        <v>43670</v>
      </c>
      <c r="P4756">
        <v>-393577</v>
      </c>
    </row>
    <row r="4757" spans="13:16" x14ac:dyDescent="0.3">
      <c r="M4757">
        <v>4755</v>
      </c>
      <c r="N4757">
        <v>367715</v>
      </c>
      <c r="P4757">
        <v>610904</v>
      </c>
    </row>
    <row r="4758" spans="13:16" x14ac:dyDescent="0.3">
      <c r="M4758">
        <v>4756</v>
      </c>
      <c r="N4758">
        <v>-439326</v>
      </c>
      <c r="P4758">
        <v>418835</v>
      </c>
    </row>
    <row r="4759" spans="13:16" x14ac:dyDescent="0.3">
      <c r="M4759">
        <v>4757</v>
      </c>
      <c r="N4759">
        <v>-95279</v>
      </c>
      <c r="P4759">
        <v>-44584</v>
      </c>
    </row>
    <row r="4760" spans="13:16" x14ac:dyDescent="0.3">
      <c r="M4760">
        <v>4758</v>
      </c>
      <c r="N4760">
        <v>634514</v>
      </c>
      <c r="P4760">
        <v>654431</v>
      </c>
    </row>
    <row r="4761" spans="13:16" x14ac:dyDescent="0.3">
      <c r="M4761">
        <v>4759</v>
      </c>
      <c r="N4761">
        <v>-349244</v>
      </c>
      <c r="P4761">
        <v>-312728</v>
      </c>
    </row>
    <row r="4762" spans="13:16" x14ac:dyDescent="0.3">
      <c r="M4762">
        <v>4760</v>
      </c>
      <c r="N4762">
        <v>534866</v>
      </c>
      <c r="P4762">
        <v>662896</v>
      </c>
    </row>
    <row r="4763" spans="13:16" x14ac:dyDescent="0.3">
      <c r="M4763">
        <v>4761</v>
      </c>
      <c r="N4763">
        <v>283958</v>
      </c>
      <c r="P4763">
        <v>-109087</v>
      </c>
    </row>
    <row r="4764" spans="13:16" x14ac:dyDescent="0.3">
      <c r="M4764">
        <v>4762</v>
      </c>
      <c r="N4764">
        <v>508391</v>
      </c>
      <c r="P4764">
        <v>-403271</v>
      </c>
    </row>
    <row r="4765" spans="13:16" x14ac:dyDescent="0.3">
      <c r="M4765">
        <v>4763</v>
      </c>
      <c r="N4765">
        <v>699096</v>
      </c>
      <c r="P4765">
        <v>293337</v>
      </c>
    </row>
    <row r="4766" spans="13:16" x14ac:dyDescent="0.3">
      <c r="M4766">
        <v>4764</v>
      </c>
      <c r="N4766">
        <v>603847</v>
      </c>
      <c r="P4766">
        <v>458288</v>
      </c>
    </row>
    <row r="4767" spans="13:16" x14ac:dyDescent="0.3">
      <c r="M4767">
        <v>4765</v>
      </c>
      <c r="N4767">
        <v>658551</v>
      </c>
      <c r="P4767">
        <v>842999</v>
      </c>
    </row>
    <row r="4768" spans="13:16" x14ac:dyDescent="0.3">
      <c r="M4768">
        <v>4766</v>
      </c>
      <c r="N4768">
        <v>-422382</v>
      </c>
      <c r="P4768">
        <v>200728</v>
      </c>
    </row>
    <row r="4769" spans="13:16" x14ac:dyDescent="0.3">
      <c r="M4769">
        <v>4767</v>
      </c>
      <c r="N4769">
        <v>-179552</v>
      </c>
      <c r="P4769">
        <v>47289</v>
      </c>
    </row>
    <row r="4770" spans="13:16" x14ac:dyDescent="0.3">
      <c r="M4770">
        <v>4768</v>
      </c>
      <c r="N4770">
        <v>-289208</v>
      </c>
      <c r="P4770">
        <v>442469</v>
      </c>
    </row>
    <row r="4771" spans="13:16" x14ac:dyDescent="0.3">
      <c r="M4771">
        <v>4769</v>
      </c>
      <c r="N4771">
        <v>-228866</v>
      </c>
      <c r="P4771">
        <v>639215</v>
      </c>
    </row>
    <row r="4772" spans="13:16" x14ac:dyDescent="0.3">
      <c r="M4772">
        <v>4770</v>
      </c>
      <c r="N4772">
        <v>125445</v>
      </c>
      <c r="P4772">
        <v>-28842</v>
      </c>
    </row>
    <row r="4773" spans="13:16" x14ac:dyDescent="0.3">
      <c r="M4773">
        <v>4771</v>
      </c>
      <c r="N4773">
        <v>-331083</v>
      </c>
      <c r="P4773">
        <v>197928</v>
      </c>
    </row>
    <row r="4774" spans="13:16" x14ac:dyDescent="0.3">
      <c r="M4774">
        <v>4772</v>
      </c>
      <c r="N4774">
        <v>-442277</v>
      </c>
      <c r="P4774">
        <v>870669</v>
      </c>
    </row>
    <row r="4775" spans="13:16" x14ac:dyDescent="0.3">
      <c r="M4775">
        <v>4773</v>
      </c>
      <c r="N4775">
        <v>-347682</v>
      </c>
      <c r="P4775">
        <v>431453</v>
      </c>
    </row>
    <row r="4776" spans="13:16" x14ac:dyDescent="0.3">
      <c r="M4776">
        <v>4774</v>
      </c>
      <c r="N4776">
        <v>-348066</v>
      </c>
      <c r="P4776">
        <v>-453129</v>
      </c>
    </row>
    <row r="4777" spans="13:16" x14ac:dyDescent="0.3">
      <c r="M4777">
        <v>4775</v>
      </c>
      <c r="N4777">
        <v>123827</v>
      </c>
      <c r="P4777">
        <v>499176</v>
      </c>
    </row>
    <row r="4778" spans="13:16" x14ac:dyDescent="0.3">
      <c r="M4778">
        <v>4776</v>
      </c>
      <c r="N4778">
        <v>-324568</v>
      </c>
      <c r="P4778">
        <v>540935</v>
      </c>
    </row>
    <row r="4779" spans="13:16" x14ac:dyDescent="0.3">
      <c r="M4779">
        <v>4777</v>
      </c>
      <c r="N4779">
        <v>327656</v>
      </c>
      <c r="P4779">
        <v>621675</v>
      </c>
    </row>
    <row r="4780" spans="13:16" x14ac:dyDescent="0.3">
      <c r="M4780">
        <v>4778</v>
      </c>
      <c r="N4780">
        <v>816028</v>
      </c>
      <c r="P4780">
        <v>-645267</v>
      </c>
    </row>
    <row r="4781" spans="13:16" x14ac:dyDescent="0.3">
      <c r="M4781">
        <v>4779</v>
      </c>
      <c r="N4781">
        <v>158548</v>
      </c>
      <c r="P4781">
        <v>-617672</v>
      </c>
    </row>
    <row r="4782" spans="13:16" x14ac:dyDescent="0.3">
      <c r="M4782">
        <v>4780</v>
      </c>
      <c r="N4782">
        <v>-184595</v>
      </c>
      <c r="P4782">
        <v>-269729</v>
      </c>
    </row>
    <row r="4783" spans="13:16" x14ac:dyDescent="0.3">
      <c r="M4783">
        <v>4781</v>
      </c>
      <c r="N4783">
        <v>109837</v>
      </c>
      <c r="P4783">
        <v>376064</v>
      </c>
    </row>
    <row r="4784" spans="13:16" x14ac:dyDescent="0.3">
      <c r="M4784">
        <v>4782</v>
      </c>
      <c r="N4784">
        <v>750487</v>
      </c>
      <c r="P4784">
        <v>1069434</v>
      </c>
    </row>
    <row r="4785" spans="13:16" x14ac:dyDescent="0.3">
      <c r="M4785">
        <v>4783</v>
      </c>
      <c r="N4785">
        <v>-512356</v>
      </c>
      <c r="P4785">
        <v>-389782</v>
      </c>
    </row>
    <row r="4786" spans="13:16" x14ac:dyDescent="0.3">
      <c r="M4786">
        <v>4784</v>
      </c>
      <c r="N4786">
        <v>136776</v>
      </c>
      <c r="P4786">
        <v>-267515</v>
      </c>
    </row>
    <row r="4787" spans="13:16" x14ac:dyDescent="0.3">
      <c r="M4787">
        <v>4785</v>
      </c>
      <c r="N4787">
        <v>-401051</v>
      </c>
      <c r="P4787">
        <v>-149803</v>
      </c>
    </row>
    <row r="4788" spans="13:16" x14ac:dyDescent="0.3">
      <c r="M4788">
        <v>4786</v>
      </c>
      <c r="N4788">
        <v>963777</v>
      </c>
      <c r="P4788">
        <v>514309</v>
      </c>
    </row>
    <row r="4789" spans="13:16" x14ac:dyDescent="0.3">
      <c r="M4789">
        <v>4787</v>
      </c>
      <c r="N4789">
        <v>-376757</v>
      </c>
      <c r="P4789">
        <v>-582550</v>
      </c>
    </row>
    <row r="4790" spans="13:16" x14ac:dyDescent="0.3">
      <c r="M4790">
        <v>4788</v>
      </c>
      <c r="N4790">
        <v>361786</v>
      </c>
      <c r="P4790">
        <v>-208453</v>
      </c>
    </row>
    <row r="4791" spans="13:16" x14ac:dyDescent="0.3">
      <c r="M4791">
        <v>4789</v>
      </c>
      <c r="N4791">
        <v>-767916</v>
      </c>
      <c r="P4791">
        <v>-1137</v>
      </c>
    </row>
    <row r="4792" spans="13:16" x14ac:dyDescent="0.3">
      <c r="M4792">
        <v>4790</v>
      </c>
      <c r="N4792">
        <v>316755</v>
      </c>
      <c r="P4792">
        <v>-171482</v>
      </c>
    </row>
    <row r="4793" spans="13:16" x14ac:dyDescent="0.3">
      <c r="M4793">
        <v>4791</v>
      </c>
      <c r="N4793">
        <v>669223</v>
      </c>
      <c r="P4793">
        <v>-832079</v>
      </c>
    </row>
    <row r="4794" spans="13:16" x14ac:dyDescent="0.3">
      <c r="M4794">
        <v>4792</v>
      </c>
      <c r="N4794">
        <v>189436</v>
      </c>
      <c r="P4794">
        <v>-558129</v>
      </c>
    </row>
    <row r="4795" spans="13:16" x14ac:dyDescent="0.3">
      <c r="M4795">
        <v>4793</v>
      </c>
      <c r="N4795">
        <v>-179240</v>
      </c>
      <c r="P4795">
        <v>289500</v>
      </c>
    </row>
    <row r="4796" spans="13:16" x14ac:dyDescent="0.3">
      <c r="M4796">
        <v>4794</v>
      </c>
      <c r="N4796">
        <v>-525783</v>
      </c>
      <c r="P4796">
        <v>-380071</v>
      </c>
    </row>
    <row r="4797" spans="13:16" x14ac:dyDescent="0.3">
      <c r="M4797">
        <v>4795</v>
      </c>
      <c r="N4797">
        <v>705818</v>
      </c>
      <c r="P4797">
        <v>117313</v>
      </c>
    </row>
    <row r="4798" spans="13:16" x14ac:dyDescent="0.3">
      <c r="M4798">
        <v>4796</v>
      </c>
      <c r="N4798">
        <v>244665</v>
      </c>
      <c r="P4798">
        <v>410658</v>
      </c>
    </row>
    <row r="4799" spans="13:16" x14ac:dyDescent="0.3">
      <c r="M4799">
        <v>4797</v>
      </c>
      <c r="N4799">
        <v>134409</v>
      </c>
      <c r="P4799">
        <v>-425956</v>
      </c>
    </row>
    <row r="4800" spans="13:16" x14ac:dyDescent="0.3">
      <c r="M4800">
        <v>4798</v>
      </c>
      <c r="N4800">
        <v>-406082</v>
      </c>
      <c r="P4800">
        <v>-295696</v>
      </c>
    </row>
    <row r="4801" spans="13:16" x14ac:dyDescent="0.3">
      <c r="M4801">
        <v>4799</v>
      </c>
      <c r="N4801">
        <v>-540297</v>
      </c>
      <c r="P4801">
        <v>397251</v>
      </c>
    </row>
    <row r="4802" spans="13:16" x14ac:dyDescent="0.3">
      <c r="M4802">
        <v>4800</v>
      </c>
      <c r="N4802">
        <v>-77053</v>
      </c>
      <c r="P4802">
        <v>416685</v>
      </c>
    </row>
    <row r="4803" spans="13:16" x14ac:dyDescent="0.3">
      <c r="M4803">
        <v>4801</v>
      </c>
      <c r="N4803">
        <v>-25021</v>
      </c>
      <c r="P4803">
        <v>321179</v>
      </c>
    </row>
    <row r="4804" spans="13:16" x14ac:dyDescent="0.3">
      <c r="M4804">
        <v>4802</v>
      </c>
      <c r="N4804">
        <v>25694</v>
      </c>
      <c r="P4804">
        <v>-754906</v>
      </c>
    </row>
    <row r="4805" spans="13:16" x14ac:dyDescent="0.3">
      <c r="M4805">
        <v>4803</v>
      </c>
      <c r="N4805">
        <v>-688672</v>
      </c>
      <c r="P4805">
        <v>967012</v>
      </c>
    </row>
    <row r="4806" spans="13:16" x14ac:dyDescent="0.3">
      <c r="M4806">
        <v>4804</v>
      </c>
      <c r="N4806">
        <v>770148</v>
      </c>
      <c r="P4806">
        <v>1084077</v>
      </c>
    </row>
    <row r="4807" spans="13:16" x14ac:dyDescent="0.3">
      <c r="M4807">
        <v>4805</v>
      </c>
      <c r="N4807">
        <v>83863</v>
      </c>
      <c r="P4807">
        <v>-642953</v>
      </c>
    </row>
    <row r="4808" spans="13:16" x14ac:dyDescent="0.3">
      <c r="M4808">
        <v>4806</v>
      </c>
      <c r="N4808">
        <v>-381433</v>
      </c>
      <c r="P4808">
        <v>826686</v>
      </c>
    </row>
    <row r="4809" spans="13:16" x14ac:dyDescent="0.3">
      <c r="M4809">
        <v>4807</v>
      </c>
      <c r="N4809">
        <v>270704</v>
      </c>
      <c r="P4809">
        <v>328726</v>
      </c>
    </row>
    <row r="4810" spans="13:16" x14ac:dyDescent="0.3">
      <c r="M4810">
        <v>4808</v>
      </c>
      <c r="N4810">
        <v>283316</v>
      </c>
      <c r="P4810">
        <v>482144</v>
      </c>
    </row>
    <row r="4811" spans="13:16" x14ac:dyDescent="0.3">
      <c r="M4811">
        <v>4809</v>
      </c>
      <c r="N4811">
        <v>-379079</v>
      </c>
      <c r="P4811">
        <v>-424787</v>
      </c>
    </row>
    <row r="4812" spans="13:16" x14ac:dyDescent="0.3">
      <c r="M4812">
        <v>4810</v>
      </c>
      <c r="N4812">
        <v>542706</v>
      </c>
      <c r="P4812">
        <v>-370781</v>
      </c>
    </row>
    <row r="4813" spans="13:16" x14ac:dyDescent="0.3">
      <c r="M4813">
        <v>4811</v>
      </c>
      <c r="N4813">
        <v>533809</v>
      </c>
      <c r="P4813">
        <v>534650</v>
      </c>
    </row>
    <row r="4814" spans="13:16" x14ac:dyDescent="0.3">
      <c r="M4814">
        <v>4812</v>
      </c>
      <c r="N4814">
        <v>630435</v>
      </c>
      <c r="P4814">
        <v>132829</v>
      </c>
    </row>
    <row r="4815" spans="13:16" x14ac:dyDescent="0.3">
      <c r="M4815">
        <v>4813</v>
      </c>
      <c r="N4815">
        <v>-601994</v>
      </c>
      <c r="P4815">
        <v>505867</v>
      </c>
    </row>
    <row r="4816" spans="13:16" x14ac:dyDescent="0.3">
      <c r="M4816">
        <v>4814</v>
      </c>
      <c r="N4816">
        <v>-448567</v>
      </c>
      <c r="P4816">
        <v>117312</v>
      </c>
    </row>
    <row r="4817" spans="13:16" x14ac:dyDescent="0.3">
      <c r="M4817">
        <v>4815</v>
      </c>
      <c r="N4817">
        <v>201100</v>
      </c>
      <c r="P4817">
        <v>494095</v>
      </c>
    </row>
    <row r="4818" spans="13:16" x14ac:dyDescent="0.3">
      <c r="M4818">
        <v>4816</v>
      </c>
      <c r="N4818">
        <v>855211</v>
      </c>
      <c r="P4818">
        <v>-435834</v>
      </c>
    </row>
    <row r="4819" spans="13:16" x14ac:dyDescent="0.3">
      <c r="M4819">
        <v>4817</v>
      </c>
      <c r="N4819">
        <v>230570</v>
      </c>
      <c r="P4819">
        <v>-602781</v>
      </c>
    </row>
    <row r="4820" spans="13:16" x14ac:dyDescent="0.3">
      <c r="M4820">
        <v>4818</v>
      </c>
      <c r="N4820">
        <v>31730</v>
      </c>
      <c r="P4820">
        <v>-670730</v>
      </c>
    </row>
    <row r="4821" spans="13:16" x14ac:dyDescent="0.3">
      <c r="M4821">
        <v>4819</v>
      </c>
      <c r="N4821">
        <v>-372394</v>
      </c>
      <c r="P4821">
        <v>450066</v>
      </c>
    </row>
    <row r="4822" spans="13:16" x14ac:dyDescent="0.3">
      <c r="M4822">
        <v>4820</v>
      </c>
      <c r="N4822">
        <v>544564</v>
      </c>
      <c r="P4822">
        <v>-381384</v>
      </c>
    </row>
    <row r="4823" spans="13:16" x14ac:dyDescent="0.3">
      <c r="M4823">
        <v>4821</v>
      </c>
      <c r="N4823">
        <v>-377538</v>
      </c>
      <c r="P4823">
        <v>78753</v>
      </c>
    </row>
    <row r="4824" spans="13:16" x14ac:dyDescent="0.3">
      <c r="M4824">
        <v>4822</v>
      </c>
      <c r="N4824">
        <v>-372281</v>
      </c>
      <c r="P4824">
        <v>211988</v>
      </c>
    </row>
    <row r="4825" spans="13:16" x14ac:dyDescent="0.3">
      <c r="M4825">
        <v>4823</v>
      </c>
      <c r="N4825">
        <v>251206</v>
      </c>
      <c r="P4825">
        <v>-209259</v>
      </c>
    </row>
    <row r="4826" spans="13:16" x14ac:dyDescent="0.3">
      <c r="M4826">
        <v>4824</v>
      </c>
      <c r="N4826">
        <v>312018</v>
      </c>
      <c r="P4826">
        <v>705346</v>
      </c>
    </row>
    <row r="4827" spans="13:16" x14ac:dyDescent="0.3">
      <c r="M4827">
        <v>4825</v>
      </c>
      <c r="N4827">
        <v>241187</v>
      </c>
      <c r="P4827">
        <v>237579</v>
      </c>
    </row>
    <row r="4828" spans="13:16" x14ac:dyDescent="0.3">
      <c r="M4828">
        <v>4826</v>
      </c>
      <c r="N4828">
        <v>20498</v>
      </c>
      <c r="P4828">
        <v>-187209</v>
      </c>
    </row>
    <row r="4829" spans="13:16" x14ac:dyDescent="0.3">
      <c r="M4829">
        <v>4827</v>
      </c>
      <c r="N4829">
        <v>275024</v>
      </c>
      <c r="P4829">
        <v>-554431</v>
      </c>
    </row>
    <row r="4830" spans="13:16" x14ac:dyDescent="0.3">
      <c r="M4830">
        <v>4828</v>
      </c>
      <c r="N4830">
        <v>318997</v>
      </c>
      <c r="P4830">
        <v>-348424</v>
      </c>
    </row>
    <row r="4831" spans="13:16" x14ac:dyDescent="0.3">
      <c r="M4831">
        <v>4829</v>
      </c>
      <c r="N4831">
        <v>301254</v>
      </c>
      <c r="P4831">
        <v>770142</v>
      </c>
    </row>
    <row r="4832" spans="13:16" x14ac:dyDescent="0.3">
      <c r="M4832">
        <v>4830</v>
      </c>
      <c r="N4832">
        <v>-218769</v>
      </c>
      <c r="P4832">
        <v>271958</v>
      </c>
    </row>
    <row r="4833" spans="13:16" x14ac:dyDescent="0.3">
      <c r="M4833">
        <v>4831</v>
      </c>
      <c r="N4833">
        <v>44482</v>
      </c>
      <c r="P4833">
        <v>786633</v>
      </c>
    </row>
    <row r="4834" spans="13:16" x14ac:dyDescent="0.3">
      <c r="M4834">
        <v>4832</v>
      </c>
      <c r="N4834">
        <v>123109</v>
      </c>
      <c r="P4834">
        <v>-733389</v>
      </c>
    </row>
    <row r="4835" spans="13:16" x14ac:dyDescent="0.3">
      <c r="M4835">
        <v>4833</v>
      </c>
      <c r="N4835">
        <v>-305778</v>
      </c>
      <c r="P4835">
        <v>-746813</v>
      </c>
    </row>
    <row r="4836" spans="13:16" x14ac:dyDescent="0.3">
      <c r="M4836">
        <v>4834</v>
      </c>
      <c r="N4836">
        <v>71460</v>
      </c>
      <c r="P4836">
        <v>89281</v>
      </c>
    </row>
    <row r="4837" spans="13:16" x14ac:dyDescent="0.3">
      <c r="M4837">
        <v>4835</v>
      </c>
      <c r="N4837">
        <v>-679534</v>
      </c>
      <c r="P4837">
        <v>-200032</v>
      </c>
    </row>
    <row r="4838" spans="13:16" x14ac:dyDescent="0.3">
      <c r="M4838">
        <v>4836</v>
      </c>
      <c r="N4838">
        <v>-739575</v>
      </c>
      <c r="P4838">
        <v>-501921</v>
      </c>
    </row>
    <row r="4839" spans="13:16" x14ac:dyDescent="0.3">
      <c r="M4839">
        <v>4837</v>
      </c>
      <c r="N4839">
        <v>-143693</v>
      </c>
      <c r="P4839">
        <v>306856</v>
      </c>
    </row>
    <row r="4840" spans="13:16" x14ac:dyDescent="0.3">
      <c r="M4840">
        <v>4838</v>
      </c>
      <c r="N4840">
        <v>415985</v>
      </c>
      <c r="P4840">
        <v>239538</v>
      </c>
    </row>
    <row r="4841" spans="13:16" x14ac:dyDescent="0.3">
      <c r="M4841">
        <v>4839</v>
      </c>
      <c r="N4841">
        <v>43513</v>
      </c>
      <c r="P4841">
        <v>375975</v>
      </c>
    </row>
    <row r="4842" spans="13:16" x14ac:dyDescent="0.3">
      <c r="M4842">
        <v>4840</v>
      </c>
      <c r="N4842">
        <v>-210192</v>
      </c>
      <c r="P4842">
        <v>-382428</v>
      </c>
    </row>
    <row r="4843" spans="13:16" x14ac:dyDescent="0.3">
      <c r="M4843">
        <v>4841</v>
      </c>
      <c r="N4843">
        <v>232400</v>
      </c>
      <c r="P4843">
        <v>2534</v>
      </c>
    </row>
    <row r="4844" spans="13:16" x14ac:dyDescent="0.3">
      <c r="M4844">
        <v>4842</v>
      </c>
      <c r="N4844">
        <v>-293978</v>
      </c>
      <c r="P4844">
        <v>-158213</v>
      </c>
    </row>
    <row r="4845" spans="13:16" x14ac:dyDescent="0.3">
      <c r="M4845">
        <v>4843</v>
      </c>
      <c r="N4845">
        <v>-192075</v>
      </c>
      <c r="P4845">
        <v>-21963</v>
      </c>
    </row>
    <row r="4846" spans="13:16" x14ac:dyDescent="0.3">
      <c r="M4846">
        <v>4844</v>
      </c>
      <c r="N4846">
        <v>-311296</v>
      </c>
      <c r="P4846">
        <v>-280939</v>
      </c>
    </row>
    <row r="4847" spans="13:16" x14ac:dyDescent="0.3">
      <c r="M4847">
        <v>4845</v>
      </c>
      <c r="N4847">
        <v>471943</v>
      </c>
      <c r="P4847">
        <v>701402</v>
      </c>
    </row>
    <row r="4848" spans="13:16" x14ac:dyDescent="0.3">
      <c r="M4848">
        <v>4846</v>
      </c>
      <c r="N4848">
        <v>-412014</v>
      </c>
      <c r="P4848">
        <v>616504</v>
      </c>
    </row>
    <row r="4849" spans="13:16" x14ac:dyDescent="0.3">
      <c r="M4849">
        <v>4847</v>
      </c>
      <c r="N4849">
        <v>268189</v>
      </c>
      <c r="P4849">
        <v>322415</v>
      </c>
    </row>
    <row r="4850" spans="13:16" x14ac:dyDescent="0.3">
      <c r="M4850">
        <v>4848</v>
      </c>
      <c r="N4850">
        <v>-126716</v>
      </c>
      <c r="P4850">
        <v>-377524</v>
      </c>
    </row>
    <row r="4851" spans="13:16" x14ac:dyDescent="0.3">
      <c r="M4851">
        <v>4849</v>
      </c>
      <c r="N4851">
        <v>-506386</v>
      </c>
      <c r="P4851">
        <v>517828</v>
      </c>
    </row>
    <row r="4852" spans="13:16" x14ac:dyDescent="0.3">
      <c r="M4852">
        <v>4850</v>
      </c>
      <c r="N4852">
        <v>595629</v>
      </c>
      <c r="P4852">
        <v>425047</v>
      </c>
    </row>
    <row r="4853" spans="13:16" x14ac:dyDescent="0.3">
      <c r="M4853">
        <v>4851</v>
      </c>
      <c r="N4853">
        <v>565069</v>
      </c>
      <c r="P4853">
        <v>-23727</v>
      </c>
    </row>
    <row r="4854" spans="13:16" x14ac:dyDescent="0.3">
      <c r="M4854">
        <v>4852</v>
      </c>
      <c r="N4854">
        <v>606564</v>
      </c>
      <c r="P4854">
        <v>-216470</v>
      </c>
    </row>
    <row r="4855" spans="13:16" x14ac:dyDescent="0.3">
      <c r="M4855">
        <v>4853</v>
      </c>
      <c r="N4855">
        <v>-362037</v>
      </c>
      <c r="P4855">
        <v>935679</v>
      </c>
    </row>
    <row r="4856" spans="13:16" x14ac:dyDescent="0.3">
      <c r="M4856">
        <v>4854</v>
      </c>
      <c r="N4856">
        <v>161344</v>
      </c>
      <c r="P4856">
        <v>603080</v>
      </c>
    </row>
    <row r="4857" spans="13:16" x14ac:dyDescent="0.3">
      <c r="M4857">
        <v>4855</v>
      </c>
      <c r="N4857">
        <v>108319</v>
      </c>
      <c r="P4857">
        <v>127786</v>
      </c>
    </row>
    <row r="4858" spans="13:16" x14ac:dyDescent="0.3">
      <c r="M4858">
        <v>4856</v>
      </c>
      <c r="N4858">
        <v>-682236</v>
      </c>
      <c r="P4858">
        <v>-7562</v>
      </c>
    </row>
    <row r="4859" spans="13:16" x14ac:dyDescent="0.3">
      <c r="M4859">
        <v>4857</v>
      </c>
      <c r="N4859">
        <v>66187</v>
      </c>
      <c r="P4859">
        <v>-450712</v>
      </c>
    </row>
    <row r="4860" spans="13:16" x14ac:dyDescent="0.3">
      <c r="M4860">
        <v>4858</v>
      </c>
      <c r="N4860">
        <v>-291162</v>
      </c>
      <c r="P4860">
        <v>575581</v>
      </c>
    </row>
    <row r="4861" spans="13:16" x14ac:dyDescent="0.3">
      <c r="M4861">
        <v>4859</v>
      </c>
      <c r="N4861">
        <v>235095</v>
      </c>
      <c r="P4861">
        <v>-525825</v>
      </c>
    </row>
    <row r="4862" spans="13:16" x14ac:dyDescent="0.3">
      <c r="M4862">
        <v>4860</v>
      </c>
      <c r="N4862">
        <v>-72034</v>
      </c>
      <c r="P4862">
        <v>340767</v>
      </c>
    </row>
    <row r="4863" spans="13:16" x14ac:dyDescent="0.3">
      <c r="M4863">
        <v>4861</v>
      </c>
      <c r="N4863">
        <v>660049</v>
      </c>
      <c r="P4863">
        <v>596733</v>
      </c>
    </row>
    <row r="4864" spans="13:16" x14ac:dyDescent="0.3">
      <c r="M4864">
        <v>4862</v>
      </c>
      <c r="N4864">
        <v>-538489</v>
      </c>
      <c r="P4864">
        <v>-75930</v>
      </c>
    </row>
    <row r="4865" spans="13:16" x14ac:dyDescent="0.3">
      <c r="M4865">
        <v>4863</v>
      </c>
      <c r="N4865">
        <v>-769185</v>
      </c>
      <c r="P4865">
        <v>-253593</v>
      </c>
    </row>
    <row r="4866" spans="13:16" x14ac:dyDescent="0.3">
      <c r="M4866">
        <v>4864</v>
      </c>
      <c r="N4866">
        <v>-644626</v>
      </c>
      <c r="P4866">
        <v>-28425</v>
      </c>
    </row>
    <row r="4867" spans="13:16" x14ac:dyDescent="0.3">
      <c r="M4867">
        <v>4865</v>
      </c>
      <c r="N4867">
        <v>570822</v>
      </c>
      <c r="P4867">
        <v>161251</v>
      </c>
    </row>
    <row r="4868" spans="13:16" x14ac:dyDescent="0.3">
      <c r="M4868">
        <v>4866</v>
      </c>
      <c r="N4868">
        <v>413117</v>
      </c>
      <c r="P4868">
        <v>-175692</v>
      </c>
    </row>
    <row r="4869" spans="13:16" x14ac:dyDescent="0.3">
      <c r="M4869">
        <v>4867</v>
      </c>
      <c r="N4869">
        <v>-572549</v>
      </c>
      <c r="P4869">
        <v>252478</v>
      </c>
    </row>
    <row r="4870" spans="13:16" x14ac:dyDescent="0.3">
      <c r="M4870">
        <v>4868</v>
      </c>
      <c r="N4870">
        <v>160840</v>
      </c>
      <c r="P4870">
        <v>-226229</v>
      </c>
    </row>
    <row r="4871" spans="13:16" x14ac:dyDescent="0.3">
      <c r="M4871">
        <v>4869</v>
      </c>
      <c r="N4871">
        <v>-215653</v>
      </c>
      <c r="P4871">
        <v>-420227</v>
      </c>
    </row>
    <row r="4872" spans="13:16" x14ac:dyDescent="0.3">
      <c r="M4872">
        <v>4870</v>
      </c>
      <c r="N4872">
        <v>190663</v>
      </c>
      <c r="P4872">
        <v>497493</v>
      </c>
    </row>
    <row r="4873" spans="13:16" x14ac:dyDescent="0.3">
      <c r="M4873">
        <v>4871</v>
      </c>
      <c r="N4873">
        <v>108614</v>
      </c>
      <c r="P4873">
        <v>-541520</v>
      </c>
    </row>
    <row r="4874" spans="13:16" x14ac:dyDescent="0.3">
      <c r="M4874">
        <v>4872</v>
      </c>
      <c r="N4874">
        <v>631769</v>
      </c>
      <c r="P4874">
        <v>78311</v>
      </c>
    </row>
    <row r="4875" spans="13:16" x14ac:dyDescent="0.3">
      <c r="M4875">
        <v>4873</v>
      </c>
      <c r="N4875">
        <v>317496</v>
      </c>
      <c r="P4875">
        <v>764598</v>
      </c>
    </row>
    <row r="4876" spans="13:16" x14ac:dyDescent="0.3">
      <c r="M4876">
        <v>4874</v>
      </c>
      <c r="N4876">
        <v>-165077</v>
      </c>
      <c r="P4876">
        <v>-10777</v>
      </c>
    </row>
    <row r="4877" spans="13:16" x14ac:dyDescent="0.3">
      <c r="M4877">
        <v>4875</v>
      </c>
      <c r="N4877">
        <v>160879</v>
      </c>
      <c r="P4877">
        <v>-251844</v>
      </c>
    </row>
    <row r="4878" spans="13:16" x14ac:dyDescent="0.3">
      <c r="M4878">
        <v>4876</v>
      </c>
      <c r="N4878">
        <v>645196</v>
      </c>
      <c r="P4878">
        <v>-186714</v>
      </c>
    </row>
    <row r="4879" spans="13:16" x14ac:dyDescent="0.3">
      <c r="M4879">
        <v>4877</v>
      </c>
      <c r="N4879">
        <v>1106238</v>
      </c>
      <c r="P4879">
        <v>-36565</v>
      </c>
    </row>
    <row r="4880" spans="13:16" x14ac:dyDescent="0.3">
      <c r="M4880">
        <v>4878</v>
      </c>
      <c r="N4880">
        <v>-25444</v>
      </c>
      <c r="P4880">
        <v>399748</v>
      </c>
    </row>
    <row r="4881" spans="13:16" x14ac:dyDescent="0.3">
      <c r="M4881">
        <v>4879</v>
      </c>
      <c r="N4881">
        <v>486007</v>
      </c>
      <c r="P4881">
        <v>-96611</v>
      </c>
    </row>
    <row r="4882" spans="13:16" x14ac:dyDescent="0.3">
      <c r="M4882">
        <v>4880</v>
      </c>
      <c r="N4882">
        <v>-383416</v>
      </c>
      <c r="P4882">
        <v>61204</v>
      </c>
    </row>
    <row r="4883" spans="13:16" x14ac:dyDescent="0.3">
      <c r="M4883">
        <v>4881</v>
      </c>
      <c r="N4883">
        <v>523179</v>
      </c>
      <c r="P4883">
        <v>-343537</v>
      </c>
    </row>
    <row r="4884" spans="13:16" x14ac:dyDescent="0.3">
      <c r="M4884">
        <v>4882</v>
      </c>
      <c r="N4884">
        <v>536972</v>
      </c>
      <c r="P4884">
        <v>150155</v>
      </c>
    </row>
    <row r="4885" spans="13:16" x14ac:dyDescent="0.3">
      <c r="M4885">
        <v>4883</v>
      </c>
      <c r="N4885">
        <v>636100</v>
      </c>
      <c r="P4885">
        <v>-229310</v>
      </c>
    </row>
    <row r="4886" spans="13:16" x14ac:dyDescent="0.3">
      <c r="M4886">
        <v>4884</v>
      </c>
      <c r="N4886">
        <v>-480835</v>
      </c>
      <c r="P4886">
        <v>584983</v>
      </c>
    </row>
    <row r="4887" spans="13:16" x14ac:dyDescent="0.3">
      <c r="M4887">
        <v>4885</v>
      </c>
      <c r="N4887">
        <v>-642817</v>
      </c>
      <c r="P4887">
        <v>-366777</v>
      </c>
    </row>
    <row r="4888" spans="13:16" x14ac:dyDescent="0.3">
      <c r="M4888">
        <v>4886</v>
      </c>
      <c r="N4888">
        <v>958627</v>
      </c>
      <c r="P4888">
        <v>-39006</v>
      </c>
    </row>
    <row r="4889" spans="13:16" x14ac:dyDescent="0.3">
      <c r="M4889">
        <v>4887</v>
      </c>
      <c r="N4889">
        <v>178719</v>
      </c>
      <c r="P4889">
        <v>246987</v>
      </c>
    </row>
    <row r="4890" spans="13:16" x14ac:dyDescent="0.3">
      <c r="M4890">
        <v>4888</v>
      </c>
      <c r="N4890">
        <v>-240346</v>
      </c>
      <c r="P4890">
        <v>-347090</v>
      </c>
    </row>
    <row r="4891" spans="13:16" x14ac:dyDescent="0.3">
      <c r="M4891">
        <v>4889</v>
      </c>
      <c r="N4891">
        <v>305662</v>
      </c>
      <c r="P4891">
        <v>448399</v>
      </c>
    </row>
    <row r="4892" spans="13:16" x14ac:dyDescent="0.3">
      <c r="M4892">
        <v>4890</v>
      </c>
      <c r="N4892">
        <v>-72423</v>
      </c>
      <c r="P4892">
        <v>1026950</v>
      </c>
    </row>
    <row r="4893" spans="13:16" x14ac:dyDescent="0.3">
      <c r="M4893">
        <v>4891</v>
      </c>
      <c r="N4893">
        <v>985765</v>
      </c>
      <c r="P4893">
        <v>372418</v>
      </c>
    </row>
    <row r="4894" spans="13:16" x14ac:dyDescent="0.3">
      <c r="M4894">
        <v>4892</v>
      </c>
      <c r="N4894">
        <v>492678</v>
      </c>
      <c r="P4894">
        <v>41581</v>
      </c>
    </row>
    <row r="4895" spans="13:16" x14ac:dyDescent="0.3">
      <c r="M4895">
        <v>4893</v>
      </c>
      <c r="N4895">
        <v>-172879</v>
      </c>
      <c r="P4895">
        <v>-300667</v>
      </c>
    </row>
    <row r="4896" spans="13:16" x14ac:dyDescent="0.3">
      <c r="M4896">
        <v>4894</v>
      </c>
      <c r="N4896">
        <v>-435092</v>
      </c>
      <c r="P4896">
        <v>674570</v>
      </c>
    </row>
    <row r="4897" spans="13:16" x14ac:dyDescent="0.3">
      <c r="M4897">
        <v>4895</v>
      </c>
      <c r="N4897">
        <v>140133</v>
      </c>
      <c r="P4897">
        <v>-407880</v>
      </c>
    </row>
    <row r="4898" spans="13:16" x14ac:dyDescent="0.3">
      <c r="M4898">
        <v>4896</v>
      </c>
      <c r="N4898">
        <v>168593</v>
      </c>
      <c r="P4898">
        <v>782904</v>
      </c>
    </row>
    <row r="4899" spans="13:16" x14ac:dyDescent="0.3">
      <c r="M4899">
        <v>4897</v>
      </c>
      <c r="N4899">
        <v>-260156</v>
      </c>
      <c r="P4899">
        <v>702043</v>
      </c>
    </row>
    <row r="4900" spans="13:16" x14ac:dyDescent="0.3">
      <c r="M4900">
        <v>4898</v>
      </c>
      <c r="N4900">
        <v>442178</v>
      </c>
      <c r="P4900">
        <v>303779</v>
      </c>
    </row>
    <row r="4901" spans="13:16" x14ac:dyDescent="0.3">
      <c r="M4901">
        <v>4899</v>
      </c>
      <c r="N4901">
        <v>-69013</v>
      </c>
      <c r="P4901">
        <v>181848</v>
      </c>
    </row>
    <row r="4902" spans="13:16" x14ac:dyDescent="0.3">
      <c r="M4902">
        <v>4900</v>
      </c>
      <c r="N4902">
        <v>-13718</v>
      </c>
      <c r="P4902">
        <v>81986</v>
      </c>
    </row>
    <row r="4903" spans="13:16" x14ac:dyDescent="0.3">
      <c r="M4903">
        <v>4901</v>
      </c>
      <c r="N4903">
        <v>567310</v>
      </c>
      <c r="P4903">
        <v>-340155</v>
      </c>
    </row>
    <row r="4904" spans="13:16" x14ac:dyDescent="0.3">
      <c r="M4904">
        <v>4902</v>
      </c>
      <c r="N4904">
        <v>881370</v>
      </c>
      <c r="P4904">
        <v>-190507</v>
      </c>
    </row>
    <row r="4905" spans="13:16" x14ac:dyDescent="0.3">
      <c r="M4905">
        <v>4903</v>
      </c>
      <c r="N4905">
        <v>-331894</v>
      </c>
      <c r="P4905">
        <v>-117495</v>
      </c>
    </row>
    <row r="4906" spans="13:16" x14ac:dyDescent="0.3">
      <c r="M4906">
        <v>4904</v>
      </c>
      <c r="N4906">
        <v>-389076</v>
      </c>
      <c r="P4906">
        <v>-471094</v>
      </c>
    </row>
    <row r="4907" spans="13:16" x14ac:dyDescent="0.3">
      <c r="M4907">
        <v>4905</v>
      </c>
      <c r="N4907">
        <v>-87089</v>
      </c>
      <c r="P4907">
        <v>-522342</v>
      </c>
    </row>
    <row r="4908" spans="13:16" x14ac:dyDescent="0.3">
      <c r="M4908">
        <v>4906</v>
      </c>
      <c r="N4908">
        <v>-283448</v>
      </c>
      <c r="P4908">
        <v>-63768</v>
      </c>
    </row>
    <row r="4909" spans="13:16" x14ac:dyDescent="0.3">
      <c r="M4909">
        <v>4907</v>
      </c>
      <c r="N4909">
        <v>-663383</v>
      </c>
      <c r="P4909">
        <v>444781</v>
      </c>
    </row>
    <row r="4910" spans="13:16" x14ac:dyDescent="0.3">
      <c r="M4910">
        <v>4908</v>
      </c>
      <c r="N4910">
        <v>-812525</v>
      </c>
      <c r="P4910">
        <v>999087</v>
      </c>
    </row>
    <row r="4911" spans="13:16" x14ac:dyDescent="0.3">
      <c r="M4911">
        <v>4909</v>
      </c>
      <c r="N4911">
        <v>-621439</v>
      </c>
      <c r="P4911">
        <v>122909</v>
      </c>
    </row>
    <row r="4912" spans="13:16" x14ac:dyDescent="0.3">
      <c r="M4912">
        <v>4910</v>
      </c>
      <c r="N4912">
        <v>232385</v>
      </c>
      <c r="P4912">
        <v>-621753</v>
      </c>
    </row>
    <row r="4913" spans="13:16" x14ac:dyDescent="0.3">
      <c r="M4913">
        <v>4911</v>
      </c>
      <c r="N4913">
        <v>-707187</v>
      </c>
      <c r="P4913">
        <v>-804649</v>
      </c>
    </row>
    <row r="4914" spans="13:16" x14ac:dyDescent="0.3">
      <c r="M4914">
        <v>4912</v>
      </c>
      <c r="N4914">
        <v>670922</v>
      </c>
      <c r="P4914">
        <v>-531097</v>
      </c>
    </row>
    <row r="4915" spans="13:16" x14ac:dyDescent="0.3">
      <c r="M4915">
        <v>4913</v>
      </c>
      <c r="N4915">
        <v>481961</v>
      </c>
      <c r="P4915">
        <v>228154</v>
      </c>
    </row>
    <row r="4916" spans="13:16" x14ac:dyDescent="0.3">
      <c r="M4916">
        <v>4914</v>
      </c>
      <c r="N4916">
        <v>166121</v>
      </c>
      <c r="P4916">
        <v>30662</v>
      </c>
    </row>
    <row r="4917" spans="13:16" x14ac:dyDescent="0.3">
      <c r="M4917">
        <v>4915</v>
      </c>
      <c r="N4917">
        <v>-635089</v>
      </c>
      <c r="P4917">
        <v>347110</v>
      </c>
    </row>
    <row r="4918" spans="13:16" x14ac:dyDescent="0.3">
      <c r="M4918">
        <v>4916</v>
      </c>
      <c r="N4918">
        <v>-320779</v>
      </c>
      <c r="P4918">
        <v>-764720</v>
      </c>
    </row>
    <row r="4919" spans="13:16" x14ac:dyDescent="0.3">
      <c r="M4919">
        <v>4917</v>
      </c>
      <c r="N4919">
        <v>350839</v>
      </c>
      <c r="P4919">
        <v>-659872</v>
      </c>
    </row>
    <row r="4920" spans="13:16" x14ac:dyDescent="0.3">
      <c r="M4920">
        <v>4918</v>
      </c>
      <c r="N4920">
        <v>-452810</v>
      </c>
      <c r="P4920">
        <v>398399</v>
      </c>
    </row>
    <row r="4921" spans="13:16" x14ac:dyDescent="0.3">
      <c r="M4921">
        <v>4919</v>
      </c>
      <c r="N4921">
        <v>616221</v>
      </c>
      <c r="P4921">
        <v>413383</v>
      </c>
    </row>
    <row r="4922" spans="13:16" x14ac:dyDescent="0.3">
      <c r="M4922">
        <v>4920</v>
      </c>
      <c r="N4922">
        <v>317946</v>
      </c>
      <c r="P4922">
        <v>-418493</v>
      </c>
    </row>
    <row r="4923" spans="13:16" x14ac:dyDescent="0.3">
      <c r="M4923">
        <v>4921</v>
      </c>
      <c r="N4923">
        <v>592217</v>
      </c>
      <c r="P4923">
        <v>-185559</v>
      </c>
    </row>
    <row r="4924" spans="13:16" x14ac:dyDescent="0.3">
      <c r="M4924">
        <v>4922</v>
      </c>
      <c r="N4924">
        <v>238902</v>
      </c>
      <c r="P4924">
        <v>620112</v>
      </c>
    </row>
    <row r="4925" spans="13:16" x14ac:dyDescent="0.3">
      <c r="M4925">
        <v>4923</v>
      </c>
      <c r="N4925">
        <v>22232</v>
      </c>
      <c r="P4925">
        <v>-720938</v>
      </c>
    </row>
    <row r="4926" spans="13:16" x14ac:dyDescent="0.3">
      <c r="M4926">
        <v>4924</v>
      </c>
      <c r="N4926">
        <v>112845</v>
      </c>
      <c r="P4926">
        <v>-93095</v>
      </c>
    </row>
    <row r="4927" spans="13:16" x14ac:dyDescent="0.3">
      <c r="M4927">
        <v>4925</v>
      </c>
      <c r="N4927">
        <v>239059</v>
      </c>
      <c r="P4927">
        <v>763472</v>
      </c>
    </row>
    <row r="4928" spans="13:16" x14ac:dyDescent="0.3">
      <c r="M4928">
        <v>4926</v>
      </c>
      <c r="N4928">
        <v>960039</v>
      </c>
      <c r="P4928">
        <v>267650</v>
      </c>
    </row>
    <row r="4929" spans="13:16" x14ac:dyDescent="0.3">
      <c r="M4929">
        <v>4927</v>
      </c>
      <c r="N4929">
        <v>446776</v>
      </c>
      <c r="P4929">
        <v>-77149</v>
      </c>
    </row>
    <row r="4930" spans="13:16" x14ac:dyDescent="0.3">
      <c r="M4930">
        <v>4928</v>
      </c>
      <c r="N4930">
        <v>134146</v>
      </c>
      <c r="P4930">
        <v>397990</v>
      </c>
    </row>
    <row r="4931" spans="13:16" x14ac:dyDescent="0.3">
      <c r="M4931">
        <v>4929</v>
      </c>
      <c r="N4931">
        <v>216073</v>
      </c>
      <c r="P4931">
        <v>528190</v>
      </c>
    </row>
    <row r="4932" spans="13:16" x14ac:dyDescent="0.3">
      <c r="M4932">
        <v>4930</v>
      </c>
      <c r="N4932">
        <v>-206030</v>
      </c>
      <c r="P4932">
        <v>427277</v>
      </c>
    </row>
    <row r="4933" spans="13:16" x14ac:dyDescent="0.3">
      <c r="M4933">
        <v>4931</v>
      </c>
      <c r="N4933">
        <v>208313</v>
      </c>
      <c r="P4933">
        <v>180371</v>
      </c>
    </row>
    <row r="4934" spans="13:16" x14ac:dyDescent="0.3">
      <c r="M4934">
        <v>4932</v>
      </c>
      <c r="N4934">
        <v>-101761</v>
      </c>
      <c r="P4934">
        <v>-314936</v>
      </c>
    </row>
    <row r="4935" spans="13:16" x14ac:dyDescent="0.3">
      <c r="M4935">
        <v>4933</v>
      </c>
      <c r="N4935">
        <v>954268</v>
      </c>
      <c r="P4935">
        <v>709100</v>
      </c>
    </row>
    <row r="4936" spans="13:16" x14ac:dyDescent="0.3">
      <c r="M4936">
        <v>4934</v>
      </c>
      <c r="N4936">
        <v>-428162</v>
      </c>
      <c r="P4936">
        <v>-316944</v>
      </c>
    </row>
    <row r="4937" spans="13:16" x14ac:dyDescent="0.3">
      <c r="M4937">
        <v>4935</v>
      </c>
      <c r="N4937">
        <v>-805294</v>
      </c>
      <c r="P4937">
        <v>-467843</v>
      </c>
    </row>
    <row r="4938" spans="13:16" x14ac:dyDescent="0.3">
      <c r="M4938">
        <v>4936</v>
      </c>
      <c r="N4938">
        <v>753073</v>
      </c>
      <c r="P4938">
        <v>-493781</v>
      </c>
    </row>
    <row r="4939" spans="13:16" x14ac:dyDescent="0.3">
      <c r="M4939">
        <v>4937</v>
      </c>
      <c r="N4939">
        <v>-538303</v>
      </c>
      <c r="P4939">
        <v>-303885</v>
      </c>
    </row>
    <row r="4940" spans="13:16" x14ac:dyDescent="0.3">
      <c r="M4940">
        <v>4938</v>
      </c>
      <c r="N4940">
        <v>202802</v>
      </c>
      <c r="P4940">
        <v>-137420</v>
      </c>
    </row>
    <row r="4941" spans="13:16" x14ac:dyDescent="0.3">
      <c r="M4941">
        <v>4939</v>
      </c>
      <c r="N4941">
        <v>-498542</v>
      </c>
      <c r="P4941">
        <v>208576</v>
      </c>
    </row>
    <row r="4942" spans="13:16" x14ac:dyDescent="0.3">
      <c r="M4942">
        <v>4940</v>
      </c>
      <c r="N4942">
        <v>-292322</v>
      </c>
      <c r="P4942">
        <v>-728262</v>
      </c>
    </row>
    <row r="4943" spans="13:16" x14ac:dyDescent="0.3">
      <c r="M4943">
        <v>4941</v>
      </c>
      <c r="N4943">
        <v>396612</v>
      </c>
      <c r="P4943">
        <v>325174</v>
      </c>
    </row>
    <row r="4944" spans="13:16" x14ac:dyDescent="0.3">
      <c r="M4944">
        <v>4942</v>
      </c>
      <c r="N4944">
        <v>76718</v>
      </c>
      <c r="P4944">
        <v>-235360</v>
      </c>
    </row>
    <row r="4945" spans="13:16" x14ac:dyDescent="0.3">
      <c r="M4945">
        <v>4943</v>
      </c>
      <c r="N4945">
        <v>-245613</v>
      </c>
      <c r="P4945">
        <v>-355351</v>
      </c>
    </row>
    <row r="4946" spans="13:16" x14ac:dyDescent="0.3">
      <c r="M4946">
        <v>4944</v>
      </c>
      <c r="N4946">
        <v>574704</v>
      </c>
      <c r="P4946">
        <v>1020115</v>
      </c>
    </row>
    <row r="4947" spans="13:16" x14ac:dyDescent="0.3">
      <c r="M4947">
        <v>4945</v>
      </c>
      <c r="N4947">
        <v>-407139</v>
      </c>
      <c r="P4947">
        <v>797854</v>
      </c>
    </row>
    <row r="4948" spans="13:16" x14ac:dyDescent="0.3">
      <c r="M4948">
        <v>4946</v>
      </c>
      <c r="N4948">
        <v>587937</v>
      </c>
      <c r="P4948">
        <v>704176</v>
      </c>
    </row>
    <row r="4949" spans="13:16" x14ac:dyDescent="0.3">
      <c r="M4949">
        <v>4947</v>
      </c>
      <c r="N4949">
        <v>232495</v>
      </c>
      <c r="P4949">
        <v>224704</v>
      </c>
    </row>
    <row r="4950" spans="13:16" x14ac:dyDescent="0.3">
      <c r="M4950">
        <v>4948</v>
      </c>
      <c r="N4950">
        <v>408345</v>
      </c>
      <c r="P4950">
        <v>-108999</v>
      </c>
    </row>
    <row r="4951" spans="13:16" x14ac:dyDescent="0.3">
      <c r="M4951">
        <v>4949</v>
      </c>
      <c r="N4951">
        <v>435078</v>
      </c>
      <c r="P4951">
        <v>-224127</v>
      </c>
    </row>
    <row r="4952" spans="13:16" x14ac:dyDescent="0.3">
      <c r="M4952">
        <v>4950</v>
      </c>
      <c r="N4952">
        <v>233465</v>
      </c>
      <c r="P4952">
        <v>263608</v>
      </c>
    </row>
    <row r="4953" spans="13:16" x14ac:dyDescent="0.3">
      <c r="M4953">
        <v>4951</v>
      </c>
      <c r="N4953">
        <v>-588228</v>
      </c>
      <c r="P4953">
        <v>62057</v>
      </c>
    </row>
    <row r="4954" spans="13:16" x14ac:dyDescent="0.3">
      <c r="M4954">
        <v>4952</v>
      </c>
      <c r="N4954">
        <v>98106</v>
      </c>
      <c r="P4954">
        <v>3024</v>
      </c>
    </row>
    <row r="4955" spans="13:16" x14ac:dyDescent="0.3">
      <c r="M4955">
        <v>4953</v>
      </c>
      <c r="N4955">
        <v>57115</v>
      </c>
      <c r="P4955">
        <v>28919</v>
      </c>
    </row>
    <row r="4956" spans="13:16" x14ac:dyDescent="0.3">
      <c r="M4956">
        <v>4954</v>
      </c>
      <c r="N4956">
        <v>334731</v>
      </c>
      <c r="P4956">
        <v>243323</v>
      </c>
    </row>
    <row r="4957" spans="13:16" x14ac:dyDescent="0.3">
      <c r="M4957">
        <v>4955</v>
      </c>
      <c r="N4957">
        <v>-317150</v>
      </c>
      <c r="P4957">
        <v>-604337</v>
      </c>
    </row>
    <row r="4958" spans="13:16" x14ac:dyDescent="0.3">
      <c r="M4958">
        <v>4956</v>
      </c>
      <c r="N4958">
        <v>-465014</v>
      </c>
      <c r="P4958">
        <v>515472</v>
      </c>
    </row>
    <row r="4959" spans="13:16" x14ac:dyDescent="0.3">
      <c r="M4959">
        <v>4957</v>
      </c>
      <c r="N4959">
        <v>-551275</v>
      </c>
      <c r="P4959">
        <v>-149222</v>
      </c>
    </row>
    <row r="4960" spans="13:16" x14ac:dyDescent="0.3">
      <c r="M4960">
        <v>4958</v>
      </c>
      <c r="N4960">
        <v>-602627</v>
      </c>
      <c r="P4960">
        <v>-274048</v>
      </c>
    </row>
    <row r="4961" spans="13:16" x14ac:dyDescent="0.3">
      <c r="M4961">
        <v>4959</v>
      </c>
      <c r="N4961">
        <v>-603276</v>
      </c>
      <c r="P4961">
        <v>-276224</v>
      </c>
    </row>
    <row r="4962" spans="13:16" x14ac:dyDescent="0.3">
      <c r="M4962">
        <v>4960</v>
      </c>
      <c r="N4962">
        <v>549793</v>
      </c>
      <c r="P4962">
        <v>-185143</v>
      </c>
    </row>
    <row r="4963" spans="13:16" x14ac:dyDescent="0.3">
      <c r="M4963">
        <v>4961</v>
      </c>
      <c r="N4963">
        <v>-57999</v>
      </c>
      <c r="P4963">
        <v>-601512</v>
      </c>
    </row>
    <row r="4964" spans="13:16" x14ac:dyDescent="0.3">
      <c r="M4964">
        <v>4962</v>
      </c>
      <c r="N4964">
        <v>937295</v>
      </c>
      <c r="P4964">
        <v>-101512</v>
      </c>
    </row>
    <row r="4965" spans="13:16" x14ac:dyDescent="0.3">
      <c r="M4965">
        <v>4963</v>
      </c>
      <c r="N4965">
        <v>33124</v>
      </c>
      <c r="P4965">
        <v>-155277</v>
      </c>
    </row>
    <row r="4966" spans="13:16" x14ac:dyDescent="0.3">
      <c r="M4966">
        <v>4964</v>
      </c>
      <c r="N4966">
        <v>-159065</v>
      </c>
      <c r="P4966">
        <v>-183421</v>
      </c>
    </row>
    <row r="4967" spans="13:16" x14ac:dyDescent="0.3">
      <c r="M4967">
        <v>4965</v>
      </c>
      <c r="N4967">
        <v>159580</v>
      </c>
      <c r="P4967">
        <v>822374</v>
      </c>
    </row>
    <row r="4968" spans="13:16" x14ac:dyDescent="0.3">
      <c r="M4968">
        <v>4966</v>
      </c>
      <c r="N4968">
        <v>401788</v>
      </c>
      <c r="P4968">
        <v>-467792</v>
      </c>
    </row>
    <row r="4969" spans="13:16" x14ac:dyDescent="0.3">
      <c r="M4969">
        <v>4967</v>
      </c>
      <c r="N4969">
        <v>269335</v>
      </c>
      <c r="P4969">
        <v>-344423</v>
      </c>
    </row>
    <row r="4970" spans="13:16" x14ac:dyDescent="0.3">
      <c r="M4970">
        <v>4968</v>
      </c>
      <c r="N4970">
        <v>-497997</v>
      </c>
      <c r="P4970">
        <v>741314</v>
      </c>
    </row>
    <row r="4971" spans="13:16" x14ac:dyDescent="0.3">
      <c r="M4971">
        <v>4969</v>
      </c>
      <c r="N4971">
        <v>637989</v>
      </c>
      <c r="P4971">
        <v>188296</v>
      </c>
    </row>
    <row r="4972" spans="13:16" x14ac:dyDescent="0.3">
      <c r="M4972">
        <v>4970</v>
      </c>
      <c r="N4972">
        <v>-542307</v>
      </c>
      <c r="P4972">
        <v>303782</v>
      </c>
    </row>
    <row r="4973" spans="13:16" x14ac:dyDescent="0.3">
      <c r="M4973">
        <v>4971</v>
      </c>
      <c r="N4973">
        <v>479643</v>
      </c>
      <c r="P4973">
        <v>-158013</v>
      </c>
    </row>
    <row r="4974" spans="13:16" x14ac:dyDescent="0.3">
      <c r="M4974">
        <v>4972</v>
      </c>
      <c r="N4974">
        <v>446397</v>
      </c>
      <c r="P4974">
        <v>183510</v>
      </c>
    </row>
    <row r="4975" spans="13:16" x14ac:dyDescent="0.3">
      <c r="M4975">
        <v>4973</v>
      </c>
      <c r="N4975">
        <v>-17870</v>
      </c>
      <c r="P4975">
        <v>-420653</v>
      </c>
    </row>
    <row r="4976" spans="13:16" x14ac:dyDescent="0.3">
      <c r="M4976">
        <v>4974</v>
      </c>
      <c r="N4976">
        <v>-320320</v>
      </c>
      <c r="P4976">
        <v>443820</v>
      </c>
    </row>
    <row r="4977" spans="13:16" x14ac:dyDescent="0.3">
      <c r="M4977">
        <v>4975</v>
      </c>
      <c r="N4977">
        <v>51661</v>
      </c>
      <c r="P4977">
        <v>311252</v>
      </c>
    </row>
    <row r="4978" spans="13:16" x14ac:dyDescent="0.3">
      <c r="M4978">
        <v>4976</v>
      </c>
      <c r="N4978">
        <v>424753</v>
      </c>
      <c r="P4978">
        <v>-358381</v>
      </c>
    </row>
    <row r="4979" spans="13:16" x14ac:dyDescent="0.3">
      <c r="M4979">
        <v>4977</v>
      </c>
      <c r="N4979">
        <v>-179662</v>
      </c>
      <c r="P4979">
        <v>-85285</v>
      </c>
    </row>
    <row r="4980" spans="13:16" x14ac:dyDescent="0.3">
      <c r="M4980">
        <v>4978</v>
      </c>
      <c r="N4980">
        <v>537209</v>
      </c>
      <c r="P4980">
        <v>-349950</v>
      </c>
    </row>
    <row r="4981" spans="13:16" x14ac:dyDescent="0.3">
      <c r="M4981">
        <v>4979</v>
      </c>
      <c r="N4981">
        <v>-75797</v>
      </c>
      <c r="P4981">
        <v>-77916</v>
      </c>
    </row>
    <row r="4982" spans="13:16" x14ac:dyDescent="0.3">
      <c r="M4982">
        <v>4980</v>
      </c>
      <c r="N4982">
        <v>-272344</v>
      </c>
      <c r="P4982">
        <v>465763</v>
      </c>
    </row>
    <row r="4983" spans="13:16" x14ac:dyDescent="0.3">
      <c r="M4983">
        <v>4981</v>
      </c>
      <c r="N4983">
        <v>234695</v>
      </c>
      <c r="P4983">
        <v>-125177</v>
      </c>
    </row>
    <row r="4984" spans="13:16" x14ac:dyDescent="0.3">
      <c r="M4984">
        <v>4982</v>
      </c>
      <c r="N4984">
        <v>-718674</v>
      </c>
      <c r="P4984">
        <v>445747</v>
      </c>
    </row>
    <row r="4985" spans="13:16" x14ac:dyDescent="0.3">
      <c r="M4985">
        <v>4983</v>
      </c>
      <c r="N4985">
        <v>-458</v>
      </c>
      <c r="P4985">
        <v>1314</v>
      </c>
    </row>
    <row r="4986" spans="13:16" x14ac:dyDescent="0.3">
      <c r="M4986">
        <v>4984</v>
      </c>
      <c r="N4986">
        <v>423207</v>
      </c>
      <c r="P4986">
        <v>914917</v>
      </c>
    </row>
    <row r="4987" spans="13:16" x14ac:dyDescent="0.3">
      <c r="M4987">
        <v>4985</v>
      </c>
      <c r="N4987">
        <v>200183</v>
      </c>
      <c r="P4987">
        <v>-301856</v>
      </c>
    </row>
    <row r="4988" spans="13:16" x14ac:dyDescent="0.3">
      <c r="M4988">
        <v>4986</v>
      </c>
      <c r="N4988">
        <v>-146509</v>
      </c>
      <c r="P4988">
        <v>462659</v>
      </c>
    </row>
    <row r="4989" spans="13:16" x14ac:dyDescent="0.3">
      <c r="M4989">
        <v>4987</v>
      </c>
      <c r="N4989">
        <v>-177145</v>
      </c>
      <c r="P4989">
        <v>211935</v>
      </c>
    </row>
    <row r="4990" spans="13:16" x14ac:dyDescent="0.3">
      <c r="M4990">
        <v>4988</v>
      </c>
      <c r="N4990">
        <v>148633</v>
      </c>
      <c r="P4990">
        <v>-336419</v>
      </c>
    </row>
    <row r="4991" spans="13:16" x14ac:dyDescent="0.3">
      <c r="M4991">
        <v>4989</v>
      </c>
      <c r="N4991">
        <v>226965</v>
      </c>
      <c r="P4991">
        <v>273819</v>
      </c>
    </row>
    <row r="4992" spans="13:16" x14ac:dyDescent="0.3">
      <c r="M4992">
        <v>4990</v>
      </c>
      <c r="N4992">
        <v>-310103</v>
      </c>
      <c r="P4992">
        <v>504666</v>
      </c>
    </row>
    <row r="4993" spans="13:16" x14ac:dyDescent="0.3">
      <c r="M4993">
        <v>4991</v>
      </c>
      <c r="N4993">
        <v>361237</v>
      </c>
      <c r="P4993">
        <v>1028585</v>
      </c>
    </row>
    <row r="4994" spans="13:16" x14ac:dyDescent="0.3">
      <c r="M4994">
        <v>4992</v>
      </c>
      <c r="N4994">
        <v>-209799</v>
      </c>
      <c r="P4994">
        <v>-487554</v>
      </c>
    </row>
    <row r="4995" spans="13:16" x14ac:dyDescent="0.3">
      <c r="M4995">
        <v>4993</v>
      </c>
      <c r="N4995">
        <v>-288371</v>
      </c>
      <c r="P4995">
        <v>-687162</v>
      </c>
    </row>
    <row r="4996" spans="13:16" x14ac:dyDescent="0.3">
      <c r="M4996">
        <v>4994</v>
      </c>
      <c r="N4996">
        <v>147513</v>
      </c>
      <c r="P4996">
        <v>-409165</v>
      </c>
    </row>
    <row r="4997" spans="13:16" x14ac:dyDescent="0.3">
      <c r="M4997">
        <v>4995</v>
      </c>
      <c r="N4997">
        <v>412134</v>
      </c>
      <c r="P4997">
        <v>427710</v>
      </c>
    </row>
    <row r="4998" spans="13:16" x14ac:dyDescent="0.3">
      <c r="M4998">
        <v>4996</v>
      </c>
      <c r="N4998">
        <v>646601</v>
      </c>
      <c r="P4998">
        <v>180993</v>
      </c>
    </row>
    <row r="4999" spans="13:16" x14ac:dyDescent="0.3">
      <c r="M4999">
        <v>4997</v>
      </c>
      <c r="N4999">
        <v>251541</v>
      </c>
      <c r="P4999">
        <v>-513264</v>
      </c>
    </row>
    <row r="5000" spans="13:16" x14ac:dyDescent="0.3">
      <c r="M5000">
        <v>4998</v>
      </c>
      <c r="N5000">
        <v>359874</v>
      </c>
      <c r="P5000">
        <v>110487</v>
      </c>
    </row>
    <row r="5001" spans="13:16" x14ac:dyDescent="0.3">
      <c r="M5001">
        <v>4999</v>
      </c>
      <c r="N5001">
        <v>-622004</v>
      </c>
      <c r="P5001">
        <v>682922</v>
      </c>
    </row>
    <row r="5002" spans="13:16" x14ac:dyDescent="0.3">
      <c r="M5002">
        <v>5000</v>
      </c>
      <c r="N5002">
        <v>-42878</v>
      </c>
      <c r="P5002">
        <v>-89005</v>
      </c>
    </row>
    <row r="5003" spans="13:16" x14ac:dyDescent="0.3">
      <c r="M5003" t="s">
        <v>430</v>
      </c>
      <c r="N5003">
        <v>480249</v>
      </c>
      <c r="O5003" t="s">
        <v>430</v>
      </c>
      <c r="P5003">
        <v>266606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D3C0F-0637-4F8B-A2DD-447CD5888457}">
  <dimension ref="B1:AM1001"/>
  <sheetViews>
    <sheetView topLeftCell="R1" workbookViewId="0">
      <selection activeCell="AL17" sqref="AL17"/>
    </sheetView>
  </sheetViews>
  <sheetFormatPr defaultRowHeight="14.4" x14ac:dyDescent="0.3"/>
  <cols>
    <col min="17" max="17" width="15.6640625" customWidth="1"/>
    <col min="29" max="29" width="12.77734375" customWidth="1"/>
    <col min="37" max="37" width="23.33203125" customWidth="1"/>
  </cols>
  <sheetData>
    <row r="1" spans="2:39" x14ac:dyDescent="0.3">
      <c r="AI1" t="s">
        <v>461</v>
      </c>
    </row>
    <row r="2" spans="2:39" x14ac:dyDescent="0.3">
      <c r="AH2">
        <v>1</v>
      </c>
      <c r="AI2">
        <v>103023</v>
      </c>
    </row>
    <row r="3" spans="2:39" x14ac:dyDescent="0.3">
      <c r="B3" s="84" t="s">
        <v>460</v>
      </c>
      <c r="C3" s="84"/>
      <c r="D3" s="84"/>
      <c r="E3" s="84"/>
      <c r="F3" s="84"/>
      <c r="G3" s="84"/>
      <c r="H3" s="84"/>
      <c r="AH3">
        <v>2</v>
      </c>
      <c r="AI3">
        <v>365196</v>
      </c>
      <c r="AK3" t="s">
        <v>462</v>
      </c>
      <c r="AM3">
        <f>AVERAGE(profit_runs)</f>
        <v>171262.70300000001</v>
      </c>
    </row>
    <row r="4" spans="2:39" x14ac:dyDescent="0.3">
      <c r="B4" s="84"/>
      <c r="C4" s="84"/>
      <c r="D4" s="84"/>
      <c r="E4" s="84"/>
      <c r="F4" s="84"/>
      <c r="G4" s="84"/>
      <c r="H4" s="84"/>
      <c r="K4" t="s">
        <v>463</v>
      </c>
      <c r="AH4">
        <v>3</v>
      </c>
      <c r="AI4">
        <v>166009</v>
      </c>
      <c r="AK4" t="s">
        <v>464</v>
      </c>
      <c r="AM4">
        <f>COUNTIF(profit_runs,"&gt;=0")/1000</f>
        <v>0.755</v>
      </c>
    </row>
    <row r="5" spans="2:39" x14ac:dyDescent="0.3">
      <c r="B5" s="84"/>
      <c r="C5" s="84"/>
      <c r="D5" s="84"/>
      <c r="E5" s="84"/>
      <c r="F5" s="84"/>
      <c r="G5" s="84"/>
      <c r="H5" s="84"/>
      <c r="R5" t="s">
        <v>465</v>
      </c>
      <c r="S5" t="s">
        <v>466</v>
      </c>
      <c r="V5" t="s">
        <v>459</v>
      </c>
      <c r="AC5" t="s">
        <v>467</v>
      </c>
      <c r="AD5">
        <f ca="1">AA19-AA9</f>
        <v>104</v>
      </c>
      <c r="AH5">
        <v>4</v>
      </c>
      <c r="AI5">
        <v>-150924</v>
      </c>
    </row>
    <row r="6" spans="2:39" x14ac:dyDescent="0.3">
      <c r="B6" s="84"/>
      <c r="C6" s="84"/>
      <c r="D6" s="84"/>
      <c r="E6" s="84"/>
      <c r="F6" s="84"/>
      <c r="G6" s="84"/>
      <c r="H6" s="84"/>
      <c r="AA6" t="s">
        <v>468</v>
      </c>
      <c r="AC6" t="s">
        <v>469</v>
      </c>
      <c r="AD6" s="5">
        <f ca="1">AD5*AA18</f>
        <v>850096</v>
      </c>
      <c r="AH6">
        <v>5</v>
      </c>
      <c r="AI6">
        <v>117680</v>
      </c>
      <c r="AK6" t="s">
        <v>470</v>
      </c>
      <c r="AM6">
        <f>COUNTIF(profit_runs,"&gt;=400000")/1000</f>
        <v>0.185</v>
      </c>
    </row>
    <row r="7" spans="2:39" x14ac:dyDescent="0.3">
      <c r="B7" s="84"/>
      <c r="C7" s="84"/>
      <c r="D7" s="84"/>
      <c r="E7" s="84"/>
      <c r="F7" s="84"/>
      <c r="G7" s="84"/>
      <c r="H7" s="84"/>
      <c r="K7" t="s">
        <v>455</v>
      </c>
      <c r="L7">
        <v>8000</v>
      </c>
      <c r="M7">
        <v>14000</v>
      </c>
      <c r="N7" t="s">
        <v>471</v>
      </c>
      <c r="Q7" t="s">
        <v>455</v>
      </c>
      <c r="R7">
        <f>M7</f>
        <v>14000</v>
      </c>
      <c r="S7">
        <v>8000</v>
      </c>
      <c r="W7">
        <v>0</v>
      </c>
      <c r="X7">
        <v>0.2</v>
      </c>
      <c r="Y7">
        <v>10</v>
      </c>
      <c r="AA7">
        <f ca="1">RAND()</f>
        <v>0.21994987155096113</v>
      </c>
      <c r="AH7">
        <v>6</v>
      </c>
      <c r="AI7">
        <v>335384</v>
      </c>
    </row>
    <row r="8" spans="2:39" x14ac:dyDescent="0.3">
      <c r="B8" s="84"/>
      <c r="C8" s="84"/>
      <c r="D8" s="84"/>
      <c r="E8" s="84"/>
      <c r="F8" s="84"/>
      <c r="G8" s="84"/>
      <c r="H8" s="84"/>
      <c r="K8" t="s">
        <v>456</v>
      </c>
      <c r="L8">
        <v>80</v>
      </c>
      <c r="M8">
        <v>120</v>
      </c>
      <c r="N8" t="s">
        <v>472</v>
      </c>
      <c r="Q8" t="s">
        <v>456</v>
      </c>
      <c r="R8">
        <v>120</v>
      </c>
      <c r="S8">
        <v>80</v>
      </c>
      <c r="W8">
        <v>0.21</v>
      </c>
      <c r="X8">
        <v>1</v>
      </c>
      <c r="Y8">
        <v>0</v>
      </c>
      <c r="AC8" t="s">
        <v>473</v>
      </c>
      <c r="AH8">
        <v>7</v>
      </c>
      <c r="AI8">
        <v>126072</v>
      </c>
    </row>
    <row r="9" spans="2:39" x14ac:dyDescent="0.3">
      <c r="B9" s="84"/>
      <c r="C9" s="84"/>
      <c r="D9" s="84"/>
      <c r="E9" s="84"/>
      <c r="F9" s="84"/>
      <c r="G9" s="84"/>
      <c r="H9" s="84"/>
      <c r="K9" t="s">
        <v>457</v>
      </c>
      <c r="L9">
        <v>50</v>
      </c>
      <c r="M9">
        <v>70</v>
      </c>
      <c r="N9" t="s">
        <v>472</v>
      </c>
      <c r="Q9" t="s">
        <v>457</v>
      </c>
      <c r="R9">
        <v>50</v>
      </c>
      <c r="S9">
        <v>70</v>
      </c>
      <c r="Z9" t="s">
        <v>474</v>
      </c>
      <c r="AA9" s="5">
        <f ca="1">VLOOKUP(AA7,cet,3)</f>
        <v>0</v>
      </c>
      <c r="AC9" t="s">
        <v>475</v>
      </c>
      <c r="AD9">
        <f ca="1">AA16</f>
        <v>150000</v>
      </c>
      <c r="AH9">
        <v>8</v>
      </c>
      <c r="AI9">
        <v>578132</v>
      </c>
    </row>
    <row r="10" spans="2:39" x14ac:dyDescent="0.3">
      <c r="B10" s="84"/>
      <c r="C10" s="84"/>
      <c r="D10" s="84"/>
      <c r="E10" s="84"/>
      <c r="F10" s="84"/>
      <c r="G10" s="84"/>
      <c r="H10" s="84"/>
      <c r="AC10" t="s">
        <v>476</v>
      </c>
      <c r="AD10">
        <f ca="1">AA20*AA18</f>
        <v>425048</v>
      </c>
      <c r="AH10">
        <v>9</v>
      </c>
      <c r="AI10">
        <v>583800</v>
      </c>
    </row>
    <row r="11" spans="2:39" x14ac:dyDescent="0.3">
      <c r="B11" s="84"/>
      <c r="C11" s="84"/>
      <c r="D11" s="84"/>
      <c r="E11" s="84"/>
      <c r="F11" s="84"/>
      <c r="G11" s="84"/>
      <c r="H11" s="84"/>
      <c r="K11" t="s">
        <v>477</v>
      </c>
      <c r="Q11" t="s">
        <v>458</v>
      </c>
      <c r="R11">
        <v>100000</v>
      </c>
      <c r="S11">
        <v>500000</v>
      </c>
      <c r="V11" t="s">
        <v>478</v>
      </c>
      <c r="AH11">
        <v>10</v>
      </c>
      <c r="AI11">
        <v>672000</v>
      </c>
    </row>
    <row r="12" spans="2:39" x14ac:dyDescent="0.3">
      <c r="B12" s="84"/>
      <c r="C12" s="84"/>
      <c r="D12" s="84"/>
      <c r="E12" s="84"/>
      <c r="F12" s="84"/>
      <c r="G12" s="84"/>
      <c r="H12" s="84"/>
      <c r="L12" t="s">
        <v>127</v>
      </c>
      <c r="M12">
        <v>0.33</v>
      </c>
      <c r="N12">
        <v>500000</v>
      </c>
      <c r="AC12" t="s">
        <v>479</v>
      </c>
      <c r="AD12" s="5">
        <f ca="1">AD9+AD10</f>
        <v>575048</v>
      </c>
      <c r="AH12">
        <v>11</v>
      </c>
      <c r="AI12">
        <v>339692</v>
      </c>
    </row>
    <row r="13" spans="2:39" x14ac:dyDescent="0.3">
      <c r="B13" s="84"/>
      <c r="C13" s="84"/>
      <c r="D13" s="84"/>
      <c r="E13" s="84"/>
      <c r="F13" s="84"/>
      <c r="G13" s="84"/>
      <c r="H13" s="84"/>
      <c r="L13" t="s">
        <v>128</v>
      </c>
      <c r="M13">
        <v>0.33</v>
      </c>
      <c r="N13">
        <v>100000</v>
      </c>
      <c r="Q13" t="s">
        <v>459</v>
      </c>
      <c r="R13">
        <v>0</v>
      </c>
      <c r="S13">
        <v>10</v>
      </c>
      <c r="W13">
        <v>0</v>
      </c>
      <c r="X13">
        <v>0.33</v>
      </c>
      <c r="Y13">
        <v>100000</v>
      </c>
      <c r="AA13" t="s">
        <v>468</v>
      </c>
      <c r="AH13">
        <v>12</v>
      </c>
      <c r="AI13">
        <v>217147</v>
      </c>
    </row>
    <row r="14" spans="2:39" x14ac:dyDescent="0.3">
      <c r="B14" s="84"/>
      <c r="C14" s="84"/>
      <c r="D14" s="84"/>
      <c r="E14" s="84"/>
      <c r="F14" s="84"/>
      <c r="G14" s="84"/>
      <c r="H14" s="84"/>
      <c r="L14" t="s">
        <v>129</v>
      </c>
      <c r="M14">
        <v>0.34</v>
      </c>
      <c r="N14">
        <v>150000</v>
      </c>
      <c r="W14">
        <v>0.34</v>
      </c>
      <c r="X14">
        <v>0.66</v>
      </c>
      <c r="Y14">
        <v>150000</v>
      </c>
      <c r="AA14">
        <f ca="1">RAND()</f>
        <v>0.42870184430036617</v>
      </c>
      <c r="AC14" t="s">
        <v>480</v>
      </c>
      <c r="AD14">
        <f ca="1">AD6-AD12</f>
        <v>275048</v>
      </c>
      <c r="AH14">
        <v>13</v>
      </c>
      <c r="AI14">
        <v>175732</v>
      </c>
    </row>
    <row r="15" spans="2:39" x14ac:dyDescent="0.3">
      <c r="B15" s="84"/>
      <c r="C15" s="84"/>
      <c r="D15" s="84"/>
      <c r="E15" s="84"/>
      <c r="F15" s="84"/>
      <c r="G15" s="84"/>
      <c r="H15" s="84"/>
      <c r="W15">
        <v>0.67</v>
      </c>
      <c r="X15">
        <v>1</v>
      </c>
      <c r="Y15">
        <v>500000</v>
      </c>
      <c r="AH15">
        <v>14</v>
      </c>
      <c r="AI15">
        <v>366932</v>
      </c>
    </row>
    <row r="16" spans="2:39" x14ac:dyDescent="0.3">
      <c r="B16" s="84"/>
      <c r="C16" s="84"/>
      <c r="D16" s="84"/>
      <c r="E16" s="84"/>
      <c r="F16" s="84"/>
      <c r="G16" s="84"/>
      <c r="H16" s="84"/>
      <c r="K16" t="s">
        <v>459</v>
      </c>
      <c r="Q16" t="s">
        <v>481</v>
      </c>
      <c r="R16">
        <f>R7*R8</f>
        <v>1680000</v>
      </c>
      <c r="S16">
        <f>(S8-S13)*S7</f>
        <v>560000</v>
      </c>
      <c r="Z16" t="s">
        <v>474</v>
      </c>
      <c r="AA16" s="5">
        <f ca="1">VLOOKUP(AA14,pet,3)</f>
        <v>150000</v>
      </c>
      <c r="AH16">
        <v>15</v>
      </c>
      <c r="AI16">
        <v>253900</v>
      </c>
    </row>
    <row r="17" spans="2:35" x14ac:dyDescent="0.3">
      <c r="B17" s="84"/>
      <c r="C17" s="84"/>
      <c r="D17" s="84"/>
      <c r="E17" s="84"/>
      <c r="F17" s="84"/>
      <c r="G17" s="84"/>
      <c r="H17" s="84"/>
      <c r="L17">
        <v>0</v>
      </c>
      <c r="M17">
        <v>0.8</v>
      </c>
      <c r="Q17" t="s">
        <v>482</v>
      </c>
      <c r="R17">
        <f>R9*R7</f>
        <v>700000</v>
      </c>
      <c r="S17">
        <f>S9*S7</f>
        <v>560000</v>
      </c>
      <c r="AH17">
        <v>16</v>
      </c>
      <c r="AI17">
        <v>340266</v>
      </c>
    </row>
    <row r="18" spans="2:35" x14ac:dyDescent="0.3">
      <c r="B18" s="84"/>
      <c r="C18" s="84"/>
      <c r="D18" s="84"/>
      <c r="E18" s="84"/>
      <c r="F18" s="84"/>
      <c r="G18" s="84"/>
      <c r="H18" s="84"/>
      <c r="L18">
        <v>-10</v>
      </c>
      <c r="M18">
        <v>0.2</v>
      </c>
      <c r="Q18" t="s">
        <v>483</v>
      </c>
      <c r="R18">
        <f>R11</f>
        <v>100000</v>
      </c>
      <c r="S18">
        <f>S11</f>
        <v>500000</v>
      </c>
      <c r="V18" t="s">
        <v>455</v>
      </c>
      <c r="W18">
        <v>8000</v>
      </c>
      <c r="X18">
        <v>14000</v>
      </c>
      <c r="Y18" t="s">
        <v>471</v>
      </c>
      <c r="AA18" s="5">
        <f ca="1">RANDBETWEEN(W18,X18)</f>
        <v>8174</v>
      </c>
      <c r="AH18">
        <v>17</v>
      </c>
      <c r="AI18">
        <v>406836</v>
      </c>
    </row>
    <row r="19" spans="2:35" x14ac:dyDescent="0.3">
      <c r="B19" s="84"/>
      <c r="C19" s="84"/>
      <c r="D19" s="84"/>
      <c r="E19" s="84"/>
      <c r="F19" s="84"/>
      <c r="G19" s="84"/>
      <c r="H19" s="84"/>
      <c r="V19" t="s">
        <v>456</v>
      </c>
      <c r="W19">
        <v>80</v>
      </c>
      <c r="X19">
        <v>120</v>
      </c>
      <c r="Y19" t="s">
        <v>472</v>
      </c>
      <c r="AA19" s="5">
        <f ca="1">RANDBETWEEN(W19,X19)</f>
        <v>104</v>
      </c>
      <c r="AH19">
        <v>18</v>
      </c>
      <c r="AI19">
        <v>-121893</v>
      </c>
    </row>
    <row r="20" spans="2:35" x14ac:dyDescent="0.3">
      <c r="B20" s="84"/>
      <c r="C20" s="84"/>
      <c r="D20" s="84"/>
      <c r="E20" s="84"/>
      <c r="F20" s="84"/>
      <c r="G20" s="84"/>
      <c r="H20" s="84"/>
      <c r="Q20" t="s">
        <v>480</v>
      </c>
      <c r="R20">
        <f>R16-R17-R18</f>
        <v>880000</v>
      </c>
      <c r="S20">
        <f>S16-S17-S18</f>
        <v>-500000</v>
      </c>
      <c r="V20" t="s">
        <v>457</v>
      </c>
      <c r="W20">
        <v>50</v>
      </c>
      <c r="X20">
        <v>70</v>
      </c>
      <c r="Y20" t="s">
        <v>472</v>
      </c>
      <c r="AA20" s="5">
        <f ca="1">RANDBETWEEN(W20,X20)</f>
        <v>52</v>
      </c>
      <c r="AH20">
        <v>19</v>
      </c>
      <c r="AI20">
        <v>549296</v>
      </c>
    </row>
    <row r="21" spans="2:35" x14ac:dyDescent="0.3">
      <c r="B21" s="84"/>
      <c r="C21" s="84"/>
      <c r="D21" s="84"/>
      <c r="E21" s="84"/>
      <c r="F21" s="84"/>
      <c r="G21" s="84"/>
      <c r="H21" s="84"/>
      <c r="AH21">
        <v>20</v>
      </c>
      <c r="AI21">
        <v>17900</v>
      </c>
    </row>
    <row r="22" spans="2:35" x14ac:dyDescent="0.3">
      <c r="AH22">
        <v>21</v>
      </c>
      <c r="AI22">
        <v>377400</v>
      </c>
    </row>
    <row r="23" spans="2:35" x14ac:dyDescent="0.3">
      <c r="AH23">
        <v>22</v>
      </c>
      <c r="AI23">
        <v>330445</v>
      </c>
    </row>
    <row r="24" spans="2:35" x14ac:dyDescent="0.3">
      <c r="AH24">
        <v>23</v>
      </c>
      <c r="AI24">
        <v>617391</v>
      </c>
    </row>
    <row r="25" spans="2:35" x14ac:dyDescent="0.3">
      <c r="AH25">
        <v>24</v>
      </c>
      <c r="AI25">
        <v>192816</v>
      </c>
    </row>
    <row r="26" spans="2:35" x14ac:dyDescent="0.3">
      <c r="AH26">
        <v>25</v>
      </c>
      <c r="AI26">
        <v>356583</v>
      </c>
    </row>
    <row r="27" spans="2:35" x14ac:dyDescent="0.3">
      <c r="AH27">
        <v>26</v>
      </c>
      <c r="AI27">
        <v>-221392</v>
      </c>
    </row>
    <row r="28" spans="2:35" x14ac:dyDescent="0.3">
      <c r="AH28">
        <v>27</v>
      </c>
      <c r="AI28">
        <v>278896</v>
      </c>
    </row>
    <row r="29" spans="2:35" x14ac:dyDescent="0.3">
      <c r="AH29">
        <v>28</v>
      </c>
      <c r="AI29">
        <v>364944</v>
      </c>
    </row>
    <row r="30" spans="2:35" x14ac:dyDescent="0.3">
      <c r="AH30">
        <v>29</v>
      </c>
      <c r="AI30">
        <v>517755</v>
      </c>
    </row>
    <row r="31" spans="2:35" x14ac:dyDescent="0.3">
      <c r="AH31">
        <v>30</v>
      </c>
      <c r="AI31">
        <v>32120</v>
      </c>
    </row>
    <row r="32" spans="2:35" x14ac:dyDescent="0.3">
      <c r="AH32">
        <v>31</v>
      </c>
      <c r="AI32">
        <v>112432</v>
      </c>
    </row>
    <row r="33" spans="34:35" x14ac:dyDescent="0.3">
      <c r="AH33">
        <v>32</v>
      </c>
      <c r="AI33">
        <v>98517</v>
      </c>
    </row>
    <row r="34" spans="34:35" x14ac:dyDescent="0.3">
      <c r="AH34">
        <v>33</v>
      </c>
      <c r="AI34">
        <v>-166816</v>
      </c>
    </row>
    <row r="35" spans="34:35" x14ac:dyDescent="0.3">
      <c r="AH35">
        <v>34</v>
      </c>
      <c r="AI35">
        <v>420648</v>
      </c>
    </row>
    <row r="36" spans="34:35" x14ac:dyDescent="0.3">
      <c r="AH36">
        <v>35</v>
      </c>
      <c r="AI36">
        <v>246893</v>
      </c>
    </row>
    <row r="37" spans="34:35" x14ac:dyDescent="0.3">
      <c r="AH37">
        <v>36</v>
      </c>
      <c r="AI37">
        <v>-116032</v>
      </c>
    </row>
    <row r="38" spans="34:35" x14ac:dyDescent="0.3">
      <c r="AH38">
        <v>37</v>
      </c>
      <c r="AI38">
        <v>87040</v>
      </c>
    </row>
    <row r="39" spans="34:35" x14ac:dyDescent="0.3">
      <c r="AH39">
        <v>38</v>
      </c>
      <c r="AI39">
        <v>342284</v>
      </c>
    </row>
    <row r="40" spans="34:35" x14ac:dyDescent="0.3">
      <c r="AH40">
        <v>39</v>
      </c>
      <c r="AI40">
        <v>185510</v>
      </c>
    </row>
    <row r="41" spans="34:35" x14ac:dyDescent="0.3">
      <c r="AH41">
        <v>40</v>
      </c>
      <c r="AI41">
        <v>67026</v>
      </c>
    </row>
    <row r="42" spans="34:35" x14ac:dyDescent="0.3">
      <c r="AH42">
        <v>41</v>
      </c>
      <c r="AI42">
        <v>78340</v>
      </c>
    </row>
    <row r="43" spans="34:35" x14ac:dyDescent="0.3">
      <c r="AH43">
        <v>42</v>
      </c>
      <c r="AI43">
        <v>57061</v>
      </c>
    </row>
    <row r="44" spans="34:35" x14ac:dyDescent="0.3">
      <c r="AH44">
        <v>43</v>
      </c>
      <c r="AI44">
        <v>476485</v>
      </c>
    </row>
    <row r="45" spans="34:35" x14ac:dyDescent="0.3">
      <c r="AH45">
        <v>44</v>
      </c>
      <c r="AI45">
        <v>431166</v>
      </c>
    </row>
    <row r="46" spans="34:35" x14ac:dyDescent="0.3">
      <c r="AH46">
        <v>45</v>
      </c>
      <c r="AI46">
        <v>418492</v>
      </c>
    </row>
    <row r="47" spans="34:35" x14ac:dyDescent="0.3">
      <c r="AH47">
        <v>46</v>
      </c>
      <c r="AI47">
        <v>227664</v>
      </c>
    </row>
    <row r="48" spans="34:35" x14ac:dyDescent="0.3">
      <c r="AH48">
        <v>47</v>
      </c>
      <c r="AI48">
        <v>500544</v>
      </c>
    </row>
    <row r="49" spans="34:35" x14ac:dyDescent="0.3">
      <c r="AH49">
        <v>48</v>
      </c>
      <c r="AI49">
        <v>282550</v>
      </c>
    </row>
    <row r="50" spans="34:35" x14ac:dyDescent="0.3">
      <c r="AH50">
        <v>49</v>
      </c>
      <c r="AI50">
        <v>366887</v>
      </c>
    </row>
    <row r="51" spans="34:35" x14ac:dyDescent="0.3">
      <c r="AH51">
        <v>50</v>
      </c>
      <c r="AI51">
        <v>-407017</v>
      </c>
    </row>
    <row r="52" spans="34:35" x14ac:dyDescent="0.3">
      <c r="AH52">
        <v>51</v>
      </c>
      <c r="AI52">
        <v>-110765</v>
      </c>
    </row>
    <row r="53" spans="34:35" x14ac:dyDescent="0.3">
      <c r="AH53">
        <v>52</v>
      </c>
      <c r="AI53">
        <v>-104180</v>
      </c>
    </row>
    <row r="54" spans="34:35" x14ac:dyDescent="0.3">
      <c r="AH54">
        <v>53</v>
      </c>
      <c r="AI54">
        <v>153090</v>
      </c>
    </row>
    <row r="55" spans="34:35" x14ac:dyDescent="0.3">
      <c r="AH55">
        <v>54</v>
      </c>
      <c r="AI55">
        <v>129775</v>
      </c>
    </row>
    <row r="56" spans="34:35" x14ac:dyDescent="0.3">
      <c r="AH56">
        <v>55</v>
      </c>
      <c r="AI56">
        <v>311537</v>
      </c>
    </row>
    <row r="57" spans="34:35" x14ac:dyDescent="0.3">
      <c r="AH57">
        <v>56</v>
      </c>
      <c r="AI57">
        <v>-101480</v>
      </c>
    </row>
    <row r="58" spans="34:35" x14ac:dyDescent="0.3">
      <c r="AH58">
        <v>57</v>
      </c>
      <c r="AI58">
        <v>558558</v>
      </c>
    </row>
    <row r="59" spans="34:35" x14ac:dyDescent="0.3">
      <c r="AH59">
        <v>58</v>
      </c>
      <c r="AI59">
        <v>148830</v>
      </c>
    </row>
    <row r="60" spans="34:35" x14ac:dyDescent="0.3">
      <c r="AH60">
        <v>59</v>
      </c>
      <c r="AI60">
        <v>198688</v>
      </c>
    </row>
    <row r="61" spans="34:35" x14ac:dyDescent="0.3">
      <c r="AH61">
        <v>60</v>
      </c>
      <c r="AI61">
        <v>317312</v>
      </c>
    </row>
    <row r="62" spans="34:35" x14ac:dyDescent="0.3">
      <c r="AH62">
        <v>61</v>
      </c>
      <c r="AI62">
        <v>230310</v>
      </c>
    </row>
    <row r="63" spans="34:35" x14ac:dyDescent="0.3">
      <c r="AH63">
        <v>62</v>
      </c>
      <c r="AI63">
        <v>245705</v>
      </c>
    </row>
    <row r="64" spans="34:35" x14ac:dyDescent="0.3">
      <c r="AH64">
        <v>63</v>
      </c>
      <c r="AI64">
        <v>-285560</v>
      </c>
    </row>
    <row r="65" spans="34:35" x14ac:dyDescent="0.3">
      <c r="AH65">
        <v>64</v>
      </c>
      <c r="AI65">
        <v>-303344</v>
      </c>
    </row>
    <row r="66" spans="34:35" x14ac:dyDescent="0.3">
      <c r="AH66">
        <v>65</v>
      </c>
      <c r="AI66">
        <v>345234</v>
      </c>
    </row>
    <row r="67" spans="34:35" x14ac:dyDescent="0.3">
      <c r="AH67">
        <v>66</v>
      </c>
      <c r="AI67">
        <v>473986</v>
      </c>
    </row>
    <row r="68" spans="34:35" x14ac:dyDescent="0.3">
      <c r="AH68">
        <v>67</v>
      </c>
      <c r="AI68">
        <v>-95363</v>
      </c>
    </row>
    <row r="69" spans="34:35" x14ac:dyDescent="0.3">
      <c r="AH69">
        <v>68</v>
      </c>
      <c r="AI69">
        <v>135825</v>
      </c>
    </row>
    <row r="70" spans="34:35" x14ac:dyDescent="0.3">
      <c r="AH70">
        <v>69</v>
      </c>
      <c r="AI70">
        <v>129048</v>
      </c>
    </row>
    <row r="71" spans="34:35" x14ac:dyDescent="0.3">
      <c r="AH71">
        <v>70</v>
      </c>
      <c r="AI71">
        <v>-187844</v>
      </c>
    </row>
    <row r="72" spans="34:35" x14ac:dyDescent="0.3">
      <c r="AH72">
        <v>71</v>
      </c>
      <c r="AI72">
        <v>412687</v>
      </c>
    </row>
    <row r="73" spans="34:35" x14ac:dyDescent="0.3">
      <c r="AH73">
        <v>72</v>
      </c>
      <c r="AI73">
        <v>141039</v>
      </c>
    </row>
    <row r="74" spans="34:35" x14ac:dyDescent="0.3">
      <c r="AH74">
        <v>73</v>
      </c>
      <c r="AI74">
        <v>-270628</v>
      </c>
    </row>
    <row r="75" spans="34:35" x14ac:dyDescent="0.3">
      <c r="AH75">
        <v>74</v>
      </c>
      <c r="AI75">
        <v>455578</v>
      </c>
    </row>
    <row r="76" spans="34:35" x14ac:dyDescent="0.3">
      <c r="AH76">
        <v>75</v>
      </c>
      <c r="AI76">
        <v>-36604</v>
      </c>
    </row>
    <row r="77" spans="34:35" x14ac:dyDescent="0.3">
      <c r="AH77">
        <v>76</v>
      </c>
      <c r="AI77">
        <v>126896</v>
      </c>
    </row>
    <row r="78" spans="34:35" x14ac:dyDescent="0.3">
      <c r="AH78">
        <v>77</v>
      </c>
      <c r="AI78">
        <v>415590</v>
      </c>
    </row>
    <row r="79" spans="34:35" x14ac:dyDescent="0.3">
      <c r="AH79">
        <v>78</v>
      </c>
      <c r="AI79">
        <v>367232</v>
      </c>
    </row>
    <row r="80" spans="34:35" x14ac:dyDescent="0.3">
      <c r="AH80">
        <v>79</v>
      </c>
      <c r="AI80">
        <v>-36752</v>
      </c>
    </row>
    <row r="81" spans="34:35" x14ac:dyDescent="0.3">
      <c r="AH81">
        <v>80</v>
      </c>
      <c r="AI81">
        <v>97448</v>
      </c>
    </row>
    <row r="82" spans="34:35" x14ac:dyDescent="0.3">
      <c r="AH82">
        <v>81</v>
      </c>
      <c r="AI82">
        <v>298221</v>
      </c>
    </row>
    <row r="83" spans="34:35" x14ac:dyDescent="0.3">
      <c r="AH83">
        <v>82</v>
      </c>
      <c r="AI83">
        <v>193796</v>
      </c>
    </row>
    <row r="84" spans="34:35" x14ac:dyDescent="0.3">
      <c r="AH84">
        <v>83</v>
      </c>
      <c r="AI84">
        <v>409586</v>
      </c>
    </row>
    <row r="85" spans="34:35" x14ac:dyDescent="0.3">
      <c r="AH85">
        <v>84</v>
      </c>
      <c r="AI85">
        <v>36214</v>
      </c>
    </row>
    <row r="86" spans="34:35" x14ac:dyDescent="0.3">
      <c r="AH86">
        <v>85</v>
      </c>
      <c r="AI86">
        <v>-112190</v>
      </c>
    </row>
    <row r="87" spans="34:35" x14ac:dyDescent="0.3">
      <c r="AH87">
        <v>86</v>
      </c>
      <c r="AI87">
        <v>-93215</v>
      </c>
    </row>
    <row r="88" spans="34:35" x14ac:dyDescent="0.3">
      <c r="AH88">
        <v>87</v>
      </c>
      <c r="AI88">
        <v>410920</v>
      </c>
    </row>
    <row r="89" spans="34:35" x14ac:dyDescent="0.3">
      <c r="AH89">
        <v>88</v>
      </c>
      <c r="AI89">
        <v>128040</v>
      </c>
    </row>
    <row r="90" spans="34:35" x14ac:dyDescent="0.3">
      <c r="AH90">
        <v>89</v>
      </c>
      <c r="AI90">
        <v>215249</v>
      </c>
    </row>
    <row r="91" spans="34:35" x14ac:dyDescent="0.3">
      <c r="AH91">
        <v>90</v>
      </c>
      <c r="AI91">
        <v>229296</v>
      </c>
    </row>
    <row r="92" spans="34:35" x14ac:dyDescent="0.3">
      <c r="AH92">
        <v>91</v>
      </c>
      <c r="AI92">
        <v>-128909</v>
      </c>
    </row>
    <row r="93" spans="34:35" x14ac:dyDescent="0.3">
      <c r="AH93">
        <v>92</v>
      </c>
      <c r="AI93">
        <v>63920</v>
      </c>
    </row>
    <row r="94" spans="34:35" x14ac:dyDescent="0.3">
      <c r="AH94">
        <v>93</v>
      </c>
      <c r="AI94">
        <v>-92186</v>
      </c>
    </row>
    <row r="95" spans="34:35" x14ac:dyDescent="0.3">
      <c r="AH95">
        <v>94</v>
      </c>
      <c r="AI95">
        <v>122224</v>
      </c>
    </row>
    <row r="96" spans="34:35" x14ac:dyDescent="0.3">
      <c r="AH96">
        <v>95</v>
      </c>
      <c r="AI96">
        <v>-283271</v>
      </c>
    </row>
    <row r="97" spans="34:35" x14ac:dyDescent="0.3">
      <c r="AH97">
        <v>96</v>
      </c>
      <c r="AI97">
        <v>-5420</v>
      </c>
    </row>
    <row r="98" spans="34:35" x14ac:dyDescent="0.3">
      <c r="AH98">
        <v>97</v>
      </c>
      <c r="AI98">
        <v>350800</v>
      </c>
    </row>
    <row r="99" spans="34:35" x14ac:dyDescent="0.3">
      <c r="AH99">
        <v>98</v>
      </c>
      <c r="AI99">
        <v>202236</v>
      </c>
    </row>
    <row r="100" spans="34:35" x14ac:dyDescent="0.3">
      <c r="AH100">
        <v>99</v>
      </c>
      <c r="AI100">
        <v>56076</v>
      </c>
    </row>
    <row r="101" spans="34:35" x14ac:dyDescent="0.3">
      <c r="AH101">
        <v>100</v>
      </c>
      <c r="AI101">
        <v>304682</v>
      </c>
    </row>
    <row r="102" spans="34:35" x14ac:dyDescent="0.3">
      <c r="AH102">
        <v>101</v>
      </c>
      <c r="AI102">
        <v>303010</v>
      </c>
    </row>
    <row r="103" spans="34:35" x14ac:dyDescent="0.3">
      <c r="AH103">
        <v>102</v>
      </c>
      <c r="AI103">
        <v>32510</v>
      </c>
    </row>
    <row r="104" spans="34:35" x14ac:dyDescent="0.3">
      <c r="AH104">
        <v>103</v>
      </c>
      <c r="AI104">
        <v>360553</v>
      </c>
    </row>
    <row r="105" spans="34:35" x14ac:dyDescent="0.3">
      <c r="AH105">
        <v>104</v>
      </c>
      <c r="AI105">
        <v>35440</v>
      </c>
    </row>
    <row r="106" spans="34:35" x14ac:dyDescent="0.3">
      <c r="AH106">
        <v>105</v>
      </c>
      <c r="AI106">
        <v>123158</v>
      </c>
    </row>
    <row r="107" spans="34:35" x14ac:dyDescent="0.3">
      <c r="AH107">
        <v>106</v>
      </c>
      <c r="AI107">
        <v>83416</v>
      </c>
    </row>
    <row r="108" spans="34:35" x14ac:dyDescent="0.3">
      <c r="AH108">
        <v>107</v>
      </c>
      <c r="AI108">
        <v>92232</v>
      </c>
    </row>
    <row r="109" spans="34:35" x14ac:dyDescent="0.3">
      <c r="AH109">
        <v>108</v>
      </c>
      <c r="AI109">
        <v>329712</v>
      </c>
    </row>
    <row r="110" spans="34:35" x14ac:dyDescent="0.3">
      <c r="AH110">
        <v>109</v>
      </c>
      <c r="AI110">
        <v>-282299</v>
      </c>
    </row>
    <row r="111" spans="34:35" x14ac:dyDescent="0.3">
      <c r="AH111">
        <v>110</v>
      </c>
      <c r="AI111">
        <v>592129</v>
      </c>
    </row>
    <row r="112" spans="34:35" x14ac:dyDescent="0.3">
      <c r="AH112">
        <v>111</v>
      </c>
      <c r="AI112">
        <v>325271</v>
      </c>
    </row>
    <row r="113" spans="34:35" x14ac:dyDescent="0.3">
      <c r="AH113">
        <v>112</v>
      </c>
      <c r="AI113">
        <v>598560</v>
      </c>
    </row>
    <row r="114" spans="34:35" x14ac:dyDescent="0.3">
      <c r="AH114">
        <v>113</v>
      </c>
      <c r="AI114">
        <v>155820</v>
      </c>
    </row>
    <row r="115" spans="34:35" x14ac:dyDescent="0.3">
      <c r="AH115">
        <v>114</v>
      </c>
      <c r="AI115">
        <v>193895</v>
      </c>
    </row>
    <row r="116" spans="34:35" x14ac:dyDescent="0.3">
      <c r="AH116">
        <v>115</v>
      </c>
      <c r="AI116">
        <v>476230</v>
      </c>
    </row>
    <row r="117" spans="34:35" x14ac:dyDescent="0.3">
      <c r="AH117">
        <v>116</v>
      </c>
      <c r="AI117">
        <v>229474</v>
      </c>
    </row>
    <row r="118" spans="34:35" x14ac:dyDescent="0.3">
      <c r="AH118">
        <v>117</v>
      </c>
      <c r="AI118">
        <v>464288</v>
      </c>
    </row>
    <row r="119" spans="34:35" x14ac:dyDescent="0.3">
      <c r="AH119">
        <v>118</v>
      </c>
      <c r="AI119">
        <v>83500</v>
      </c>
    </row>
    <row r="120" spans="34:35" x14ac:dyDescent="0.3">
      <c r="AH120">
        <v>119</v>
      </c>
      <c r="AI120">
        <v>32944</v>
      </c>
    </row>
    <row r="121" spans="34:35" x14ac:dyDescent="0.3">
      <c r="AH121">
        <v>120</v>
      </c>
      <c r="AI121">
        <v>-130344</v>
      </c>
    </row>
    <row r="122" spans="34:35" x14ac:dyDescent="0.3">
      <c r="AH122">
        <v>121</v>
      </c>
      <c r="AI122">
        <v>387550</v>
      </c>
    </row>
    <row r="123" spans="34:35" x14ac:dyDescent="0.3">
      <c r="AH123">
        <v>122</v>
      </c>
      <c r="AI123">
        <v>262808</v>
      </c>
    </row>
    <row r="124" spans="34:35" x14ac:dyDescent="0.3">
      <c r="AH124">
        <v>123</v>
      </c>
      <c r="AI124">
        <v>339104</v>
      </c>
    </row>
    <row r="125" spans="34:35" x14ac:dyDescent="0.3">
      <c r="AH125">
        <v>124</v>
      </c>
      <c r="AI125">
        <v>50968</v>
      </c>
    </row>
    <row r="126" spans="34:35" x14ac:dyDescent="0.3">
      <c r="AH126">
        <v>125</v>
      </c>
      <c r="AI126">
        <v>290150</v>
      </c>
    </row>
    <row r="127" spans="34:35" x14ac:dyDescent="0.3">
      <c r="AH127">
        <v>126</v>
      </c>
      <c r="AI127">
        <v>433922</v>
      </c>
    </row>
    <row r="128" spans="34:35" x14ac:dyDescent="0.3">
      <c r="AH128">
        <v>127</v>
      </c>
      <c r="AI128">
        <v>517700</v>
      </c>
    </row>
    <row r="129" spans="34:35" x14ac:dyDescent="0.3">
      <c r="AH129">
        <v>128</v>
      </c>
      <c r="AI129">
        <v>212313</v>
      </c>
    </row>
    <row r="130" spans="34:35" x14ac:dyDescent="0.3">
      <c r="AH130">
        <v>129</v>
      </c>
      <c r="AI130">
        <v>-91082</v>
      </c>
    </row>
    <row r="131" spans="34:35" x14ac:dyDescent="0.3">
      <c r="AH131">
        <v>130</v>
      </c>
      <c r="AI131">
        <v>170180</v>
      </c>
    </row>
    <row r="132" spans="34:35" x14ac:dyDescent="0.3">
      <c r="AH132">
        <v>131</v>
      </c>
      <c r="AI132">
        <v>-128615</v>
      </c>
    </row>
    <row r="133" spans="34:35" x14ac:dyDescent="0.3">
      <c r="AH133">
        <v>132</v>
      </c>
      <c r="AI133">
        <v>48789</v>
      </c>
    </row>
    <row r="134" spans="34:35" x14ac:dyDescent="0.3">
      <c r="AH134">
        <v>133</v>
      </c>
      <c r="AI134">
        <v>38790</v>
      </c>
    </row>
    <row r="135" spans="34:35" x14ac:dyDescent="0.3">
      <c r="AH135">
        <v>134</v>
      </c>
      <c r="AI135">
        <v>395180</v>
      </c>
    </row>
    <row r="136" spans="34:35" x14ac:dyDescent="0.3">
      <c r="AH136">
        <v>135</v>
      </c>
      <c r="AI136">
        <v>313070</v>
      </c>
    </row>
    <row r="137" spans="34:35" x14ac:dyDescent="0.3">
      <c r="AH137">
        <v>136</v>
      </c>
      <c r="AI137">
        <v>100750</v>
      </c>
    </row>
    <row r="138" spans="34:35" x14ac:dyDescent="0.3">
      <c r="AH138">
        <v>137</v>
      </c>
      <c r="AI138">
        <v>281975</v>
      </c>
    </row>
    <row r="139" spans="34:35" x14ac:dyDescent="0.3">
      <c r="AH139">
        <v>138</v>
      </c>
      <c r="AI139">
        <v>276929</v>
      </c>
    </row>
    <row r="140" spans="34:35" x14ac:dyDescent="0.3">
      <c r="AH140">
        <v>139</v>
      </c>
      <c r="AI140">
        <v>351430</v>
      </c>
    </row>
    <row r="141" spans="34:35" x14ac:dyDescent="0.3">
      <c r="AH141">
        <v>140</v>
      </c>
      <c r="AI141">
        <v>194193</v>
      </c>
    </row>
    <row r="142" spans="34:35" x14ac:dyDescent="0.3">
      <c r="AH142">
        <v>141</v>
      </c>
      <c r="AI142">
        <v>-166766</v>
      </c>
    </row>
    <row r="143" spans="34:35" x14ac:dyDescent="0.3">
      <c r="AH143">
        <v>142</v>
      </c>
      <c r="AI143">
        <v>273792</v>
      </c>
    </row>
    <row r="144" spans="34:35" x14ac:dyDescent="0.3">
      <c r="AH144">
        <v>143</v>
      </c>
      <c r="AI144">
        <v>399596</v>
      </c>
    </row>
    <row r="145" spans="34:35" x14ac:dyDescent="0.3">
      <c r="AH145">
        <v>144</v>
      </c>
      <c r="AI145">
        <v>477392</v>
      </c>
    </row>
    <row r="146" spans="34:35" x14ac:dyDescent="0.3">
      <c r="AH146">
        <v>145</v>
      </c>
      <c r="AI146">
        <v>552054</v>
      </c>
    </row>
    <row r="147" spans="34:35" x14ac:dyDescent="0.3">
      <c r="AH147">
        <v>146</v>
      </c>
      <c r="AI147">
        <v>-227266</v>
      </c>
    </row>
    <row r="148" spans="34:35" x14ac:dyDescent="0.3">
      <c r="AH148">
        <v>147</v>
      </c>
      <c r="AI148">
        <v>-174939</v>
      </c>
    </row>
    <row r="149" spans="34:35" x14ac:dyDescent="0.3">
      <c r="AH149">
        <v>148</v>
      </c>
      <c r="AI149">
        <v>244266</v>
      </c>
    </row>
    <row r="150" spans="34:35" x14ac:dyDescent="0.3">
      <c r="AH150">
        <v>149</v>
      </c>
      <c r="AI150">
        <v>87780</v>
      </c>
    </row>
    <row r="151" spans="34:35" x14ac:dyDescent="0.3">
      <c r="AH151">
        <v>150</v>
      </c>
      <c r="AI151">
        <v>609536</v>
      </c>
    </row>
    <row r="152" spans="34:35" x14ac:dyDescent="0.3">
      <c r="AH152">
        <v>151</v>
      </c>
      <c r="AI152">
        <v>-79505</v>
      </c>
    </row>
    <row r="153" spans="34:35" x14ac:dyDescent="0.3">
      <c r="AH153">
        <v>152</v>
      </c>
      <c r="AI153">
        <v>-180008</v>
      </c>
    </row>
    <row r="154" spans="34:35" x14ac:dyDescent="0.3">
      <c r="AH154">
        <v>153</v>
      </c>
      <c r="AI154">
        <v>47017</v>
      </c>
    </row>
    <row r="155" spans="34:35" x14ac:dyDescent="0.3">
      <c r="AH155">
        <v>154</v>
      </c>
      <c r="AI155">
        <v>164340</v>
      </c>
    </row>
    <row r="156" spans="34:35" x14ac:dyDescent="0.3">
      <c r="AH156">
        <v>155</v>
      </c>
      <c r="AI156">
        <v>-367120</v>
      </c>
    </row>
    <row r="157" spans="34:35" x14ac:dyDescent="0.3">
      <c r="AH157">
        <v>156</v>
      </c>
      <c r="AI157">
        <v>135622</v>
      </c>
    </row>
    <row r="158" spans="34:35" x14ac:dyDescent="0.3">
      <c r="AH158">
        <v>157</v>
      </c>
      <c r="AI158">
        <v>-39616</v>
      </c>
    </row>
    <row r="159" spans="34:35" x14ac:dyDescent="0.3">
      <c r="AH159">
        <v>158</v>
      </c>
      <c r="AI159">
        <v>468534</v>
      </c>
    </row>
    <row r="160" spans="34:35" x14ac:dyDescent="0.3">
      <c r="AH160">
        <v>159</v>
      </c>
      <c r="AI160">
        <v>113137</v>
      </c>
    </row>
    <row r="161" spans="34:35" x14ac:dyDescent="0.3">
      <c r="AH161">
        <v>160</v>
      </c>
      <c r="AI161">
        <v>550440</v>
      </c>
    </row>
    <row r="162" spans="34:35" x14ac:dyDescent="0.3">
      <c r="AH162">
        <v>161</v>
      </c>
      <c r="AI162">
        <v>253876</v>
      </c>
    </row>
    <row r="163" spans="34:35" x14ac:dyDescent="0.3">
      <c r="AH163">
        <v>162</v>
      </c>
      <c r="AI163">
        <v>126822</v>
      </c>
    </row>
    <row r="164" spans="34:35" x14ac:dyDescent="0.3">
      <c r="AH164">
        <v>163</v>
      </c>
      <c r="AI164">
        <v>348992</v>
      </c>
    </row>
    <row r="165" spans="34:35" x14ac:dyDescent="0.3">
      <c r="AH165">
        <v>164</v>
      </c>
      <c r="AI165">
        <v>220085</v>
      </c>
    </row>
    <row r="166" spans="34:35" x14ac:dyDescent="0.3">
      <c r="AH166">
        <v>165</v>
      </c>
      <c r="AI166">
        <v>173560</v>
      </c>
    </row>
    <row r="167" spans="34:35" x14ac:dyDescent="0.3">
      <c r="AH167">
        <v>166</v>
      </c>
      <c r="AI167">
        <v>99716</v>
      </c>
    </row>
    <row r="168" spans="34:35" x14ac:dyDescent="0.3">
      <c r="AH168">
        <v>167</v>
      </c>
      <c r="AI168">
        <v>101900</v>
      </c>
    </row>
    <row r="169" spans="34:35" x14ac:dyDescent="0.3">
      <c r="AH169">
        <v>168</v>
      </c>
      <c r="AI169">
        <v>218046</v>
      </c>
    </row>
    <row r="170" spans="34:35" x14ac:dyDescent="0.3">
      <c r="AH170">
        <v>169</v>
      </c>
      <c r="AI170">
        <v>542896</v>
      </c>
    </row>
    <row r="171" spans="34:35" x14ac:dyDescent="0.3">
      <c r="AH171">
        <v>170</v>
      </c>
      <c r="AI171">
        <v>-33248</v>
      </c>
    </row>
    <row r="172" spans="34:35" x14ac:dyDescent="0.3">
      <c r="AH172">
        <v>171</v>
      </c>
      <c r="AI172">
        <v>414000</v>
      </c>
    </row>
    <row r="173" spans="34:35" x14ac:dyDescent="0.3">
      <c r="AH173">
        <v>172</v>
      </c>
      <c r="AI173">
        <v>202238</v>
      </c>
    </row>
    <row r="174" spans="34:35" x14ac:dyDescent="0.3">
      <c r="AH174">
        <v>173</v>
      </c>
      <c r="AI174">
        <v>503952</v>
      </c>
    </row>
    <row r="175" spans="34:35" x14ac:dyDescent="0.3">
      <c r="AH175">
        <v>174</v>
      </c>
      <c r="AI175">
        <v>238978</v>
      </c>
    </row>
    <row r="176" spans="34:35" x14ac:dyDescent="0.3">
      <c r="AH176">
        <v>175</v>
      </c>
      <c r="AI176">
        <v>-223472</v>
      </c>
    </row>
    <row r="177" spans="34:35" x14ac:dyDescent="0.3">
      <c r="AH177">
        <v>176</v>
      </c>
      <c r="AI177">
        <v>633328</v>
      </c>
    </row>
    <row r="178" spans="34:35" x14ac:dyDescent="0.3">
      <c r="AH178">
        <v>177</v>
      </c>
      <c r="AI178">
        <v>-125120</v>
      </c>
    </row>
    <row r="179" spans="34:35" x14ac:dyDescent="0.3">
      <c r="AH179">
        <v>178</v>
      </c>
      <c r="AI179">
        <v>279392</v>
      </c>
    </row>
    <row r="180" spans="34:35" x14ac:dyDescent="0.3">
      <c r="AH180">
        <v>179</v>
      </c>
      <c r="AI180">
        <v>-241842</v>
      </c>
    </row>
    <row r="181" spans="34:35" x14ac:dyDescent="0.3">
      <c r="AH181">
        <v>180</v>
      </c>
      <c r="AI181">
        <v>56474</v>
      </c>
    </row>
    <row r="182" spans="34:35" x14ac:dyDescent="0.3">
      <c r="AH182">
        <v>181</v>
      </c>
      <c r="AI182">
        <v>-53984</v>
      </c>
    </row>
    <row r="183" spans="34:35" x14ac:dyDescent="0.3">
      <c r="AH183">
        <v>182</v>
      </c>
      <c r="AI183">
        <v>433264</v>
      </c>
    </row>
    <row r="184" spans="34:35" x14ac:dyDescent="0.3">
      <c r="AH184">
        <v>183</v>
      </c>
      <c r="AI184">
        <v>9900</v>
      </c>
    </row>
    <row r="185" spans="34:35" x14ac:dyDescent="0.3">
      <c r="AH185">
        <v>184</v>
      </c>
      <c r="AI185">
        <v>540680</v>
      </c>
    </row>
    <row r="186" spans="34:35" x14ac:dyDescent="0.3">
      <c r="AH186">
        <v>185</v>
      </c>
      <c r="AI186">
        <v>352016</v>
      </c>
    </row>
    <row r="187" spans="34:35" x14ac:dyDescent="0.3">
      <c r="AH187">
        <v>186</v>
      </c>
      <c r="AI187">
        <v>325783</v>
      </c>
    </row>
    <row r="188" spans="34:35" x14ac:dyDescent="0.3">
      <c r="AH188">
        <v>187</v>
      </c>
      <c r="AI188">
        <v>120918</v>
      </c>
    </row>
    <row r="189" spans="34:35" x14ac:dyDescent="0.3">
      <c r="AH189">
        <v>188</v>
      </c>
      <c r="AI189">
        <v>320999</v>
      </c>
    </row>
    <row r="190" spans="34:35" x14ac:dyDescent="0.3">
      <c r="AH190">
        <v>189</v>
      </c>
      <c r="AI190">
        <v>231466</v>
      </c>
    </row>
    <row r="191" spans="34:35" x14ac:dyDescent="0.3">
      <c r="AH191">
        <v>190</v>
      </c>
      <c r="AI191">
        <v>-21048</v>
      </c>
    </row>
    <row r="192" spans="34:35" x14ac:dyDescent="0.3">
      <c r="AH192">
        <v>191</v>
      </c>
      <c r="AI192">
        <v>303005</v>
      </c>
    </row>
    <row r="193" spans="34:35" x14ac:dyDescent="0.3">
      <c r="AH193">
        <v>192</v>
      </c>
      <c r="AI193">
        <v>380113</v>
      </c>
    </row>
    <row r="194" spans="34:35" x14ac:dyDescent="0.3">
      <c r="AH194">
        <v>193</v>
      </c>
      <c r="AI194">
        <v>102068</v>
      </c>
    </row>
    <row r="195" spans="34:35" x14ac:dyDescent="0.3">
      <c r="AH195">
        <v>194</v>
      </c>
      <c r="AI195">
        <v>343432</v>
      </c>
    </row>
    <row r="196" spans="34:35" x14ac:dyDescent="0.3">
      <c r="AH196">
        <v>195</v>
      </c>
      <c r="AI196">
        <v>369144</v>
      </c>
    </row>
    <row r="197" spans="34:35" x14ac:dyDescent="0.3">
      <c r="AH197">
        <v>196</v>
      </c>
      <c r="AI197">
        <v>-135860</v>
      </c>
    </row>
    <row r="198" spans="34:35" x14ac:dyDescent="0.3">
      <c r="AH198">
        <v>197</v>
      </c>
      <c r="AI198">
        <v>-61666</v>
      </c>
    </row>
    <row r="199" spans="34:35" x14ac:dyDescent="0.3">
      <c r="AH199">
        <v>198</v>
      </c>
      <c r="AI199">
        <v>358800</v>
      </c>
    </row>
    <row r="200" spans="34:35" x14ac:dyDescent="0.3">
      <c r="AH200">
        <v>199</v>
      </c>
      <c r="AI200">
        <v>594792</v>
      </c>
    </row>
    <row r="201" spans="34:35" x14ac:dyDescent="0.3">
      <c r="AH201">
        <v>200</v>
      </c>
      <c r="AI201">
        <v>83526</v>
      </c>
    </row>
    <row r="202" spans="34:35" x14ac:dyDescent="0.3">
      <c r="AH202">
        <v>201</v>
      </c>
      <c r="AI202">
        <v>94027</v>
      </c>
    </row>
    <row r="203" spans="34:35" x14ac:dyDescent="0.3">
      <c r="AH203">
        <v>202</v>
      </c>
      <c r="AI203">
        <v>26840</v>
      </c>
    </row>
    <row r="204" spans="34:35" x14ac:dyDescent="0.3">
      <c r="AH204">
        <v>203</v>
      </c>
      <c r="AI204">
        <v>466848</v>
      </c>
    </row>
    <row r="205" spans="34:35" x14ac:dyDescent="0.3">
      <c r="AH205">
        <v>204</v>
      </c>
      <c r="AI205">
        <v>38920</v>
      </c>
    </row>
    <row r="206" spans="34:35" x14ac:dyDescent="0.3">
      <c r="AH206">
        <v>205</v>
      </c>
      <c r="AI206">
        <v>404620</v>
      </c>
    </row>
    <row r="207" spans="34:35" x14ac:dyDescent="0.3">
      <c r="AH207">
        <v>206</v>
      </c>
      <c r="AI207">
        <v>139798</v>
      </c>
    </row>
    <row r="208" spans="34:35" x14ac:dyDescent="0.3">
      <c r="AH208">
        <v>207</v>
      </c>
      <c r="AI208">
        <v>114146</v>
      </c>
    </row>
    <row r="209" spans="34:35" x14ac:dyDescent="0.3">
      <c r="AH209">
        <v>208</v>
      </c>
      <c r="AI209">
        <v>409018</v>
      </c>
    </row>
    <row r="210" spans="34:35" x14ac:dyDescent="0.3">
      <c r="AH210">
        <v>209</v>
      </c>
      <c r="AI210">
        <v>-121428</v>
      </c>
    </row>
    <row r="211" spans="34:35" x14ac:dyDescent="0.3">
      <c r="AH211">
        <v>210</v>
      </c>
      <c r="AI211">
        <v>511064</v>
      </c>
    </row>
    <row r="212" spans="34:35" x14ac:dyDescent="0.3">
      <c r="AH212">
        <v>211</v>
      </c>
      <c r="AI212">
        <v>-8955</v>
      </c>
    </row>
    <row r="213" spans="34:35" x14ac:dyDescent="0.3">
      <c r="AH213">
        <v>212</v>
      </c>
      <c r="AI213">
        <v>223399</v>
      </c>
    </row>
    <row r="214" spans="34:35" x14ac:dyDescent="0.3">
      <c r="AH214">
        <v>213</v>
      </c>
      <c r="AI214">
        <v>123860</v>
      </c>
    </row>
    <row r="215" spans="34:35" x14ac:dyDescent="0.3">
      <c r="AH215">
        <v>214</v>
      </c>
      <c r="AI215">
        <v>252538</v>
      </c>
    </row>
    <row r="216" spans="34:35" x14ac:dyDescent="0.3">
      <c r="AH216">
        <v>215</v>
      </c>
      <c r="AI216">
        <v>333210</v>
      </c>
    </row>
    <row r="217" spans="34:35" x14ac:dyDescent="0.3">
      <c r="AH217">
        <v>216</v>
      </c>
      <c r="AI217">
        <v>347552</v>
      </c>
    </row>
    <row r="218" spans="34:35" x14ac:dyDescent="0.3">
      <c r="AH218">
        <v>217</v>
      </c>
      <c r="AI218">
        <v>-163335</v>
      </c>
    </row>
    <row r="219" spans="34:35" x14ac:dyDescent="0.3">
      <c r="AH219">
        <v>218</v>
      </c>
      <c r="AI219">
        <v>316507</v>
      </c>
    </row>
    <row r="220" spans="34:35" x14ac:dyDescent="0.3">
      <c r="AH220">
        <v>219</v>
      </c>
      <c r="AI220">
        <v>343677</v>
      </c>
    </row>
    <row r="221" spans="34:35" x14ac:dyDescent="0.3">
      <c r="AH221">
        <v>220</v>
      </c>
      <c r="AI221">
        <v>86916</v>
      </c>
    </row>
    <row r="222" spans="34:35" x14ac:dyDescent="0.3">
      <c r="AH222">
        <v>221</v>
      </c>
      <c r="AI222">
        <v>97352</v>
      </c>
    </row>
    <row r="223" spans="34:35" x14ac:dyDescent="0.3">
      <c r="AH223">
        <v>222</v>
      </c>
      <c r="AI223">
        <v>184288</v>
      </c>
    </row>
    <row r="224" spans="34:35" x14ac:dyDescent="0.3">
      <c r="AH224">
        <v>223</v>
      </c>
      <c r="AI224">
        <v>314736</v>
      </c>
    </row>
    <row r="225" spans="34:35" x14ac:dyDescent="0.3">
      <c r="AH225">
        <v>224</v>
      </c>
      <c r="AI225">
        <v>348084</v>
      </c>
    </row>
    <row r="226" spans="34:35" x14ac:dyDescent="0.3">
      <c r="AH226">
        <v>225</v>
      </c>
      <c r="AI226">
        <v>514832</v>
      </c>
    </row>
    <row r="227" spans="34:35" x14ac:dyDescent="0.3">
      <c r="AH227">
        <v>226</v>
      </c>
      <c r="AI227">
        <v>-72552</v>
      </c>
    </row>
    <row r="228" spans="34:35" x14ac:dyDescent="0.3">
      <c r="AH228">
        <v>227</v>
      </c>
      <c r="AI228">
        <v>113676</v>
      </c>
    </row>
    <row r="229" spans="34:35" x14ac:dyDescent="0.3">
      <c r="AH229">
        <v>228</v>
      </c>
      <c r="AI229">
        <v>529525</v>
      </c>
    </row>
    <row r="230" spans="34:35" x14ac:dyDescent="0.3">
      <c r="AH230">
        <v>229</v>
      </c>
      <c r="AI230">
        <v>409379</v>
      </c>
    </row>
    <row r="231" spans="34:35" x14ac:dyDescent="0.3">
      <c r="AH231">
        <v>230</v>
      </c>
      <c r="AI231">
        <v>516444</v>
      </c>
    </row>
    <row r="232" spans="34:35" x14ac:dyDescent="0.3">
      <c r="AH232">
        <v>231</v>
      </c>
      <c r="AI232">
        <v>452432</v>
      </c>
    </row>
    <row r="233" spans="34:35" x14ac:dyDescent="0.3">
      <c r="AH233">
        <v>232</v>
      </c>
      <c r="AI233">
        <v>334234</v>
      </c>
    </row>
    <row r="234" spans="34:35" x14ac:dyDescent="0.3">
      <c r="AH234">
        <v>233</v>
      </c>
      <c r="AI234">
        <v>127886</v>
      </c>
    </row>
    <row r="235" spans="34:35" x14ac:dyDescent="0.3">
      <c r="AH235">
        <v>234</v>
      </c>
      <c r="AI235">
        <v>120760</v>
      </c>
    </row>
    <row r="236" spans="34:35" x14ac:dyDescent="0.3">
      <c r="AH236">
        <v>235</v>
      </c>
      <c r="AI236">
        <v>303512</v>
      </c>
    </row>
    <row r="237" spans="34:35" x14ac:dyDescent="0.3">
      <c r="AH237">
        <v>236</v>
      </c>
      <c r="AI237">
        <v>410180</v>
      </c>
    </row>
    <row r="238" spans="34:35" x14ac:dyDescent="0.3">
      <c r="AH238">
        <v>237</v>
      </c>
      <c r="AI238">
        <v>609207</v>
      </c>
    </row>
    <row r="239" spans="34:35" x14ac:dyDescent="0.3">
      <c r="AH239">
        <v>238</v>
      </c>
      <c r="AI239">
        <v>83673</v>
      </c>
    </row>
    <row r="240" spans="34:35" x14ac:dyDescent="0.3">
      <c r="AH240">
        <v>239</v>
      </c>
      <c r="AI240">
        <v>154480</v>
      </c>
    </row>
    <row r="241" spans="34:35" x14ac:dyDescent="0.3">
      <c r="AH241">
        <v>240</v>
      </c>
      <c r="AI241">
        <v>143408</v>
      </c>
    </row>
    <row r="242" spans="34:35" x14ac:dyDescent="0.3">
      <c r="AH242">
        <v>241</v>
      </c>
      <c r="AI242">
        <v>231060</v>
      </c>
    </row>
    <row r="243" spans="34:35" x14ac:dyDescent="0.3">
      <c r="AH243">
        <v>242</v>
      </c>
      <c r="AI243">
        <v>446040</v>
      </c>
    </row>
    <row r="244" spans="34:35" x14ac:dyDescent="0.3">
      <c r="AH244">
        <v>243</v>
      </c>
      <c r="AI244">
        <v>260297</v>
      </c>
    </row>
    <row r="245" spans="34:35" x14ac:dyDescent="0.3">
      <c r="AH245">
        <v>244</v>
      </c>
      <c r="AI245">
        <v>-230432</v>
      </c>
    </row>
    <row r="246" spans="34:35" x14ac:dyDescent="0.3">
      <c r="AH246">
        <v>245</v>
      </c>
      <c r="AI246">
        <v>-8132</v>
      </c>
    </row>
    <row r="247" spans="34:35" x14ac:dyDescent="0.3">
      <c r="AH247">
        <v>246</v>
      </c>
      <c r="AI247">
        <v>-231475</v>
      </c>
    </row>
    <row r="248" spans="34:35" x14ac:dyDescent="0.3">
      <c r="AH248">
        <v>247</v>
      </c>
      <c r="AI248">
        <v>-62640</v>
      </c>
    </row>
    <row r="249" spans="34:35" x14ac:dyDescent="0.3">
      <c r="AH249">
        <v>248</v>
      </c>
      <c r="AI249">
        <v>160808</v>
      </c>
    </row>
    <row r="250" spans="34:35" x14ac:dyDescent="0.3">
      <c r="AH250">
        <v>249</v>
      </c>
      <c r="AI250">
        <v>563040</v>
      </c>
    </row>
    <row r="251" spans="34:35" x14ac:dyDescent="0.3">
      <c r="AH251">
        <v>250</v>
      </c>
      <c r="AI251">
        <v>178222</v>
      </c>
    </row>
    <row r="252" spans="34:35" x14ac:dyDescent="0.3">
      <c r="AH252">
        <v>251</v>
      </c>
      <c r="AI252">
        <v>85820</v>
      </c>
    </row>
    <row r="253" spans="34:35" x14ac:dyDescent="0.3">
      <c r="AH253">
        <v>252</v>
      </c>
      <c r="AI253">
        <v>437824</v>
      </c>
    </row>
    <row r="254" spans="34:35" x14ac:dyDescent="0.3">
      <c r="AH254">
        <v>253</v>
      </c>
      <c r="AI254">
        <v>627020</v>
      </c>
    </row>
    <row r="255" spans="34:35" x14ac:dyDescent="0.3">
      <c r="AH255">
        <v>254</v>
      </c>
      <c r="AI255">
        <v>66888</v>
      </c>
    </row>
    <row r="256" spans="34:35" x14ac:dyDescent="0.3">
      <c r="AH256">
        <v>255</v>
      </c>
      <c r="AI256">
        <v>243920</v>
      </c>
    </row>
    <row r="257" spans="34:35" x14ac:dyDescent="0.3">
      <c r="AH257">
        <v>256</v>
      </c>
      <c r="AI257">
        <v>-363740</v>
      </c>
    </row>
    <row r="258" spans="34:35" x14ac:dyDescent="0.3">
      <c r="AH258">
        <v>257</v>
      </c>
      <c r="AI258">
        <v>-136320</v>
      </c>
    </row>
    <row r="259" spans="34:35" x14ac:dyDescent="0.3">
      <c r="AH259">
        <v>258</v>
      </c>
      <c r="AI259">
        <v>522134</v>
      </c>
    </row>
    <row r="260" spans="34:35" x14ac:dyDescent="0.3">
      <c r="AH260">
        <v>259</v>
      </c>
      <c r="AI260">
        <v>230372</v>
      </c>
    </row>
    <row r="261" spans="34:35" x14ac:dyDescent="0.3">
      <c r="AH261">
        <v>260</v>
      </c>
      <c r="AI261">
        <v>39112</v>
      </c>
    </row>
    <row r="262" spans="34:35" x14ac:dyDescent="0.3">
      <c r="AH262">
        <v>261</v>
      </c>
      <c r="AI262">
        <v>27535</v>
      </c>
    </row>
    <row r="263" spans="34:35" x14ac:dyDescent="0.3">
      <c r="AH263">
        <v>262</v>
      </c>
      <c r="AI263">
        <v>168108</v>
      </c>
    </row>
    <row r="264" spans="34:35" x14ac:dyDescent="0.3">
      <c r="AH264">
        <v>263</v>
      </c>
      <c r="AI264">
        <v>508300</v>
      </c>
    </row>
    <row r="265" spans="34:35" x14ac:dyDescent="0.3">
      <c r="AH265">
        <v>264</v>
      </c>
      <c r="AI265">
        <v>294048</v>
      </c>
    </row>
    <row r="266" spans="34:35" x14ac:dyDescent="0.3">
      <c r="AH266">
        <v>265</v>
      </c>
      <c r="AI266">
        <v>-75018</v>
      </c>
    </row>
    <row r="267" spans="34:35" x14ac:dyDescent="0.3">
      <c r="AH267">
        <v>266</v>
      </c>
      <c r="AI267">
        <v>-34160</v>
      </c>
    </row>
    <row r="268" spans="34:35" x14ac:dyDescent="0.3">
      <c r="AH268">
        <v>267</v>
      </c>
      <c r="AI268">
        <v>203230</v>
      </c>
    </row>
    <row r="269" spans="34:35" x14ac:dyDescent="0.3">
      <c r="AH269">
        <v>268</v>
      </c>
      <c r="AI269">
        <v>54730</v>
      </c>
    </row>
    <row r="270" spans="34:35" x14ac:dyDescent="0.3">
      <c r="AH270">
        <v>269</v>
      </c>
      <c r="AI270">
        <v>-224576</v>
      </c>
    </row>
    <row r="271" spans="34:35" x14ac:dyDescent="0.3">
      <c r="AH271">
        <v>270</v>
      </c>
      <c r="AI271">
        <v>231398</v>
      </c>
    </row>
    <row r="272" spans="34:35" x14ac:dyDescent="0.3">
      <c r="AH272">
        <v>271</v>
      </c>
      <c r="AI272">
        <v>435776</v>
      </c>
    </row>
    <row r="273" spans="34:35" x14ac:dyDescent="0.3">
      <c r="AH273">
        <v>272</v>
      </c>
      <c r="AI273">
        <v>-208448</v>
      </c>
    </row>
    <row r="274" spans="34:35" x14ac:dyDescent="0.3">
      <c r="AH274">
        <v>273</v>
      </c>
      <c r="AI274">
        <v>44516</v>
      </c>
    </row>
    <row r="275" spans="34:35" x14ac:dyDescent="0.3">
      <c r="AH275">
        <v>274</v>
      </c>
      <c r="AI275">
        <v>-268286</v>
      </c>
    </row>
    <row r="276" spans="34:35" x14ac:dyDescent="0.3">
      <c r="AH276">
        <v>275</v>
      </c>
      <c r="AI276">
        <v>70856</v>
      </c>
    </row>
    <row r="277" spans="34:35" x14ac:dyDescent="0.3">
      <c r="AH277">
        <v>276</v>
      </c>
      <c r="AI277">
        <v>49688</v>
      </c>
    </row>
    <row r="278" spans="34:35" x14ac:dyDescent="0.3">
      <c r="AH278">
        <v>277</v>
      </c>
      <c r="AI278">
        <v>315750</v>
      </c>
    </row>
    <row r="279" spans="34:35" x14ac:dyDescent="0.3">
      <c r="AH279">
        <v>278</v>
      </c>
      <c r="AI279">
        <v>331376</v>
      </c>
    </row>
    <row r="280" spans="34:35" x14ac:dyDescent="0.3">
      <c r="AH280">
        <v>279</v>
      </c>
      <c r="AI280">
        <v>384006</v>
      </c>
    </row>
    <row r="281" spans="34:35" x14ac:dyDescent="0.3">
      <c r="AH281">
        <v>280</v>
      </c>
      <c r="AI281">
        <v>23649</v>
      </c>
    </row>
    <row r="282" spans="34:35" x14ac:dyDescent="0.3">
      <c r="AH282">
        <v>281</v>
      </c>
      <c r="AI282">
        <v>-154240</v>
      </c>
    </row>
    <row r="283" spans="34:35" x14ac:dyDescent="0.3">
      <c r="AH283">
        <v>282</v>
      </c>
      <c r="AI283">
        <v>-98060</v>
      </c>
    </row>
    <row r="284" spans="34:35" x14ac:dyDescent="0.3">
      <c r="AH284">
        <v>283</v>
      </c>
      <c r="AI284">
        <v>-256591</v>
      </c>
    </row>
    <row r="285" spans="34:35" x14ac:dyDescent="0.3">
      <c r="AH285">
        <v>284</v>
      </c>
      <c r="AI285">
        <v>-240848</v>
      </c>
    </row>
    <row r="286" spans="34:35" x14ac:dyDescent="0.3">
      <c r="AH286">
        <v>285</v>
      </c>
      <c r="AI286">
        <v>385240</v>
      </c>
    </row>
    <row r="287" spans="34:35" x14ac:dyDescent="0.3">
      <c r="AH287">
        <v>286</v>
      </c>
      <c r="AI287">
        <v>227674</v>
      </c>
    </row>
    <row r="288" spans="34:35" x14ac:dyDescent="0.3">
      <c r="AH288">
        <v>287</v>
      </c>
      <c r="AI288">
        <v>719148</v>
      </c>
    </row>
    <row r="289" spans="34:35" x14ac:dyDescent="0.3">
      <c r="AH289">
        <v>288</v>
      </c>
      <c r="AI289">
        <v>388106</v>
      </c>
    </row>
    <row r="290" spans="34:35" x14ac:dyDescent="0.3">
      <c r="AH290">
        <v>289</v>
      </c>
      <c r="AI290">
        <v>474603</v>
      </c>
    </row>
    <row r="291" spans="34:35" x14ac:dyDescent="0.3">
      <c r="AH291">
        <v>290</v>
      </c>
      <c r="AI291">
        <v>-83456</v>
      </c>
    </row>
    <row r="292" spans="34:35" x14ac:dyDescent="0.3">
      <c r="AH292">
        <v>291</v>
      </c>
      <c r="AI292">
        <v>-60088</v>
      </c>
    </row>
    <row r="293" spans="34:35" x14ac:dyDescent="0.3">
      <c r="AH293">
        <v>292</v>
      </c>
      <c r="AI293">
        <v>607512</v>
      </c>
    </row>
    <row r="294" spans="34:35" x14ac:dyDescent="0.3">
      <c r="AH294">
        <v>293</v>
      </c>
      <c r="AI294">
        <v>-1120</v>
      </c>
    </row>
    <row r="295" spans="34:35" x14ac:dyDescent="0.3">
      <c r="AH295">
        <v>294</v>
      </c>
      <c r="AI295">
        <v>187102</v>
      </c>
    </row>
    <row r="296" spans="34:35" x14ac:dyDescent="0.3">
      <c r="AH296">
        <v>295</v>
      </c>
      <c r="AI296">
        <v>479699</v>
      </c>
    </row>
    <row r="297" spans="34:35" x14ac:dyDescent="0.3">
      <c r="AH297">
        <v>296</v>
      </c>
      <c r="AI297">
        <v>380012</v>
      </c>
    </row>
    <row r="298" spans="34:35" x14ac:dyDescent="0.3">
      <c r="AH298">
        <v>297</v>
      </c>
      <c r="AI298">
        <v>493408</v>
      </c>
    </row>
    <row r="299" spans="34:35" x14ac:dyDescent="0.3">
      <c r="AH299">
        <v>298</v>
      </c>
      <c r="AI299">
        <v>546950</v>
      </c>
    </row>
    <row r="300" spans="34:35" x14ac:dyDescent="0.3">
      <c r="AH300">
        <v>299</v>
      </c>
      <c r="AI300">
        <v>122861</v>
      </c>
    </row>
    <row r="301" spans="34:35" x14ac:dyDescent="0.3">
      <c r="AH301">
        <v>300</v>
      </c>
      <c r="AI301">
        <v>391040</v>
      </c>
    </row>
    <row r="302" spans="34:35" x14ac:dyDescent="0.3">
      <c r="AH302">
        <v>301</v>
      </c>
      <c r="AI302">
        <v>-173930</v>
      </c>
    </row>
    <row r="303" spans="34:35" x14ac:dyDescent="0.3">
      <c r="AH303">
        <v>302</v>
      </c>
      <c r="AI303">
        <v>145425</v>
      </c>
    </row>
    <row r="304" spans="34:35" x14ac:dyDescent="0.3">
      <c r="AH304">
        <v>303</v>
      </c>
      <c r="AI304">
        <v>-198624</v>
      </c>
    </row>
    <row r="305" spans="34:35" x14ac:dyDescent="0.3">
      <c r="AH305">
        <v>304</v>
      </c>
      <c r="AI305">
        <v>437406</v>
      </c>
    </row>
    <row r="306" spans="34:35" x14ac:dyDescent="0.3">
      <c r="AH306">
        <v>305</v>
      </c>
      <c r="AI306">
        <v>586274</v>
      </c>
    </row>
    <row r="307" spans="34:35" x14ac:dyDescent="0.3">
      <c r="AH307">
        <v>306</v>
      </c>
      <c r="AI307">
        <v>81738</v>
      </c>
    </row>
    <row r="308" spans="34:35" x14ac:dyDescent="0.3">
      <c r="AH308">
        <v>307</v>
      </c>
      <c r="AI308">
        <v>-123534</v>
      </c>
    </row>
    <row r="309" spans="34:35" x14ac:dyDescent="0.3">
      <c r="AH309">
        <v>308</v>
      </c>
      <c r="AI309">
        <v>-313163</v>
      </c>
    </row>
    <row r="310" spans="34:35" x14ac:dyDescent="0.3">
      <c r="AH310">
        <v>309</v>
      </c>
      <c r="AI310">
        <v>359378</v>
      </c>
    </row>
    <row r="311" spans="34:35" x14ac:dyDescent="0.3">
      <c r="AH311">
        <v>310</v>
      </c>
      <c r="AI311">
        <v>237314</v>
      </c>
    </row>
    <row r="312" spans="34:35" x14ac:dyDescent="0.3">
      <c r="AH312">
        <v>311</v>
      </c>
      <c r="AI312">
        <v>92773</v>
      </c>
    </row>
    <row r="313" spans="34:35" x14ac:dyDescent="0.3">
      <c r="AH313">
        <v>312</v>
      </c>
      <c r="AI313">
        <v>308939</v>
      </c>
    </row>
    <row r="314" spans="34:35" x14ac:dyDescent="0.3">
      <c r="AH314">
        <v>313</v>
      </c>
      <c r="AI314">
        <v>294464</v>
      </c>
    </row>
    <row r="315" spans="34:35" x14ac:dyDescent="0.3">
      <c r="AH315">
        <v>314</v>
      </c>
      <c r="AI315">
        <v>236910</v>
      </c>
    </row>
    <row r="316" spans="34:35" x14ac:dyDescent="0.3">
      <c r="AH316">
        <v>315</v>
      </c>
      <c r="AI316">
        <v>55935</v>
      </c>
    </row>
    <row r="317" spans="34:35" x14ac:dyDescent="0.3">
      <c r="AH317">
        <v>316</v>
      </c>
      <c r="AI317">
        <v>234832</v>
      </c>
    </row>
    <row r="318" spans="34:35" x14ac:dyDescent="0.3">
      <c r="AH318">
        <v>317</v>
      </c>
      <c r="AI318">
        <v>145010</v>
      </c>
    </row>
    <row r="319" spans="34:35" x14ac:dyDescent="0.3">
      <c r="AH319">
        <v>318</v>
      </c>
      <c r="AI319">
        <v>1600</v>
      </c>
    </row>
    <row r="320" spans="34:35" x14ac:dyDescent="0.3">
      <c r="AH320">
        <v>319</v>
      </c>
      <c r="AI320">
        <v>-123722</v>
      </c>
    </row>
    <row r="321" spans="34:35" x14ac:dyDescent="0.3">
      <c r="AH321">
        <v>320</v>
      </c>
      <c r="AI321">
        <v>455680</v>
      </c>
    </row>
    <row r="322" spans="34:35" x14ac:dyDescent="0.3">
      <c r="AH322">
        <v>321</v>
      </c>
      <c r="AI322">
        <v>-246875</v>
      </c>
    </row>
    <row r="323" spans="34:35" x14ac:dyDescent="0.3">
      <c r="AH323">
        <v>322</v>
      </c>
      <c r="AI323">
        <v>265828</v>
      </c>
    </row>
    <row r="324" spans="34:35" x14ac:dyDescent="0.3">
      <c r="AH324">
        <v>323</v>
      </c>
      <c r="AI324">
        <v>-220160</v>
      </c>
    </row>
    <row r="325" spans="34:35" x14ac:dyDescent="0.3">
      <c r="AH325">
        <v>324</v>
      </c>
      <c r="AI325">
        <v>392828</v>
      </c>
    </row>
    <row r="326" spans="34:35" x14ac:dyDescent="0.3">
      <c r="AH326">
        <v>325</v>
      </c>
      <c r="AI326">
        <v>310440</v>
      </c>
    </row>
    <row r="327" spans="34:35" x14ac:dyDescent="0.3">
      <c r="AH327">
        <v>326</v>
      </c>
      <c r="AI327">
        <v>554808</v>
      </c>
    </row>
    <row r="328" spans="34:35" x14ac:dyDescent="0.3">
      <c r="AH328">
        <v>327</v>
      </c>
      <c r="AI328">
        <v>202832</v>
      </c>
    </row>
    <row r="329" spans="34:35" x14ac:dyDescent="0.3">
      <c r="AH329">
        <v>328</v>
      </c>
      <c r="AI329">
        <v>416398</v>
      </c>
    </row>
    <row r="330" spans="34:35" x14ac:dyDescent="0.3">
      <c r="AH330">
        <v>329</v>
      </c>
      <c r="AI330">
        <v>261235</v>
      </c>
    </row>
    <row r="331" spans="34:35" x14ac:dyDescent="0.3">
      <c r="AH331">
        <v>330</v>
      </c>
      <c r="AI331">
        <v>302143</v>
      </c>
    </row>
    <row r="332" spans="34:35" x14ac:dyDescent="0.3">
      <c r="AH332">
        <v>331</v>
      </c>
      <c r="AI332">
        <v>264014</v>
      </c>
    </row>
    <row r="333" spans="34:35" x14ac:dyDescent="0.3">
      <c r="AH333">
        <v>332</v>
      </c>
      <c r="AI333">
        <v>149383</v>
      </c>
    </row>
    <row r="334" spans="34:35" x14ac:dyDescent="0.3">
      <c r="AH334">
        <v>333</v>
      </c>
      <c r="AI334">
        <v>213832</v>
      </c>
    </row>
    <row r="335" spans="34:35" x14ac:dyDescent="0.3">
      <c r="AH335">
        <v>334</v>
      </c>
      <c r="AI335">
        <v>705504</v>
      </c>
    </row>
    <row r="336" spans="34:35" x14ac:dyDescent="0.3">
      <c r="AH336">
        <v>335</v>
      </c>
      <c r="AI336">
        <v>366565</v>
      </c>
    </row>
    <row r="337" spans="34:35" x14ac:dyDescent="0.3">
      <c r="AH337">
        <v>336</v>
      </c>
      <c r="AI337">
        <v>-121460</v>
      </c>
    </row>
    <row r="338" spans="34:35" x14ac:dyDescent="0.3">
      <c r="AH338">
        <v>337</v>
      </c>
      <c r="AI338">
        <v>-307856</v>
      </c>
    </row>
    <row r="339" spans="34:35" x14ac:dyDescent="0.3">
      <c r="AH339">
        <v>338</v>
      </c>
      <c r="AI339">
        <v>70280</v>
      </c>
    </row>
    <row r="340" spans="34:35" x14ac:dyDescent="0.3">
      <c r="AH340">
        <v>339</v>
      </c>
      <c r="AI340">
        <v>43380</v>
      </c>
    </row>
    <row r="341" spans="34:35" x14ac:dyDescent="0.3">
      <c r="AH341">
        <v>340</v>
      </c>
      <c r="AI341">
        <v>206040</v>
      </c>
    </row>
    <row r="342" spans="34:35" x14ac:dyDescent="0.3">
      <c r="AH342">
        <v>341</v>
      </c>
      <c r="AI342">
        <v>44683</v>
      </c>
    </row>
    <row r="343" spans="34:35" x14ac:dyDescent="0.3">
      <c r="AH343">
        <v>342</v>
      </c>
      <c r="AI343">
        <v>-55325</v>
      </c>
    </row>
    <row r="344" spans="34:35" x14ac:dyDescent="0.3">
      <c r="AH344">
        <v>343</v>
      </c>
      <c r="AI344">
        <v>271600</v>
      </c>
    </row>
    <row r="345" spans="34:35" x14ac:dyDescent="0.3">
      <c r="AH345">
        <v>344</v>
      </c>
      <c r="AI345">
        <v>396800</v>
      </c>
    </row>
    <row r="346" spans="34:35" x14ac:dyDescent="0.3">
      <c r="AH346">
        <v>345</v>
      </c>
      <c r="AI346">
        <v>-264968</v>
      </c>
    </row>
    <row r="347" spans="34:35" x14ac:dyDescent="0.3">
      <c r="AH347">
        <v>346</v>
      </c>
      <c r="AI347">
        <v>-170744</v>
      </c>
    </row>
    <row r="348" spans="34:35" x14ac:dyDescent="0.3">
      <c r="AH348">
        <v>347</v>
      </c>
      <c r="AI348">
        <v>513404</v>
      </c>
    </row>
    <row r="349" spans="34:35" x14ac:dyDescent="0.3">
      <c r="AH349">
        <v>348</v>
      </c>
      <c r="AI349">
        <v>-170040</v>
      </c>
    </row>
    <row r="350" spans="34:35" x14ac:dyDescent="0.3">
      <c r="AH350">
        <v>349</v>
      </c>
      <c r="AI350">
        <v>658408</v>
      </c>
    </row>
    <row r="351" spans="34:35" x14ac:dyDescent="0.3">
      <c r="AH351">
        <v>350</v>
      </c>
      <c r="AI351">
        <v>49734</v>
      </c>
    </row>
    <row r="352" spans="34:35" x14ac:dyDescent="0.3">
      <c r="AH352">
        <v>351</v>
      </c>
      <c r="AI352">
        <v>145364</v>
      </c>
    </row>
    <row r="353" spans="34:35" x14ac:dyDescent="0.3">
      <c r="AH353">
        <v>352</v>
      </c>
      <c r="AI353">
        <v>403674</v>
      </c>
    </row>
    <row r="354" spans="34:35" x14ac:dyDescent="0.3">
      <c r="AH354">
        <v>353</v>
      </c>
      <c r="AI354">
        <v>634982</v>
      </c>
    </row>
    <row r="355" spans="34:35" x14ac:dyDescent="0.3">
      <c r="AH355">
        <v>354</v>
      </c>
      <c r="AI355">
        <v>245840</v>
      </c>
    </row>
    <row r="356" spans="34:35" x14ac:dyDescent="0.3">
      <c r="AH356">
        <v>355</v>
      </c>
      <c r="AI356">
        <v>478737</v>
      </c>
    </row>
    <row r="357" spans="34:35" x14ac:dyDescent="0.3">
      <c r="AH357">
        <v>356</v>
      </c>
      <c r="AI357">
        <v>162340</v>
      </c>
    </row>
    <row r="358" spans="34:35" x14ac:dyDescent="0.3">
      <c r="AH358">
        <v>357</v>
      </c>
      <c r="AI358">
        <v>268040</v>
      </c>
    </row>
    <row r="359" spans="34:35" x14ac:dyDescent="0.3">
      <c r="AH359">
        <v>358</v>
      </c>
      <c r="AI359">
        <v>245208</v>
      </c>
    </row>
    <row r="360" spans="34:35" x14ac:dyDescent="0.3">
      <c r="AH360">
        <v>359</v>
      </c>
      <c r="AI360">
        <v>446392</v>
      </c>
    </row>
    <row r="361" spans="34:35" x14ac:dyDescent="0.3">
      <c r="AH361">
        <v>360</v>
      </c>
      <c r="AI361">
        <v>409445</v>
      </c>
    </row>
    <row r="362" spans="34:35" x14ac:dyDescent="0.3">
      <c r="AH362">
        <v>361</v>
      </c>
      <c r="AI362">
        <v>384156</v>
      </c>
    </row>
    <row r="363" spans="34:35" x14ac:dyDescent="0.3">
      <c r="AH363">
        <v>362</v>
      </c>
      <c r="AI363">
        <v>-47735</v>
      </c>
    </row>
    <row r="364" spans="34:35" x14ac:dyDescent="0.3">
      <c r="AH364">
        <v>363</v>
      </c>
      <c r="AI364">
        <v>360850</v>
      </c>
    </row>
    <row r="365" spans="34:35" x14ac:dyDescent="0.3">
      <c r="AH365">
        <v>364</v>
      </c>
      <c r="AI365">
        <v>509157</v>
      </c>
    </row>
    <row r="366" spans="34:35" x14ac:dyDescent="0.3">
      <c r="AH366">
        <v>365</v>
      </c>
      <c r="AI366">
        <v>196770</v>
      </c>
    </row>
    <row r="367" spans="34:35" x14ac:dyDescent="0.3">
      <c r="AH367">
        <v>366</v>
      </c>
      <c r="AI367">
        <v>279786</v>
      </c>
    </row>
    <row r="368" spans="34:35" x14ac:dyDescent="0.3">
      <c r="AH368">
        <v>367</v>
      </c>
      <c r="AI368">
        <v>12740</v>
      </c>
    </row>
    <row r="369" spans="34:35" x14ac:dyDescent="0.3">
      <c r="AH369">
        <v>368</v>
      </c>
      <c r="AI369">
        <v>-28140</v>
      </c>
    </row>
    <row r="370" spans="34:35" x14ac:dyDescent="0.3">
      <c r="AH370">
        <v>369</v>
      </c>
      <c r="AI370">
        <v>525462</v>
      </c>
    </row>
    <row r="371" spans="34:35" x14ac:dyDescent="0.3">
      <c r="AH371">
        <v>370</v>
      </c>
      <c r="AI371">
        <v>69086</v>
      </c>
    </row>
    <row r="372" spans="34:35" x14ac:dyDescent="0.3">
      <c r="AH372">
        <v>371</v>
      </c>
      <c r="AI372">
        <v>113297</v>
      </c>
    </row>
    <row r="373" spans="34:35" x14ac:dyDescent="0.3">
      <c r="AH373">
        <v>372</v>
      </c>
      <c r="AI373">
        <v>276845</v>
      </c>
    </row>
    <row r="374" spans="34:35" x14ac:dyDescent="0.3">
      <c r="AH374">
        <v>373</v>
      </c>
      <c r="AI374">
        <v>-139712</v>
      </c>
    </row>
    <row r="375" spans="34:35" x14ac:dyDescent="0.3">
      <c r="AH375">
        <v>374</v>
      </c>
      <c r="AI375">
        <v>144850</v>
      </c>
    </row>
    <row r="376" spans="34:35" x14ac:dyDescent="0.3">
      <c r="AH376">
        <v>375</v>
      </c>
      <c r="AI376">
        <v>106360</v>
      </c>
    </row>
    <row r="377" spans="34:35" x14ac:dyDescent="0.3">
      <c r="AH377">
        <v>376</v>
      </c>
      <c r="AI377">
        <v>366854</v>
      </c>
    </row>
    <row r="378" spans="34:35" x14ac:dyDescent="0.3">
      <c r="AH378">
        <v>377</v>
      </c>
      <c r="AI378">
        <v>35892</v>
      </c>
    </row>
    <row r="379" spans="34:35" x14ac:dyDescent="0.3">
      <c r="AH379">
        <v>378</v>
      </c>
      <c r="AI379">
        <v>214392</v>
      </c>
    </row>
    <row r="380" spans="34:35" x14ac:dyDescent="0.3">
      <c r="AH380">
        <v>379</v>
      </c>
      <c r="AI380">
        <v>417440</v>
      </c>
    </row>
    <row r="381" spans="34:35" x14ac:dyDescent="0.3">
      <c r="AH381">
        <v>380</v>
      </c>
      <c r="AI381">
        <v>147540</v>
      </c>
    </row>
    <row r="382" spans="34:35" x14ac:dyDescent="0.3">
      <c r="AH382">
        <v>381</v>
      </c>
      <c r="AI382">
        <v>-90596</v>
      </c>
    </row>
    <row r="383" spans="34:35" x14ac:dyDescent="0.3">
      <c r="AH383">
        <v>382</v>
      </c>
      <c r="AI383">
        <v>255760</v>
      </c>
    </row>
    <row r="384" spans="34:35" x14ac:dyDescent="0.3">
      <c r="AH384">
        <v>383</v>
      </c>
      <c r="AI384">
        <v>71228</v>
      </c>
    </row>
    <row r="385" spans="34:35" x14ac:dyDescent="0.3">
      <c r="AH385">
        <v>384</v>
      </c>
      <c r="AI385">
        <v>32416</v>
      </c>
    </row>
    <row r="386" spans="34:35" x14ac:dyDescent="0.3">
      <c r="AH386">
        <v>385</v>
      </c>
      <c r="AI386">
        <v>334826</v>
      </c>
    </row>
    <row r="387" spans="34:35" x14ac:dyDescent="0.3">
      <c r="AH387">
        <v>386</v>
      </c>
      <c r="AI387">
        <v>383648</v>
      </c>
    </row>
    <row r="388" spans="34:35" x14ac:dyDescent="0.3">
      <c r="AH388">
        <v>387</v>
      </c>
      <c r="AI388">
        <v>451870</v>
      </c>
    </row>
    <row r="389" spans="34:35" x14ac:dyDescent="0.3">
      <c r="AH389">
        <v>388</v>
      </c>
      <c r="AI389">
        <v>138572</v>
      </c>
    </row>
    <row r="390" spans="34:35" x14ac:dyDescent="0.3">
      <c r="AH390">
        <v>389</v>
      </c>
      <c r="AI390">
        <v>143351</v>
      </c>
    </row>
    <row r="391" spans="34:35" x14ac:dyDescent="0.3">
      <c r="AH391">
        <v>390</v>
      </c>
      <c r="AI391">
        <v>171325</v>
      </c>
    </row>
    <row r="392" spans="34:35" x14ac:dyDescent="0.3">
      <c r="AH392">
        <v>391</v>
      </c>
      <c r="AI392">
        <v>273230</v>
      </c>
    </row>
    <row r="393" spans="34:35" x14ac:dyDescent="0.3">
      <c r="AH393">
        <v>392</v>
      </c>
      <c r="AI393">
        <v>59710</v>
      </c>
    </row>
    <row r="394" spans="34:35" x14ac:dyDescent="0.3">
      <c r="AH394">
        <v>393</v>
      </c>
      <c r="AI394">
        <v>413850</v>
      </c>
    </row>
    <row r="395" spans="34:35" x14ac:dyDescent="0.3">
      <c r="AH395">
        <v>394</v>
      </c>
      <c r="AI395">
        <v>166290</v>
      </c>
    </row>
    <row r="396" spans="34:35" x14ac:dyDescent="0.3">
      <c r="AH396">
        <v>395</v>
      </c>
      <c r="AI396">
        <v>322292</v>
      </c>
    </row>
    <row r="397" spans="34:35" x14ac:dyDescent="0.3">
      <c r="AH397">
        <v>396</v>
      </c>
      <c r="AI397">
        <v>153427</v>
      </c>
    </row>
    <row r="398" spans="34:35" x14ac:dyDescent="0.3">
      <c r="AH398">
        <v>397</v>
      </c>
      <c r="AI398">
        <v>28318</v>
      </c>
    </row>
    <row r="399" spans="34:35" x14ac:dyDescent="0.3">
      <c r="AH399">
        <v>398</v>
      </c>
      <c r="AI399">
        <v>261548</v>
      </c>
    </row>
    <row r="400" spans="34:35" x14ac:dyDescent="0.3">
      <c r="AH400">
        <v>399</v>
      </c>
      <c r="AI400">
        <v>-150300</v>
      </c>
    </row>
    <row r="401" spans="34:35" x14ac:dyDescent="0.3">
      <c r="AH401">
        <v>400</v>
      </c>
      <c r="AI401">
        <v>-680</v>
      </c>
    </row>
    <row r="402" spans="34:35" x14ac:dyDescent="0.3">
      <c r="AH402">
        <v>401</v>
      </c>
      <c r="AI402">
        <v>328130</v>
      </c>
    </row>
    <row r="403" spans="34:35" x14ac:dyDescent="0.3">
      <c r="AH403">
        <v>402</v>
      </c>
      <c r="AI403">
        <v>200762</v>
      </c>
    </row>
    <row r="404" spans="34:35" x14ac:dyDescent="0.3">
      <c r="AH404">
        <v>403</v>
      </c>
      <c r="AI404">
        <v>645937</v>
      </c>
    </row>
    <row r="405" spans="34:35" x14ac:dyDescent="0.3">
      <c r="AH405">
        <v>404</v>
      </c>
      <c r="AI405">
        <v>85540</v>
      </c>
    </row>
    <row r="406" spans="34:35" x14ac:dyDescent="0.3">
      <c r="AH406">
        <v>405</v>
      </c>
      <c r="AI406">
        <v>134591</v>
      </c>
    </row>
    <row r="407" spans="34:35" x14ac:dyDescent="0.3">
      <c r="AH407">
        <v>406</v>
      </c>
      <c r="AI407">
        <v>338644</v>
      </c>
    </row>
    <row r="408" spans="34:35" x14ac:dyDescent="0.3">
      <c r="AH408">
        <v>407</v>
      </c>
      <c r="AI408">
        <v>-106093</v>
      </c>
    </row>
    <row r="409" spans="34:35" x14ac:dyDescent="0.3">
      <c r="AH409">
        <v>408</v>
      </c>
      <c r="AI409">
        <v>66138</v>
      </c>
    </row>
    <row r="410" spans="34:35" x14ac:dyDescent="0.3">
      <c r="AH410">
        <v>409</v>
      </c>
      <c r="AI410">
        <v>-41051</v>
      </c>
    </row>
    <row r="411" spans="34:35" x14ac:dyDescent="0.3">
      <c r="AH411">
        <v>410</v>
      </c>
      <c r="AI411">
        <v>516360</v>
      </c>
    </row>
    <row r="412" spans="34:35" x14ac:dyDescent="0.3">
      <c r="AH412">
        <v>411</v>
      </c>
      <c r="AI412">
        <v>189275</v>
      </c>
    </row>
    <row r="413" spans="34:35" x14ac:dyDescent="0.3">
      <c r="AH413">
        <v>412</v>
      </c>
      <c r="AI413">
        <v>264060</v>
      </c>
    </row>
    <row r="414" spans="34:35" x14ac:dyDescent="0.3">
      <c r="AH414">
        <v>413</v>
      </c>
      <c r="AI414">
        <v>101812</v>
      </c>
    </row>
    <row r="415" spans="34:35" x14ac:dyDescent="0.3">
      <c r="AH415">
        <v>414</v>
      </c>
      <c r="AI415">
        <v>107950</v>
      </c>
    </row>
    <row r="416" spans="34:35" x14ac:dyDescent="0.3">
      <c r="AH416">
        <v>415</v>
      </c>
      <c r="AI416">
        <v>4640</v>
      </c>
    </row>
    <row r="417" spans="34:35" x14ac:dyDescent="0.3">
      <c r="AH417">
        <v>416</v>
      </c>
      <c r="AI417">
        <v>-141040</v>
      </c>
    </row>
    <row r="418" spans="34:35" x14ac:dyDescent="0.3">
      <c r="AH418">
        <v>417</v>
      </c>
      <c r="AI418">
        <v>169600</v>
      </c>
    </row>
    <row r="419" spans="34:35" x14ac:dyDescent="0.3">
      <c r="AH419">
        <v>418</v>
      </c>
      <c r="AI419">
        <v>-411945</v>
      </c>
    </row>
    <row r="420" spans="34:35" x14ac:dyDescent="0.3">
      <c r="AH420">
        <v>419</v>
      </c>
      <c r="AI420">
        <v>83064</v>
      </c>
    </row>
    <row r="421" spans="34:35" x14ac:dyDescent="0.3">
      <c r="AH421">
        <v>420</v>
      </c>
      <c r="AI421">
        <v>-127638</v>
      </c>
    </row>
    <row r="422" spans="34:35" x14ac:dyDescent="0.3">
      <c r="AH422">
        <v>421</v>
      </c>
      <c r="AI422">
        <v>433533</v>
      </c>
    </row>
    <row r="423" spans="34:35" x14ac:dyDescent="0.3">
      <c r="AH423">
        <v>422</v>
      </c>
      <c r="AI423">
        <v>-154592</v>
      </c>
    </row>
    <row r="424" spans="34:35" x14ac:dyDescent="0.3">
      <c r="AH424">
        <v>423</v>
      </c>
      <c r="AI424">
        <v>392561</v>
      </c>
    </row>
    <row r="425" spans="34:35" x14ac:dyDescent="0.3">
      <c r="AH425">
        <v>424</v>
      </c>
      <c r="AI425">
        <v>330254</v>
      </c>
    </row>
    <row r="426" spans="34:35" x14ac:dyDescent="0.3">
      <c r="AH426">
        <v>425</v>
      </c>
      <c r="AI426">
        <v>449031</v>
      </c>
    </row>
    <row r="427" spans="34:35" x14ac:dyDescent="0.3">
      <c r="AH427">
        <v>426</v>
      </c>
      <c r="AI427">
        <v>-277700</v>
      </c>
    </row>
    <row r="428" spans="34:35" x14ac:dyDescent="0.3">
      <c r="AH428">
        <v>427</v>
      </c>
      <c r="AI428">
        <v>211982</v>
      </c>
    </row>
    <row r="429" spans="34:35" x14ac:dyDescent="0.3">
      <c r="AH429">
        <v>428</v>
      </c>
      <c r="AI429">
        <v>482902</v>
      </c>
    </row>
    <row r="430" spans="34:35" x14ac:dyDescent="0.3">
      <c r="AH430">
        <v>429</v>
      </c>
      <c r="AI430">
        <v>158826</v>
      </c>
    </row>
    <row r="431" spans="34:35" x14ac:dyDescent="0.3">
      <c r="AH431">
        <v>430</v>
      </c>
      <c r="AI431">
        <v>241410</v>
      </c>
    </row>
    <row r="432" spans="34:35" x14ac:dyDescent="0.3">
      <c r="AH432">
        <v>431</v>
      </c>
      <c r="AI432">
        <v>249860</v>
      </c>
    </row>
    <row r="433" spans="34:35" x14ac:dyDescent="0.3">
      <c r="AH433">
        <v>432</v>
      </c>
      <c r="AI433">
        <v>-64160</v>
      </c>
    </row>
    <row r="434" spans="34:35" x14ac:dyDescent="0.3">
      <c r="AH434">
        <v>433</v>
      </c>
      <c r="AI434">
        <v>26512</v>
      </c>
    </row>
    <row r="435" spans="34:35" x14ac:dyDescent="0.3">
      <c r="AH435">
        <v>434</v>
      </c>
      <c r="AI435">
        <v>358964</v>
      </c>
    </row>
    <row r="436" spans="34:35" x14ac:dyDescent="0.3">
      <c r="AH436">
        <v>435</v>
      </c>
      <c r="AI436">
        <v>354880</v>
      </c>
    </row>
    <row r="437" spans="34:35" x14ac:dyDescent="0.3">
      <c r="AH437">
        <v>436</v>
      </c>
      <c r="AI437">
        <v>-290900</v>
      </c>
    </row>
    <row r="438" spans="34:35" x14ac:dyDescent="0.3">
      <c r="AH438">
        <v>437</v>
      </c>
      <c r="AI438">
        <v>606990</v>
      </c>
    </row>
    <row r="439" spans="34:35" x14ac:dyDescent="0.3">
      <c r="AH439">
        <v>438</v>
      </c>
      <c r="AI439">
        <v>466457</v>
      </c>
    </row>
    <row r="440" spans="34:35" x14ac:dyDescent="0.3">
      <c r="AH440">
        <v>439</v>
      </c>
      <c r="AI440">
        <v>-178250</v>
      </c>
    </row>
    <row r="441" spans="34:35" x14ac:dyDescent="0.3">
      <c r="AH441">
        <v>440</v>
      </c>
      <c r="AI441">
        <v>118704</v>
      </c>
    </row>
    <row r="442" spans="34:35" x14ac:dyDescent="0.3">
      <c r="AH442">
        <v>441</v>
      </c>
      <c r="AI442">
        <v>223589</v>
      </c>
    </row>
    <row r="443" spans="34:35" x14ac:dyDescent="0.3">
      <c r="AH443">
        <v>442</v>
      </c>
      <c r="AI443">
        <v>513860</v>
      </c>
    </row>
    <row r="444" spans="34:35" x14ac:dyDescent="0.3">
      <c r="AH444">
        <v>443</v>
      </c>
      <c r="AI444">
        <v>151140</v>
      </c>
    </row>
    <row r="445" spans="34:35" x14ac:dyDescent="0.3">
      <c r="AH445">
        <v>444</v>
      </c>
      <c r="AI445">
        <v>115440</v>
      </c>
    </row>
    <row r="446" spans="34:35" x14ac:dyDescent="0.3">
      <c r="AH446">
        <v>445</v>
      </c>
      <c r="AI446">
        <v>288178</v>
      </c>
    </row>
    <row r="447" spans="34:35" x14ac:dyDescent="0.3">
      <c r="AH447">
        <v>446</v>
      </c>
      <c r="AI447">
        <v>88280</v>
      </c>
    </row>
    <row r="448" spans="34:35" x14ac:dyDescent="0.3">
      <c r="AH448">
        <v>447</v>
      </c>
      <c r="AI448">
        <v>157552</v>
      </c>
    </row>
    <row r="449" spans="34:35" x14ac:dyDescent="0.3">
      <c r="AH449">
        <v>448</v>
      </c>
      <c r="AI449">
        <v>72548</v>
      </c>
    </row>
    <row r="450" spans="34:35" x14ac:dyDescent="0.3">
      <c r="AH450">
        <v>449</v>
      </c>
      <c r="AI450">
        <v>250842</v>
      </c>
    </row>
    <row r="451" spans="34:35" x14ac:dyDescent="0.3">
      <c r="AH451">
        <v>450</v>
      </c>
      <c r="AI451">
        <v>-119990</v>
      </c>
    </row>
    <row r="452" spans="34:35" x14ac:dyDescent="0.3">
      <c r="AH452">
        <v>451</v>
      </c>
      <c r="AI452">
        <v>279195</v>
      </c>
    </row>
    <row r="453" spans="34:35" x14ac:dyDescent="0.3">
      <c r="AH453">
        <v>452</v>
      </c>
      <c r="AI453">
        <v>95484</v>
      </c>
    </row>
    <row r="454" spans="34:35" x14ac:dyDescent="0.3">
      <c r="AH454">
        <v>453</v>
      </c>
      <c r="AI454">
        <v>458212</v>
      </c>
    </row>
    <row r="455" spans="34:35" x14ac:dyDescent="0.3">
      <c r="AH455">
        <v>454</v>
      </c>
      <c r="AI455">
        <v>334316</v>
      </c>
    </row>
    <row r="456" spans="34:35" x14ac:dyDescent="0.3">
      <c r="AH456">
        <v>455</v>
      </c>
      <c r="AI456">
        <v>-36230</v>
      </c>
    </row>
    <row r="457" spans="34:35" x14ac:dyDescent="0.3">
      <c r="AH457">
        <v>456</v>
      </c>
      <c r="AI457">
        <v>31050</v>
      </c>
    </row>
    <row r="458" spans="34:35" x14ac:dyDescent="0.3">
      <c r="AH458">
        <v>457</v>
      </c>
      <c r="AI458">
        <v>25760</v>
      </c>
    </row>
    <row r="459" spans="34:35" x14ac:dyDescent="0.3">
      <c r="AH459">
        <v>458</v>
      </c>
      <c r="AI459">
        <v>329541</v>
      </c>
    </row>
    <row r="460" spans="34:35" x14ac:dyDescent="0.3">
      <c r="AH460">
        <v>459</v>
      </c>
      <c r="AI460">
        <v>172084</v>
      </c>
    </row>
    <row r="461" spans="34:35" x14ac:dyDescent="0.3">
      <c r="AH461">
        <v>460</v>
      </c>
      <c r="AI461">
        <v>216705</v>
      </c>
    </row>
    <row r="462" spans="34:35" x14ac:dyDescent="0.3">
      <c r="AH462">
        <v>461</v>
      </c>
      <c r="AI462">
        <v>358571</v>
      </c>
    </row>
    <row r="463" spans="34:35" x14ac:dyDescent="0.3">
      <c r="AH463">
        <v>462</v>
      </c>
      <c r="AI463">
        <v>-131060</v>
      </c>
    </row>
    <row r="464" spans="34:35" x14ac:dyDescent="0.3">
      <c r="AH464">
        <v>463</v>
      </c>
      <c r="AI464">
        <v>197920</v>
      </c>
    </row>
    <row r="465" spans="34:35" x14ac:dyDescent="0.3">
      <c r="AH465">
        <v>464</v>
      </c>
      <c r="AI465">
        <v>-302816</v>
      </c>
    </row>
    <row r="466" spans="34:35" x14ac:dyDescent="0.3">
      <c r="AH466">
        <v>465</v>
      </c>
      <c r="AI466">
        <v>253560</v>
      </c>
    </row>
    <row r="467" spans="34:35" x14ac:dyDescent="0.3">
      <c r="AH467">
        <v>466</v>
      </c>
      <c r="AI467">
        <v>317440</v>
      </c>
    </row>
    <row r="468" spans="34:35" x14ac:dyDescent="0.3">
      <c r="AH468">
        <v>467</v>
      </c>
      <c r="AI468">
        <v>212993</v>
      </c>
    </row>
    <row r="469" spans="34:35" x14ac:dyDescent="0.3">
      <c r="AH469">
        <v>468</v>
      </c>
      <c r="AI469">
        <v>-84668</v>
      </c>
    </row>
    <row r="470" spans="34:35" x14ac:dyDescent="0.3">
      <c r="AH470">
        <v>469</v>
      </c>
      <c r="AI470">
        <v>430550</v>
      </c>
    </row>
    <row r="471" spans="34:35" x14ac:dyDescent="0.3">
      <c r="AH471">
        <v>470</v>
      </c>
      <c r="AI471">
        <v>-80175</v>
      </c>
    </row>
    <row r="472" spans="34:35" x14ac:dyDescent="0.3">
      <c r="AH472">
        <v>471</v>
      </c>
      <c r="AI472">
        <v>140743</v>
      </c>
    </row>
    <row r="473" spans="34:35" x14ac:dyDescent="0.3">
      <c r="AH473">
        <v>472</v>
      </c>
      <c r="AI473">
        <v>272416</v>
      </c>
    </row>
    <row r="474" spans="34:35" x14ac:dyDescent="0.3">
      <c r="AH474">
        <v>473</v>
      </c>
      <c r="AI474">
        <v>-298502</v>
      </c>
    </row>
    <row r="475" spans="34:35" x14ac:dyDescent="0.3">
      <c r="AH475">
        <v>474</v>
      </c>
      <c r="AI475">
        <v>-51824</v>
      </c>
    </row>
    <row r="476" spans="34:35" x14ac:dyDescent="0.3">
      <c r="AH476">
        <v>475</v>
      </c>
      <c r="AI476">
        <v>27610</v>
      </c>
    </row>
    <row r="477" spans="34:35" x14ac:dyDescent="0.3">
      <c r="AH477">
        <v>476</v>
      </c>
      <c r="AI477">
        <v>-58496</v>
      </c>
    </row>
    <row r="478" spans="34:35" x14ac:dyDescent="0.3">
      <c r="AH478">
        <v>477</v>
      </c>
      <c r="AI478">
        <v>-17921</v>
      </c>
    </row>
    <row r="479" spans="34:35" x14ac:dyDescent="0.3">
      <c r="AH479">
        <v>478</v>
      </c>
      <c r="AI479">
        <v>-239261</v>
      </c>
    </row>
    <row r="480" spans="34:35" x14ac:dyDescent="0.3">
      <c r="AH480">
        <v>479</v>
      </c>
      <c r="AI480">
        <v>134576</v>
      </c>
    </row>
    <row r="481" spans="34:35" x14ac:dyDescent="0.3">
      <c r="AH481">
        <v>480</v>
      </c>
      <c r="AI481">
        <v>366458</v>
      </c>
    </row>
    <row r="482" spans="34:35" x14ac:dyDescent="0.3">
      <c r="AH482">
        <v>481</v>
      </c>
      <c r="AI482">
        <v>-209952</v>
      </c>
    </row>
    <row r="483" spans="34:35" x14ac:dyDescent="0.3">
      <c r="AH483">
        <v>482</v>
      </c>
      <c r="AI483">
        <v>-237743</v>
      </c>
    </row>
    <row r="484" spans="34:35" x14ac:dyDescent="0.3">
      <c r="AH484">
        <v>483</v>
      </c>
      <c r="AI484">
        <v>110910</v>
      </c>
    </row>
    <row r="485" spans="34:35" x14ac:dyDescent="0.3">
      <c r="AH485">
        <v>484</v>
      </c>
      <c r="AI485">
        <v>111488</v>
      </c>
    </row>
    <row r="486" spans="34:35" x14ac:dyDescent="0.3">
      <c r="AH486">
        <v>485</v>
      </c>
      <c r="AI486">
        <v>565712</v>
      </c>
    </row>
    <row r="487" spans="34:35" x14ac:dyDescent="0.3">
      <c r="AH487">
        <v>486</v>
      </c>
      <c r="AI487">
        <v>-233996</v>
      </c>
    </row>
    <row r="488" spans="34:35" x14ac:dyDescent="0.3">
      <c r="AH488">
        <v>487</v>
      </c>
      <c r="AI488">
        <v>93485</v>
      </c>
    </row>
    <row r="489" spans="34:35" x14ac:dyDescent="0.3">
      <c r="AH489">
        <v>488</v>
      </c>
      <c r="AI489">
        <v>495746</v>
      </c>
    </row>
    <row r="490" spans="34:35" x14ac:dyDescent="0.3">
      <c r="AH490">
        <v>489</v>
      </c>
      <c r="AI490">
        <v>455498</v>
      </c>
    </row>
    <row r="491" spans="34:35" x14ac:dyDescent="0.3">
      <c r="AH491">
        <v>490</v>
      </c>
      <c r="AI491">
        <v>-8854</v>
      </c>
    </row>
    <row r="492" spans="34:35" x14ac:dyDescent="0.3">
      <c r="AH492">
        <v>491</v>
      </c>
      <c r="AI492">
        <v>275374</v>
      </c>
    </row>
    <row r="493" spans="34:35" x14ac:dyDescent="0.3">
      <c r="AH493">
        <v>492</v>
      </c>
      <c r="AI493">
        <v>161200</v>
      </c>
    </row>
    <row r="494" spans="34:35" x14ac:dyDescent="0.3">
      <c r="AH494">
        <v>493</v>
      </c>
      <c r="AI494">
        <v>303832</v>
      </c>
    </row>
    <row r="495" spans="34:35" x14ac:dyDescent="0.3">
      <c r="AH495">
        <v>494</v>
      </c>
      <c r="AI495">
        <v>-324253</v>
      </c>
    </row>
    <row r="496" spans="34:35" x14ac:dyDescent="0.3">
      <c r="AH496">
        <v>495</v>
      </c>
      <c r="AI496">
        <v>-177760</v>
      </c>
    </row>
    <row r="497" spans="34:35" x14ac:dyDescent="0.3">
      <c r="AH497">
        <v>496</v>
      </c>
      <c r="AI497">
        <v>164608</v>
      </c>
    </row>
    <row r="498" spans="34:35" x14ac:dyDescent="0.3">
      <c r="AH498">
        <v>497</v>
      </c>
      <c r="AI498">
        <v>389460</v>
      </c>
    </row>
    <row r="499" spans="34:35" x14ac:dyDescent="0.3">
      <c r="AH499">
        <v>498</v>
      </c>
      <c r="AI499">
        <v>164709</v>
      </c>
    </row>
    <row r="500" spans="34:35" x14ac:dyDescent="0.3">
      <c r="AH500">
        <v>499</v>
      </c>
      <c r="AI500">
        <v>205180</v>
      </c>
    </row>
    <row r="501" spans="34:35" x14ac:dyDescent="0.3">
      <c r="AH501">
        <v>500</v>
      </c>
      <c r="AI501">
        <v>-321220</v>
      </c>
    </row>
    <row r="502" spans="34:35" x14ac:dyDescent="0.3">
      <c r="AH502">
        <v>501</v>
      </c>
      <c r="AI502">
        <v>201654</v>
      </c>
    </row>
    <row r="503" spans="34:35" x14ac:dyDescent="0.3">
      <c r="AH503">
        <v>502</v>
      </c>
      <c r="AI503">
        <v>425432</v>
      </c>
    </row>
    <row r="504" spans="34:35" x14ac:dyDescent="0.3">
      <c r="AH504">
        <v>503</v>
      </c>
      <c r="AI504">
        <v>102967</v>
      </c>
    </row>
    <row r="505" spans="34:35" x14ac:dyDescent="0.3">
      <c r="AH505">
        <v>504</v>
      </c>
      <c r="AI505">
        <v>149663</v>
      </c>
    </row>
    <row r="506" spans="34:35" x14ac:dyDescent="0.3">
      <c r="AH506">
        <v>505</v>
      </c>
      <c r="AI506">
        <v>373792</v>
      </c>
    </row>
    <row r="507" spans="34:35" x14ac:dyDescent="0.3">
      <c r="AH507">
        <v>506</v>
      </c>
      <c r="AI507">
        <v>237320</v>
      </c>
    </row>
    <row r="508" spans="34:35" x14ac:dyDescent="0.3">
      <c r="AH508">
        <v>507</v>
      </c>
      <c r="AI508">
        <v>210680</v>
      </c>
    </row>
    <row r="509" spans="34:35" x14ac:dyDescent="0.3">
      <c r="AH509">
        <v>508</v>
      </c>
      <c r="AI509">
        <v>39960</v>
      </c>
    </row>
    <row r="510" spans="34:35" x14ac:dyDescent="0.3">
      <c r="AH510">
        <v>509</v>
      </c>
      <c r="AI510">
        <v>400032</v>
      </c>
    </row>
    <row r="511" spans="34:35" x14ac:dyDescent="0.3">
      <c r="AH511">
        <v>510</v>
      </c>
      <c r="AI511">
        <v>112025</v>
      </c>
    </row>
    <row r="512" spans="34:35" x14ac:dyDescent="0.3">
      <c r="AH512">
        <v>511</v>
      </c>
      <c r="AI512">
        <v>684435</v>
      </c>
    </row>
    <row r="513" spans="34:35" x14ac:dyDescent="0.3">
      <c r="AH513">
        <v>512</v>
      </c>
      <c r="AI513">
        <v>-176075</v>
      </c>
    </row>
    <row r="514" spans="34:35" x14ac:dyDescent="0.3">
      <c r="AH514">
        <v>513</v>
      </c>
      <c r="AI514">
        <v>444500</v>
      </c>
    </row>
    <row r="515" spans="34:35" x14ac:dyDescent="0.3">
      <c r="AH515">
        <v>514</v>
      </c>
      <c r="AI515">
        <v>194003</v>
      </c>
    </row>
    <row r="516" spans="34:35" x14ac:dyDescent="0.3">
      <c r="AH516">
        <v>515</v>
      </c>
      <c r="AI516">
        <v>-15230</v>
      </c>
    </row>
    <row r="517" spans="34:35" x14ac:dyDescent="0.3">
      <c r="AH517">
        <v>516</v>
      </c>
      <c r="AI517">
        <v>-28640</v>
      </c>
    </row>
    <row r="518" spans="34:35" x14ac:dyDescent="0.3">
      <c r="AH518">
        <v>517</v>
      </c>
      <c r="AI518">
        <v>-311882</v>
      </c>
    </row>
    <row r="519" spans="34:35" x14ac:dyDescent="0.3">
      <c r="AH519">
        <v>518</v>
      </c>
      <c r="AI519">
        <v>-300403</v>
      </c>
    </row>
    <row r="520" spans="34:35" x14ac:dyDescent="0.3">
      <c r="AH520">
        <v>519</v>
      </c>
      <c r="AI520">
        <v>-180440</v>
      </c>
    </row>
    <row r="521" spans="34:35" x14ac:dyDescent="0.3">
      <c r="AH521">
        <v>520</v>
      </c>
      <c r="AI521">
        <v>-265370</v>
      </c>
    </row>
    <row r="522" spans="34:35" x14ac:dyDescent="0.3">
      <c r="AH522">
        <v>521</v>
      </c>
      <c r="AI522">
        <v>61348</v>
      </c>
    </row>
    <row r="523" spans="34:35" x14ac:dyDescent="0.3">
      <c r="AH523">
        <v>522</v>
      </c>
      <c r="AI523">
        <v>-222143</v>
      </c>
    </row>
    <row r="524" spans="34:35" x14ac:dyDescent="0.3">
      <c r="AH524">
        <v>523</v>
      </c>
      <c r="AI524">
        <v>-30851</v>
      </c>
    </row>
    <row r="525" spans="34:35" x14ac:dyDescent="0.3">
      <c r="AH525">
        <v>524</v>
      </c>
      <c r="AI525">
        <v>113872</v>
      </c>
    </row>
    <row r="526" spans="34:35" x14ac:dyDescent="0.3">
      <c r="AH526">
        <v>525</v>
      </c>
      <c r="AI526">
        <v>112100</v>
      </c>
    </row>
    <row r="527" spans="34:35" x14ac:dyDescent="0.3">
      <c r="AH527">
        <v>526</v>
      </c>
      <c r="AI527">
        <v>-263669</v>
      </c>
    </row>
    <row r="528" spans="34:35" x14ac:dyDescent="0.3">
      <c r="AH528">
        <v>527</v>
      </c>
      <c r="AI528">
        <v>-59765</v>
      </c>
    </row>
    <row r="529" spans="34:35" x14ac:dyDescent="0.3">
      <c r="AH529">
        <v>528</v>
      </c>
      <c r="AI529">
        <v>-153234</v>
      </c>
    </row>
    <row r="530" spans="34:35" x14ac:dyDescent="0.3">
      <c r="AH530">
        <v>529</v>
      </c>
      <c r="AI530">
        <v>26106</v>
      </c>
    </row>
    <row r="531" spans="34:35" x14ac:dyDescent="0.3">
      <c r="AH531">
        <v>530</v>
      </c>
      <c r="AI531">
        <v>392404</v>
      </c>
    </row>
    <row r="532" spans="34:35" x14ac:dyDescent="0.3">
      <c r="AH532">
        <v>531</v>
      </c>
      <c r="AI532">
        <v>552408</v>
      </c>
    </row>
    <row r="533" spans="34:35" x14ac:dyDescent="0.3">
      <c r="AH533">
        <v>532</v>
      </c>
      <c r="AI533">
        <v>188940</v>
      </c>
    </row>
    <row r="534" spans="34:35" x14ac:dyDescent="0.3">
      <c r="AH534">
        <v>533</v>
      </c>
      <c r="AI534">
        <v>270200</v>
      </c>
    </row>
    <row r="535" spans="34:35" x14ac:dyDescent="0.3">
      <c r="AH535">
        <v>534</v>
      </c>
      <c r="AI535">
        <v>-102792</v>
      </c>
    </row>
    <row r="536" spans="34:35" x14ac:dyDescent="0.3">
      <c r="AH536">
        <v>535</v>
      </c>
      <c r="AI536">
        <v>555101</v>
      </c>
    </row>
    <row r="537" spans="34:35" x14ac:dyDescent="0.3">
      <c r="AH537">
        <v>536</v>
      </c>
      <c r="AI537">
        <v>-115712</v>
      </c>
    </row>
    <row r="538" spans="34:35" x14ac:dyDescent="0.3">
      <c r="AH538">
        <v>537</v>
      </c>
      <c r="AI538">
        <v>152450</v>
      </c>
    </row>
    <row r="539" spans="34:35" x14ac:dyDescent="0.3">
      <c r="AH539">
        <v>538</v>
      </c>
      <c r="AI539">
        <v>302437</v>
      </c>
    </row>
    <row r="540" spans="34:35" x14ac:dyDescent="0.3">
      <c r="AH540">
        <v>539</v>
      </c>
      <c r="AI540">
        <v>372410</v>
      </c>
    </row>
    <row r="541" spans="34:35" x14ac:dyDescent="0.3">
      <c r="AH541">
        <v>540</v>
      </c>
      <c r="AI541">
        <v>-253352</v>
      </c>
    </row>
    <row r="542" spans="34:35" x14ac:dyDescent="0.3">
      <c r="AH542">
        <v>541</v>
      </c>
      <c r="AI542">
        <v>209096</v>
      </c>
    </row>
    <row r="543" spans="34:35" x14ac:dyDescent="0.3">
      <c r="AH543">
        <v>542</v>
      </c>
      <c r="AI543">
        <v>9298</v>
      </c>
    </row>
    <row r="544" spans="34:35" x14ac:dyDescent="0.3">
      <c r="AH544">
        <v>543</v>
      </c>
      <c r="AI544">
        <v>-116904</v>
      </c>
    </row>
    <row r="545" spans="34:35" x14ac:dyDescent="0.3">
      <c r="AH545">
        <v>544</v>
      </c>
      <c r="AI545">
        <v>88068</v>
      </c>
    </row>
    <row r="546" spans="34:35" x14ac:dyDescent="0.3">
      <c r="AH546">
        <v>545</v>
      </c>
      <c r="AI546">
        <v>344468</v>
      </c>
    </row>
    <row r="547" spans="34:35" x14ac:dyDescent="0.3">
      <c r="AH547">
        <v>546</v>
      </c>
      <c r="AI547">
        <v>523015</v>
      </c>
    </row>
    <row r="548" spans="34:35" x14ac:dyDescent="0.3">
      <c r="AH548">
        <v>547</v>
      </c>
      <c r="AI548">
        <v>411280</v>
      </c>
    </row>
    <row r="549" spans="34:35" x14ac:dyDescent="0.3">
      <c r="AH549">
        <v>548</v>
      </c>
      <c r="AI549">
        <v>519037</v>
      </c>
    </row>
    <row r="550" spans="34:35" x14ac:dyDescent="0.3">
      <c r="AH550">
        <v>549</v>
      </c>
      <c r="AI550">
        <v>-39961</v>
      </c>
    </row>
    <row r="551" spans="34:35" x14ac:dyDescent="0.3">
      <c r="AH551">
        <v>550</v>
      </c>
      <c r="AI551">
        <v>-216236</v>
      </c>
    </row>
    <row r="552" spans="34:35" x14ac:dyDescent="0.3">
      <c r="AH552">
        <v>551</v>
      </c>
      <c r="AI552">
        <v>-76880</v>
      </c>
    </row>
    <row r="553" spans="34:35" x14ac:dyDescent="0.3">
      <c r="AH553">
        <v>552</v>
      </c>
      <c r="AI553">
        <v>191325</v>
      </c>
    </row>
    <row r="554" spans="34:35" x14ac:dyDescent="0.3">
      <c r="AH554">
        <v>553</v>
      </c>
      <c r="AI554">
        <v>-78680</v>
      </c>
    </row>
    <row r="555" spans="34:35" x14ac:dyDescent="0.3">
      <c r="AH555">
        <v>554</v>
      </c>
      <c r="AI555">
        <v>388118</v>
      </c>
    </row>
    <row r="556" spans="34:35" x14ac:dyDescent="0.3">
      <c r="AH556">
        <v>555</v>
      </c>
      <c r="AI556">
        <v>320628</v>
      </c>
    </row>
    <row r="557" spans="34:35" x14ac:dyDescent="0.3">
      <c r="AH557">
        <v>556</v>
      </c>
      <c r="AI557">
        <v>341705</v>
      </c>
    </row>
    <row r="558" spans="34:35" x14ac:dyDescent="0.3">
      <c r="AH558">
        <v>557</v>
      </c>
      <c r="AI558">
        <v>148159</v>
      </c>
    </row>
    <row r="559" spans="34:35" x14ac:dyDescent="0.3">
      <c r="AH559">
        <v>558</v>
      </c>
      <c r="AI559">
        <v>9960</v>
      </c>
    </row>
    <row r="560" spans="34:35" x14ac:dyDescent="0.3">
      <c r="AH560">
        <v>559</v>
      </c>
      <c r="AI560">
        <v>310805</v>
      </c>
    </row>
    <row r="561" spans="34:35" x14ac:dyDescent="0.3">
      <c r="AH561">
        <v>560</v>
      </c>
      <c r="AI561">
        <v>28360</v>
      </c>
    </row>
    <row r="562" spans="34:35" x14ac:dyDescent="0.3">
      <c r="AH562">
        <v>561</v>
      </c>
      <c r="AI562">
        <v>-406291</v>
      </c>
    </row>
    <row r="563" spans="34:35" x14ac:dyDescent="0.3">
      <c r="AH563">
        <v>562</v>
      </c>
      <c r="AI563">
        <v>155834</v>
      </c>
    </row>
    <row r="564" spans="34:35" x14ac:dyDescent="0.3">
      <c r="AH564">
        <v>563</v>
      </c>
      <c r="AI564">
        <v>57136</v>
      </c>
    </row>
    <row r="565" spans="34:35" x14ac:dyDescent="0.3">
      <c r="AH565">
        <v>564</v>
      </c>
      <c r="AI565">
        <v>151798</v>
      </c>
    </row>
    <row r="566" spans="34:35" x14ac:dyDescent="0.3">
      <c r="AH566">
        <v>565</v>
      </c>
      <c r="AI566">
        <v>261880</v>
      </c>
    </row>
    <row r="567" spans="34:35" x14ac:dyDescent="0.3">
      <c r="AH567">
        <v>566</v>
      </c>
      <c r="AI567">
        <v>133247</v>
      </c>
    </row>
    <row r="568" spans="34:35" x14ac:dyDescent="0.3">
      <c r="AH568">
        <v>567</v>
      </c>
      <c r="AI568">
        <v>-51808</v>
      </c>
    </row>
    <row r="569" spans="34:35" x14ac:dyDescent="0.3">
      <c r="AH569">
        <v>568</v>
      </c>
      <c r="AI569">
        <v>372747</v>
      </c>
    </row>
    <row r="570" spans="34:35" x14ac:dyDescent="0.3">
      <c r="AH570">
        <v>569</v>
      </c>
      <c r="AI570">
        <v>88854</v>
      </c>
    </row>
    <row r="571" spans="34:35" x14ac:dyDescent="0.3">
      <c r="AH571">
        <v>570</v>
      </c>
      <c r="AI571">
        <v>676860</v>
      </c>
    </row>
    <row r="572" spans="34:35" x14ac:dyDescent="0.3">
      <c r="AH572">
        <v>571</v>
      </c>
      <c r="AI572">
        <v>263248</v>
      </c>
    </row>
    <row r="573" spans="34:35" x14ac:dyDescent="0.3">
      <c r="AH573">
        <v>572</v>
      </c>
      <c r="AI573">
        <v>254380</v>
      </c>
    </row>
    <row r="574" spans="34:35" x14ac:dyDescent="0.3">
      <c r="AH574">
        <v>573</v>
      </c>
      <c r="AI574">
        <v>545800</v>
      </c>
    </row>
    <row r="575" spans="34:35" x14ac:dyDescent="0.3">
      <c r="AH575">
        <v>574</v>
      </c>
      <c r="AI575">
        <v>403600</v>
      </c>
    </row>
    <row r="576" spans="34:35" x14ac:dyDescent="0.3">
      <c r="AH576">
        <v>575</v>
      </c>
      <c r="AI576">
        <v>-29224</v>
      </c>
    </row>
    <row r="577" spans="34:35" x14ac:dyDescent="0.3">
      <c r="AH577">
        <v>576</v>
      </c>
      <c r="AI577">
        <v>49196</v>
      </c>
    </row>
    <row r="578" spans="34:35" x14ac:dyDescent="0.3">
      <c r="AH578">
        <v>577</v>
      </c>
      <c r="AI578">
        <v>183008</v>
      </c>
    </row>
    <row r="579" spans="34:35" x14ac:dyDescent="0.3">
      <c r="AH579">
        <v>578</v>
      </c>
      <c r="AI579">
        <v>297095</v>
      </c>
    </row>
    <row r="580" spans="34:35" x14ac:dyDescent="0.3">
      <c r="AH580">
        <v>579</v>
      </c>
      <c r="AI580">
        <v>226822</v>
      </c>
    </row>
    <row r="581" spans="34:35" x14ac:dyDescent="0.3">
      <c r="AH581">
        <v>580</v>
      </c>
      <c r="AI581">
        <v>-47305</v>
      </c>
    </row>
    <row r="582" spans="34:35" x14ac:dyDescent="0.3">
      <c r="AH582">
        <v>581</v>
      </c>
      <c r="AI582">
        <v>757493</v>
      </c>
    </row>
    <row r="583" spans="34:35" x14ac:dyDescent="0.3">
      <c r="AH583">
        <v>582</v>
      </c>
      <c r="AI583">
        <v>472215</v>
      </c>
    </row>
    <row r="584" spans="34:35" x14ac:dyDescent="0.3">
      <c r="AH584">
        <v>583</v>
      </c>
      <c r="AI584">
        <v>203100</v>
      </c>
    </row>
    <row r="585" spans="34:35" x14ac:dyDescent="0.3">
      <c r="AH585">
        <v>584</v>
      </c>
      <c r="AI585">
        <v>-58460</v>
      </c>
    </row>
    <row r="586" spans="34:35" x14ac:dyDescent="0.3">
      <c r="AH586">
        <v>585</v>
      </c>
      <c r="AI586">
        <v>182576</v>
      </c>
    </row>
    <row r="587" spans="34:35" x14ac:dyDescent="0.3">
      <c r="AH587">
        <v>586</v>
      </c>
      <c r="AI587">
        <v>31975</v>
      </c>
    </row>
    <row r="588" spans="34:35" x14ac:dyDescent="0.3">
      <c r="AH588">
        <v>587</v>
      </c>
      <c r="AI588">
        <v>293510</v>
      </c>
    </row>
    <row r="589" spans="34:35" x14ac:dyDescent="0.3">
      <c r="AH589">
        <v>588</v>
      </c>
      <c r="AI589">
        <v>420830</v>
      </c>
    </row>
    <row r="590" spans="34:35" x14ac:dyDescent="0.3">
      <c r="AH590">
        <v>589</v>
      </c>
      <c r="AI590">
        <v>-89707</v>
      </c>
    </row>
    <row r="591" spans="34:35" x14ac:dyDescent="0.3">
      <c r="AH591">
        <v>590</v>
      </c>
      <c r="AI591">
        <v>115913</v>
      </c>
    </row>
    <row r="592" spans="34:35" x14ac:dyDescent="0.3">
      <c r="AH592">
        <v>591</v>
      </c>
      <c r="AI592">
        <v>-114500</v>
      </c>
    </row>
    <row r="593" spans="34:35" x14ac:dyDescent="0.3">
      <c r="AH593">
        <v>592</v>
      </c>
      <c r="AI593">
        <v>50550</v>
      </c>
    </row>
    <row r="594" spans="34:35" x14ac:dyDescent="0.3">
      <c r="AH594">
        <v>593</v>
      </c>
      <c r="AI594">
        <v>-132164</v>
      </c>
    </row>
    <row r="595" spans="34:35" x14ac:dyDescent="0.3">
      <c r="AH595">
        <v>594</v>
      </c>
      <c r="AI595">
        <v>-9227</v>
      </c>
    </row>
    <row r="596" spans="34:35" x14ac:dyDescent="0.3">
      <c r="AH596">
        <v>595</v>
      </c>
      <c r="AI596">
        <v>153700</v>
      </c>
    </row>
    <row r="597" spans="34:35" x14ac:dyDescent="0.3">
      <c r="AH597">
        <v>596</v>
      </c>
      <c r="AI597">
        <v>430656</v>
      </c>
    </row>
    <row r="598" spans="34:35" x14ac:dyDescent="0.3">
      <c r="AH598">
        <v>597</v>
      </c>
      <c r="AI598">
        <v>-252641</v>
      </c>
    </row>
    <row r="599" spans="34:35" x14ac:dyDescent="0.3">
      <c r="AH599">
        <v>598</v>
      </c>
      <c r="AI599">
        <v>386674</v>
      </c>
    </row>
    <row r="600" spans="34:35" x14ac:dyDescent="0.3">
      <c r="AH600">
        <v>599</v>
      </c>
      <c r="AI600">
        <v>260400</v>
      </c>
    </row>
    <row r="601" spans="34:35" x14ac:dyDescent="0.3">
      <c r="AH601">
        <v>600</v>
      </c>
      <c r="AI601">
        <v>195222</v>
      </c>
    </row>
    <row r="602" spans="34:35" x14ac:dyDescent="0.3">
      <c r="AH602">
        <v>601</v>
      </c>
      <c r="AI602">
        <v>518097</v>
      </c>
    </row>
    <row r="603" spans="34:35" x14ac:dyDescent="0.3">
      <c r="AH603">
        <v>602</v>
      </c>
      <c r="AI603">
        <v>383766</v>
      </c>
    </row>
    <row r="604" spans="34:35" x14ac:dyDescent="0.3">
      <c r="AH604">
        <v>603</v>
      </c>
      <c r="AI604">
        <v>-26474</v>
      </c>
    </row>
    <row r="605" spans="34:35" x14ac:dyDescent="0.3">
      <c r="AH605">
        <v>604</v>
      </c>
      <c r="AI605">
        <v>85326</v>
      </c>
    </row>
    <row r="606" spans="34:35" x14ac:dyDescent="0.3">
      <c r="AH606">
        <v>605</v>
      </c>
      <c r="AI606">
        <v>360428</v>
      </c>
    </row>
    <row r="607" spans="34:35" x14ac:dyDescent="0.3">
      <c r="AH607">
        <v>606</v>
      </c>
      <c r="AI607">
        <v>277132</v>
      </c>
    </row>
    <row r="608" spans="34:35" x14ac:dyDescent="0.3">
      <c r="AH608">
        <v>607</v>
      </c>
      <c r="AI608">
        <v>89169</v>
      </c>
    </row>
    <row r="609" spans="34:35" x14ac:dyDescent="0.3">
      <c r="AH609">
        <v>608</v>
      </c>
      <c r="AI609">
        <v>394009</v>
      </c>
    </row>
    <row r="610" spans="34:35" x14ac:dyDescent="0.3">
      <c r="AH610">
        <v>609</v>
      </c>
      <c r="AI610">
        <v>-21824</v>
      </c>
    </row>
    <row r="611" spans="34:35" x14ac:dyDescent="0.3">
      <c r="AH611">
        <v>610</v>
      </c>
      <c r="AI611">
        <v>230556</v>
      </c>
    </row>
    <row r="612" spans="34:35" x14ac:dyDescent="0.3">
      <c r="AH612">
        <v>611</v>
      </c>
      <c r="AI612">
        <v>332630</v>
      </c>
    </row>
    <row r="613" spans="34:35" x14ac:dyDescent="0.3">
      <c r="AH613">
        <v>612</v>
      </c>
      <c r="AI613">
        <v>224704</v>
      </c>
    </row>
    <row r="614" spans="34:35" x14ac:dyDescent="0.3">
      <c r="AH614">
        <v>613</v>
      </c>
      <c r="AI614">
        <v>347120</v>
      </c>
    </row>
    <row r="615" spans="34:35" x14ac:dyDescent="0.3">
      <c r="AH615">
        <v>614</v>
      </c>
      <c r="AI615">
        <v>-264176</v>
      </c>
    </row>
    <row r="616" spans="34:35" x14ac:dyDescent="0.3">
      <c r="AH616">
        <v>615</v>
      </c>
      <c r="AI616">
        <v>326336</v>
      </c>
    </row>
    <row r="617" spans="34:35" x14ac:dyDescent="0.3">
      <c r="AH617">
        <v>616</v>
      </c>
      <c r="AI617">
        <v>11850</v>
      </c>
    </row>
    <row r="618" spans="34:35" x14ac:dyDescent="0.3">
      <c r="AH618">
        <v>617</v>
      </c>
      <c r="AI618">
        <v>396540</v>
      </c>
    </row>
    <row r="619" spans="34:35" x14ac:dyDescent="0.3">
      <c r="AH619">
        <v>618</v>
      </c>
      <c r="AI619">
        <v>330735</v>
      </c>
    </row>
    <row r="620" spans="34:35" x14ac:dyDescent="0.3">
      <c r="AH620">
        <v>619</v>
      </c>
      <c r="AI620">
        <v>28122</v>
      </c>
    </row>
    <row r="621" spans="34:35" x14ac:dyDescent="0.3">
      <c r="AH621">
        <v>620</v>
      </c>
      <c r="AI621">
        <v>-295736</v>
      </c>
    </row>
    <row r="622" spans="34:35" x14ac:dyDescent="0.3">
      <c r="AH622">
        <v>621</v>
      </c>
      <c r="AI622">
        <v>-197936</v>
      </c>
    </row>
    <row r="623" spans="34:35" x14ac:dyDescent="0.3">
      <c r="AH623">
        <v>622</v>
      </c>
      <c r="AI623">
        <v>403104</v>
      </c>
    </row>
    <row r="624" spans="34:35" x14ac:dyDescent="0.3">
      <c r="AH624">
        <v>623</v>
      </c>
      <c r="AI624">
        <v>294848</v>
      </c>
    </row>
    <row r="625" spans="34:35" x14ac:dyDescent="0.3">
      <c r="AH625">
        <v>624</v>
      </c>
      <c r="AI625">
        <v>319072</v>
      </c>
    </row>
    <row r="626" spans="34:35" x14ac:dyDescent="0.3">
      <c r="AH626">
        <v>625</v>
      </c>
      <c r="AI626">
        <v>413904</v>
      </c>
    </row>
    <row r="627" spans="34:35" x14ac:dyDescent="0.3">
      <c r="AH627">
        <v>626</v>
      </c>
      <c r="AI627">
        <v>338992</v>
      </c>
    </row>
    <row r="628" spans="34:35" x14ac:dyDescent="0.3">
      <c r="AH628">
        <v>627</v>
      </c>
      <c r="AI628">
        <v>342000</v>
      </c>
    </row>
    <row r="629" spans="34:35" x14ac:dyDescent="0.3">
      <c r="AH629">
        <v>628</v>
      </c>
      <c r="AI629">
        <v>171462</v>
      </c>
    </row>
    <row r="630" spans="34:35" x14ac:dyDescent="0.3">
      <c r="AH630">
        <v>629</v>
      </c>
      <c r="AI630">
        <v>-26500</v>
      </c>
    </row>
    <row r="631" spans="34:35" x14ac:dyDescent="0.3">
      <c r="AH631">
        <v>630</v>
      </c>
      <c r="AI631">
        <v>385906</v>
      </c>
    </row>
    <row r="632" spans="34:35" x14ac:dyDescent="0.3">
      <c r="AH632">
        <v>631</v>
      </c>
      <c r="AI632">
        <v>419096</v>
      </c>
    </row>
    <row r="633" spans="34:35" x14ac:dyDescent="0.3">
      <c r="AH633">
        <v>632</v>
      </c>
      <c r="AI633">
        <v>-51420</v>
      </c>
    </row>
    <row r="634" spans="34:35" x14ac:dyDescent="0.3">
      <c r="AH634">
        <v>633</v>
      </c>
      <c r="AI634">
        <v>497618</v>
      </c>
    </row>
    <row r="635" spans="34:35" x14ac:dyDescent="0.3">
      <c r="AH635">
        <v>634</v>
      </c>
      <c r="AI635">
        <v>104116</v>
      </c>
    </row>
    <row r="636" spans="34:35" x14ac:dyDescent="0.3">
      <c r="AH636">
        <v>635</v>
      </c>
      <c r="AI636">
        <v>-361008</v>
      </c>
    </row>
    <row r="637" spans="34:35" x14ac:dyDescent="0.3">
      <c r="AH637">
        <v>636</v>
      </c>
      <c r="AI637">
        <v>-46737</v>
      </c>
    </row>
    <row r="638" spans="34:35" x14ac:dyDescent="0.3">
      <c r="AH638">
        <v>637</v>
      </c>
      <c r="AI638">
        <v>617355</v>
      </c>
    </row>
    <row r="639" spans="34:35" x14ac:dyDescent="0.3">
      <c r="AH639">
        <v>638</v>
      </c>
      <c r="AI639">
        <v>278806</v>
      </c>
    </row>
    <row r="640" spans="34:35" x14ac:dyDescent="0.3">
      <c r="AH640">
        <v>639</v>
      </c>
      <c r="AI640">
        <v>313172</v>
      </c>
    </row>
    <row r="641" spans="34:35" x14ac:dyDescent="0.3">
      <c r="AH641">
        <v>640</v>
      </c>
      <c r="AI641">
        <v>474652</v>
      </c>
    </row>
    <row r="642" spans="34:35" x14ac:dyDescent="0.3">
      <c r="AH642">
        <v>641</v>
      </c>
      <c r="AI642">
        <v>116080</v>
      </c>
    </row>
    <row r="643" spans="34:35" x14ac:dyDescent="0.3">
      <c r="AH643">
        <v>642</v>
      </c>
      <c r="AI643">
        <v>5344</v>
      </c>
    </row>
    <row r="644" spans="34:35" x14ac:dyDescent="0.3">
      <c r="AH644">
        <v>643</v>
      </c>
      <c r="AI644">
        <v>441712</v>
      </c>
    </row>
    <row r="645" spans="34:35" x14ac:dyDescent="0.3">
      <c r="AH645">
        <v>644</v>
      </c>
      <c r="AI645">
        <v>-377930</v>
      </c>
    </row>
    <row r="646" spans="34:35" x14ac:dyDescent="0.3">
      <c r="AH646">
        <v>645</v>
      </c>
      <c r="AI646">
        <v>491507</v>
      </c>
    </row>
    <row r="647" spans="34:35" x14ac:dyDescent="0.3">
      <c r="AH647">
        <v>646</v>
      </c>
      <c r="AI647">
        <v>304</v>
      </c>
    </row>
    <row r="648" spans="34:35" x14ac:dyDescent="0.3">
      <c r="AH648">
        <v>647</v>
      </c>
      <c r="AI648">
        <v>-150160</v>
      </c>
    </row>
    <row r="649" spans="34:35" x14ac:dyDescent="0.3">
      <c r="AH649">
        <v>648</v>
      </c>
      <c r="AI649">
        <v>204398</v>
      </c>
    </row>
    <row r="650" spans="34:35" x14ac:dyDescent="0.3">
      <c r="AH650">
        <v>649</v>
      </c>
      <c r="AI650">
        <v>234673</v>
      </c>
    </row>
    <row r="651" spans="34:35" x14ac:dyDescent="0.3">
      <c r="AH651">
        <v>650</v>
      </c>
      <c r="AI651">
        <v>-51772</v>
      </c>
    </row>
    <row r="652" spans="34:35" x14ac:dyDescent="0.3">
      <c r="AH652">
        <v>651</v>
      </c>
      <c r="AI652">
        <v>221370</v>
      </c>
    </row>
    <row r="653" spans="34:35" x14ac:dyDescent="0.3">
      <c r="AH653">
        <v>652</v>
      </c>
      <c r="AI653">
        <v>-257000</v>
      </c>
    </row>
    <row r="654" spans="34:35" x14ac:dyDescent="0.3">
      <c r="AH654">
        <v>653</v>
      </c>
      <c r="AI654">
        <v>489407</v>
      </c>
    </row>
    <row r="655" spans="34:35" x14ac:dyDescent="0.3">
      <c r="AH655">
        <v>654</v>
      </c>
      <c r="AI655">
        <v>340436</v>
      </c>
    </row>
    <row r="656" spans="34:35" x14ac:dyDescent="0.3">
      <c r="AH656">
        <v>655</v>
      </c>
      <c r="AI656">
        <v>279484</v>
      </c>
    </row>
    <row r="657" spans="34:35" x14ac:dyDescent="0.3">
      <c r="AH657">
        <v>656</v>
      </c>
      <c r="AI657">
        <v>315819</v>
      </c>
    </row>
    <row r="658" spans="34:35" x14ac:dyDescent="0.3">
      <c r="AH658">
        <v>657</v>
      </c>
      <c r="AI658">
        <v>244268</v>
      </c>
    </row>
    <row r="659" spans="34:35" x14ac:dyDescent="0.3">
      <c r="AH659">
        <v>658</v>
      </c>
      <c r="AI659">
        <v>285400</v>
      </c>
    </row>
    <row r="660" spans="34:35" x14ac:dyDescent="0.3">
      <c r="AH660">
        <v>659</v>
      </c>
      <c r="AI660">
        <v>187645</v>
      </c>
    </row>
    <row r="661" spans="34:35" x14ac:dyDescent="0.3">
      <c r="AH661">
        <v>660</v>
      </c>
      <c r="AI661">
        <v>144250</v>
      </c>
    </row>
    <row r="662" spans="34:35" x14ac:dyDescent="0.3">
      <c r="AH662">
        <v>661</v>
      </c>
      <c r="AI662">
        <v>252680</v>
      </c>
    </row>
    <row r="663" spans="34:35" x14ac:dyDescent="0.3">
      <c r="AH663">
        <v>662</v>
      </c>
      <c r="AI663">
        <v>155900</v>
      </c>
    </row>
    <row r="664" spans="34:35" x14ac:dyDescent="0.3">
      <c r="AH664">
        <v>663</v>
      </c>
      <c r="AI664">
        <v>-234460</v>
      </c>
    </row>
    <row r="665" spans="34:35" x14ac:dyDescent="0.3">
      <c r="AH665">
        <v>664</v>
      </c>
      <c r="AI665">
        <v>64578</v>
      </c>
    </row>
    <row r="666" spans="34:35" x14ac:dyDescent="0.3">
      <c r="AH666">
        <v>665</v>
      </c>
      <c r="AI666">
        <v>257552</v>
      </c>
    </row>
    <row r="667" spans="34:35" x14ac:dyDescent="0.3">
      <c r="AH667">
        <v>666</v>
      </c>
      <c r="AI667">
        <v>318639</v>
      </c>
    </row>
    <row r="668" spans="34:35" x14ac:dyDescent="0.3">
      <c r="AH668">
        <v>667</v>
      </c>
      <c r="AI668">
        <v>482082</v>
      </c>
    </row>
    <row r="669" spans="34:35" x14ac:dyDescent="0.3">
      <c r="AH669">
        <v>668</v>
      </c>
      <c r="AI669">
        <v>507600</v>
      </c>
    </row>
    <row r="670" spans="34:35" x14ac:dyDescent="0.3">
      <c r="AH670">
        <v>669</v>
      </c>
      <c r="AI670">
        <v>263227</v>
      </c>
    </row>
    <row r="671" spans="34:35" x14ac:dyDescent="0.3">
      <c r="AH671">
        <v>670</v>
      </c>
      <c r="AI671">
        <v>269088</v>
      </c>
    </row>
    <row r="672" spans="34:35" x14ac:dyDescent="0.3">
      <c r="AH672">
        <v>671</v>
      </c>
      <c r="AI672">
        <v>410806</v>
      </c>
    </row>
    <row r="673" spans="34:35" x14ac:dyDescent="0.3">
      <c r="AH673">
        <v>672</v>
      </c>
      <c r="AI673">
        <v>257464</v>
      </c>
    </row>
    <row r="674" spans="34:35" x14ac:dyDescent="0.3">
      <c r="AH674">
        <v>673</v>
      </c>
      <c r="AI674">
        <v>258512</v>
      </c>
    </row>
    <row r="675" spans="34:35" x14ac:dyDescent="0.3">
      <c r="AH675">
        <v>674</v>
      </c>
      <c r="AI675">
        <v>43537</v>
      </c>
    </row>
    <row r="676" spans="34:35" x14ac:dyDescent="0.3">
      <c r="AH676">
        <v>675</v>
      </c>
      <c r="AI676">
        <v>268392</v>
      </c>
    </row>
    <row r="677" spans="34:35" x14ac:dyDescent="0.3">
      <c r="AH677">
        <v>676</v>
      </c>
      <c r="AI677">
        <v>26148</v>
      </c>
    </row>
    <row r="678" spans="34:35" x14ac:dyDescent="0.3">
      <c r="AH678">
        <v>677</v>
      </c>
      <c r="AI678">
        <v>-143292</v>
      </c>
    </row>
    <row r="679" spans="34:35" x14ac:dyDescent="0.3">
      <c r="AH679">
        <v>678</v>
      </c>
      <c r="AI679">
        <v>191357</v>
      </c>
    </row>
    <row r="680" spans="34:35" x14ac:dyDescent="0.3">
      <c r="AH680">
        <v>679</v>
      </c>
      <c r="AI680">
        <v>497280</v>
      </c>
    </row>
    <row r="681" spans="34:35" x14ac:dyDescent="0.3">
      <c r="AH681">
        <v>680</v>
      </c>
      <c r="AI681">
        <v>-421826</v>
      </c>
    </row>
    <row r="682" spans="34:35" x14ac:dyDescent="0.3">
      <c r="AH682">
        <v>681</v>
      </c>
      <c r="AI682">
        <v>405229</v>
      </c>
    </row>
    <row r="683" spans="34:35" x14ac:dyDescent="0.3">
      <c r="AH683">
        <v>682</v>
      </c>
      <c r="AI683">
        <v>-206984</v>
      </c>
    </row>
    <row r="684" spans="34:35" x14ac:dyDescent="0.3">
      <c r="AH684">
        <v>683</v>
      </c>
      <c r="AI684">
        <v>-256208</v>
      </c>
    </row>
    <row r="685" spans="34:35" x14ac:dyDescent="0.3">
      <c r="AH685">
        <v>684</v>
      </c>
      <c r="AI685">
        <v>78888</v>
      </c>
    </row>
    <row r="686" spans="34:35" x14ac:dyDescent="0.3">
      <c r="AH686">
        <v>685</v>
      </c>
      <c r="AI686">
        <v>297350</v>
      </c>
    </row>
    <row r="687" spans="34:35" x14ac:dyDescent="0.3">
      <c r="AH687">
        <v>686</v>
      </c>
      <c r="AI687">
        <v>-48731</v>
      </c>
    </row>
    <row r="688" spans="34:35" x14ac:dyDescent="0.3">
      <c r="AH688">
        <v>687</v>
      </c>
      <c r="AI688">
        <v>206625</v>
      </c>
    </row>
    <row r="689" spans="34:35" x14ac:dyDescent="0.3">
      <c r="AH689">
        <v>688</v>
      </c>
      <c r="AI689">
        <v>697360</v>
      </c>
    </row>
    <row r="690" spans="34:35" x14ac:dyDescent="0.3">
      <c r="AH690">
        <v>689</v>
      </c>
      <c r="AI690">
        <v>322280</v>
      </c>
    </row>
    <row r="691" spans="34:35" x14ac:dyDescent="0.3">
      <c r="AH691">
        <v>690</v>
      </c>
      <c r="AI691">
        <v>-225886</v>
      </c>
    </row>
    <row r="692" spans="34:35" x14ac:dyDescent="0.3">
      <c r="AH692">
        <v>691</v>
      </c>
      <c r="AI692">
        <v>101712</v>
      </c>
    </row>
    <row r="693" spans="34:35" x14ac:dyDescent="0.3">
      <c r="AH693">
        <v>692</v>
      </c>
      <c r="AI693">
        <v>443400</v>
      </c>
    </row>
    <row r="694" spans="34:35" x14ac:dyDescent="0.3">
      <c r="AH694">
        <v>693</v>
      </c>
      <c r="AI694">
        <v>328224</v>
      </c>
    </row>
    <row r="695" spans="34:35" x14ac:dyDescent="0.3">
      <c r="AH695">
        <v>694</v>
      </c>
      <c r="AI695">
        <v>42416</v>
      </c>
    </row>
    <row r="696" spans="34:35" x14ac:dyDescent="0.3">
      <c r="AH696">
        <v>695</v>
      </c>
      <c r="AI696">
        <v>223625</v>
      </c>
    </row>
    <row r="697" spans="34:35" x14ac:dyDescent="0.3">
      <c r="AH697">
        <v>696</v>
      </c>
      <c r="AI697">
        <v>290999</v>
      </c>
    </row>
    <row r="698" spans="34:35" x14ac:dyDescent="0.3">
      <c r="AH698">
        <v>697</v>
      </c>
      <c r="AI698">
        <v>125755</v>
      </c>
    </row>
    <row r="699" spans="34:35" x14ac:dyDescent="0.3">
      <c r="AH699">
        <v>698</v>
      </c>
      <c r="AI699">
        <v>525186</v>
      </c>
    </row>
    <row r="700" spans="34:35" x14ac:dyDescent="0.3">
      <c r="AH700">
        <v>699</v>
      </c>
      <c r="AI700">
        <v>-290450</v>
      </c>
    </row>
    <row r="701" spans="34:35" x14ac:dyDescent="0.3">
      <c r="AH701">
        <v>700</v>
      </c>
      <c r="AI701">
        <v>520958</v>
      </c>
    </row>
    <row r="702" spans="34:35" x14ac:dyDescent="0.3">
      <c r="AH702">
        <v>701</v>
      </c>
      <c r="AI702">
        <v>274764</v>
      </c>
    </row>
    <row r="703" spans="34:35" x14ac:dyDescent="0.3">
      <c r="AH703">
        <v>702</v>
      </c>
      <c r="AI703">
        <v>386542</v>
      </c>
    </row>
    <row r="704" spans="34:35" x14ac:dyDescent="0.3">
      <c r="AH704">
        <v>703</v>
      </c>
      <c r="AI704">
        <v>-130542</v>
      </c>
    </row>
    <row r="705" spans="34:35" x14ac:dyDescent="0.3">
      <c r="AH705">
        <v>704</v>
      </c>
      <c r="AI705">
        <v>446750</v>
      </c>
    </row>
    <row r="706" spans="34:35" x14ac:dyDescent="0.3">
      <c r="AH706">
        <v>705</v>
      </c>
      <c r="AI706">
        <v>241920</v>
      </c>
    </row>
    <row r="707" spans="34:35" x14ac:dyDescent="0.3">
      <c r="AH707">
        <v>706</v>
      </c>
      <c r="AI707">
        <v>73390</v>
      </c>
    </row>
    <row r="708" spans="34:35" x14ac:dyDescent="0.3">
      <c r="AH708">
        <v>707</v>
      </c>
      <c r="AI708">
        <v>431450</v>
      </c>
    </row>
    <row r="709" spans="34:35" x14ac:dyDescent="0.3">
      <c r="AH709">
        <v>708</v>
      </c>
      <c r="AI709">
        <v>408500</v>
      </c>
    </row>
    <row r="710" spans="34:35" x14ac:dyDescent="0.3">
      <c r="AH710">
        <v>709</v>
      </c>
      <c r="AI710">
        <v>57794</v>
      </c>
    </row>
    <row r="711" spans="34:35" x14ac:dyDescent="0.3">
      <c r="AH711">
        <v>710</v>
      </c>
      <c r="AI711">
        <v>136611</v>
      </c>
    </row>
    <row r="712" spans="34:35" x14ac:dyDescent="0.3">
      <c r="AH712">
        <v>711</v>
      </c>
      <c r="AI712">
        <v>-52650</v>
      </c>
    </row>
    <row r="713" spans="34:35" x14ac:dyDescent="0.3">
      <c r="AH713">
        <v>712</v>
      </c>
      <c r="AI713">
        <v>412348</v>
      </c>
    </row>
    <row r="714" spans="34:35" x14ac:dyDescent="0.3">
      <c r="AH714">
        <v>713</v>
      </c>
      <c r="AI714">
        <v>19450</v>
      </c>
    </row>
    <row r="715" spans="34:35" x14ac:dyDescent="0.3">
      <c r="AH715">
        <v>714</v>
      </c>
      <c r="AI715">
        <v>86047</v>
      </c>
    </row>
    <row r="716" spans="34:35" x14ac:dyDescent="0.3">
      <c r="AH716">
        <v>715</v>
      </c>
      <c r="AI716">
        <v>-60009</v>
      </c>
    </row>
    <row r="717" spans="34:35" x14ac:dyDescent="0.3">
      <c r="AH717">
        <v>716</v>
      </c>
      <c r="AI717">
        <v>375030</v>
      </c>
    </row>
    <row r="718" spans="34:35" x14ac:dyDescent="0.3">
      <c r="AH718">
        <v>717</v>
      </c>
      <c r="AI718">
        <v>-299247</v>
      </c>
    </row>
    <row r="719" spans="34:35" x14ac:dyDescent="0.3">
      <c r="AH719">
        <v>718</v>
      </c>
      <c r="AI719">
        <v>279278</v>
      </c>
    </row>
    <row r="720" spans="34:35" x14ac:dyDescent="0.3">
      <c r="AH720">
        <v>719</v>
      </c>
      <c r="AI720">
        <v>-136624</v>
      </c>
    </row>
    <row r="721" spans="34:35" x14ac:dyDescent="0.3">
      <c r="AH721">
        <v>720</v>
      </c>
      <c r="AI721">
        <v>353390</v>
      </c>
    </row>
    <row r="722" spans="34:35" x14ac:dyDescent="0.3">
      <c r="AH722">
        <v>721</v>
      </c>
      <c r="AI722">
        <v>65131</v>
      </c>
    </row>
    <row r="723" spans="34:35" x14ac:dyDescent="0.3">
      <c r="AH723">
        <v>722</v>
      </c>
      <c r="AI723">
        <v>60208</v>
      </c>
    </row>
    <row r="724" spans="34:35" x14ac:dyDescent="0.3">
      <c r="AH724">
        <v>723</v>
      </c>
      <c r="AI724">
        <v>79149</v>
      </c>
    </row>
    <row r="725" spans="34:35" x14ac:dyDescent="0.3">
      <c r="AH725">
        <v>724</v>
      </c>
      <c r="AI725">
        <v>156063</v>
      </c>
    </row>
    <row r="726" spans="34:35" x14ac:dyDescent="0.3">
      <c r="AH726">
        <v>725</v>
      </c>
      <c r="AI726">
        <v>-6570</v>
      </c>
    </row>
    <row r="727" spans="34:35" x14ac:dyDescent="0.3">
      <c r="AH727">
        <v>726</v>
      </c>
      <c r="AI727">
        <v>363925</v>
      </c>
    </row>
    <row r="728" spans="34:35" x14ac:dyDescent="0.3">
      <c r="AH728">
        <v>727</v>
      </c>
      <c r="AI728">
        <v>-154320</v>
      </c>
    </row>
    <row r="729" spans="34:35" x14ac:dyDescent="0.3">
      <c r="AH729">
        <v>728</v>
      </c>
      <c r="AI729">
        <v>676292</v>
      </c>
    </row>
    <row r="730" spans="34:35" x14ac:dyDescent="0.3">
      <c r="AH730">
        <v>729</v>
      </c>
      <c r="AI730">
        <v>-271472</v>
      </c>
    </row>
    <row r="731" spans="34:35" x14ac:dyDescent="0.3">
      <c r="AH731">
        <v>730</v>
      </c>
      <c r="AI731">
        <v>-223945</v>
      </c>
    </row>
    <row r="732" spans="34:35" x14ac:dyDescent="0.3">
      <c r="AH732">
        <v>731</v>
      </c>
      <c r="AI732">
        <v>599160</v>
      </c>
    </row>
    <row r="733" spans="34:35" x14ac:dyDescent="0.3">
      <c r="AH733">
        <v>732</v>
      </c>
      <c r="AI733">
        <v>193325</v>
      </c>
    </row>
    <row r="734" spans="34:35" x14ac:dyDescent="0.3">
      <c r="AH734">
        <v>733</v>
      </c>
      <c r="AI734">
        <v>325332</v>
      </c>
    </row>
    <row r="735" spans="34:35" x14ac:dyDescent="0.3">
      <c r="AH735">
        <v>734</v>
      </c>
      <c r="AI735">
        <v>471032</v>
      </c>
    </row>
    <row r="736" spans="34:35" x14ac:dyDescent="0.3">
      <c r="AH736">
        <v>735</v>
      </c>
      <c r="AI736">
        <v>286760</v>
      </c>
    </row>
    <row r="737" spans="34:35" x14ac:dyDescent="0.3">
      <c r="AH737">
        <v>736</v>
      </c>
      <c r="AI737">
        <v>171701</v>
      </c>
    </row>
    <row r="738" spans="34:35" x14ac:dyDescent="0.3">
      <c r="AH738">
        <v>737</v>
      </c>
      <c r="AI738">
        <v>144112</v>
      </c>
    </row>
    <row r="739" spans="34:35" x14ac:dyDescent="0.3">
      <c r="AH739">
        <v>738</v>
      </c>
      <c r="AI739">
        <v>-148833</v>
      </c>
    </row>
    <row r="740" spans="34:35" x14ac:dyDescent="0.3">
      <c r="AH740">
        <v>739</v>
      </c>
      <c r="AI740">
        <v>266336</v>
      </c>
    </row>
    <row r="741" spans="34:35" x14ac:dyDescent="0.3">
      <c r="AH741">
        <v>740</v>
      </c>
      <c r="AI741">
        <v>249392</v>
      </c>
    </row>
    <row r="742" spans="34:35" x14ac:dyDescent="0.3">
      <c r="AH742">
        <v>741</v>
      </c>
      <c r="AI742">
        <v>321323</v>
      </c>
    </row>
    <row r="743" spans="34:35" x14ac:dyDescent="0.3">
      <c r="AH743">
        <v>742</v>
      </c>
      <c r="AI743">
        <v>-36306</v>
      </c>
    </row>
    <row r="744" spans="34:35" x14ac:dyDescent="0.3">
      <c r="AH744">
        <v>743</v>
      </c>
      <c r="AI744">
        <v>185151</v>
      </c>
    </row>
    <row r="745" spans="34:35" x14ac:dyDescent="0.3">
      <c r="AH745">
        <v>744</v>
      </c>
      <c r="AI745">
        <v>71400</v>
      </c>
    </row>
    <row r="746" spans="34:35" x14ac:dyDescent="0.3">
      <c r="AH746">
        <v>745</v>
      </c>
      <c r="AI746">
        <v>223552</v>
      </c>
    </row>
    <row r="747" spans="34:35" x14ac:dyDescent="0.3">
      <c r="AH747">
        <v>746</v>
      </c>
      <c r="AI747">
        <v>-48060</v>
      </c>
    </row>
    <row r="748" spans="34:35" x14ac:dyDescent="0.3">
      <c r="AH748">
        <v>747</v>
      </c>
      <c r="AI748">
        <v>117400</v>
      </c>
    </row>
    <row r="749" spans="34:35" x14ac:dyDescent="0.3">
      <c r="AH749">
        <v>748</v>
      </c>
      <c r="AI749">
        <v>-149328</v>
      </c>
    </row>
    <row r="750" spans="34:35" x14ac:dyDescent="0.3">
      <c r="AH750">
        <v>749</v>
      </c>
      <c r="AI750">
        <v>-147964</v>
      </c>
    </row>
    <row r="751" spans="34:35" x14ac:dyDescent="0.3">
      <c r="AH751">
        <v>750</v>
      </c>
      <c r="AI751">
        <v>319860</v>
      </c>
    </row>
    <row r="752" spans="34:35" x14ac:dyDescent="0.3">
      <c r="AH752">
        <v>751</v>
      </c>
      <c r="AI752">
        <v>153680</v>
      </c>
    </row>
    <row r="753" spans="34:35" x14ac:dyDescent="0.3">
      <c r="AH753">
        <v>752</v>
      </c>
      <c r="AI753">
        <v>387459</v>
      </c>
    </row>
    <row r="754" spans="34:35" x14ac:dyDescent="0.3">
      <c r="AH754">
        <v>753</v>
      </c>
      <c r="AI754">
        <v>224144</v>
      </c>
    </row>
    <row r="755" spans="34:35" x14ac:dyDescent="0.3">
      <c r="AH755">
        <v>754</v>
      </c>
      <c r="AI755">
        <v>-122324</v>
      </c>
    </row>
    <row r="756" spans="34:35" x14ac:dyDescent="0.3">
      <c r="AH756">
        <v>755</v>
      </c>
      <c r="AI756">
        <v>132984</v>
      </c>
    </row>
    <row r="757" spans="34:35" x14ac:dyDescent="0.3">
      <c r="AH757">
        <v>756</v>
      </c>
      <c r="AI757">
        <v>350002</v>
      </c>
    </row>
    <row r="758" spans="34:35" x14ac:dyDescent="0.3">
      <c r="AH758">
        <v>757</v>
      </c>
      <c r="AI758">
        <v>371420</v>
      </c>
    </row>
    <row r="759" spans="34:35" x14ac:dyDescent="0.3">
      <c r="AH759">
        <v>758</v>
      </c>
      <c r="AI759">
        <v>344333</v>
      </c>
    </row>
    <row r="760" spans="34:35" x14ac:dyDescent="0.3">
      <c r="AH760">
        <v>759</v>
      </c>
      <c r="AI760">
        <v>639840</v>
      </c>
    </row>
    <row r="761" spans="34:35" x14ac:dyDescent="0.3">
      <c r="AH761">
        <v>760</v>
      </c>
      <c r="AI761">
        <v>547800</v>
      </c>
    </row>
    <row r="762" spans="34:35" x14ac:dyDescent="0.3">
      <c r="AH762">
        <v>761</v>
      </c>
      <c r="AI762">
        <v>150534</v>
      </c>
    </row>
    <row r="763" spans="34:35" x14ac:dyDescent="0.3">
      <c r="AH763">
        <v>762</v>
      </c>
      <c r="AI763">
        <v>197596</v>
      </c>
    </row>
    <row r="764" spans="34:35" x14ac:dyDescent="0.3">
      <c r="AH764">
        <v>763</v>
      </c>
      <c r="AI764">
        <v>15184</v>
      </c>
    </row>
    <row r="765" spans="34:35" x14ac:dyDescent="0.3">
      <c r="AH765">
        <v>764</v>
      </c>
      <c r="AI765">
        <v>536912</v>
      </c>
    </row>
    <row r="766" spans="34:35" x14ac:dyDescent="0.3">
      <c r="AH766">
        <v>765</v>
      </c>
      <c r="AI766">
        <v>391576</v>
      </c>
    </row>
    <row r="767" spans="34:35" x14ac:dyDescent="0.3">
      <c r="AH767">
        <v>766</v>
      </c>
      <c r="AI767">
        <v>-156608</v>
      </c>
    </row>
    <row r="768" spans="34:35" x14ac:dyDescent="0.3">
      <c r="AH768">
        <v>767</v>
      </c>
      <c r="AI768">
        <v>-23510</v>
      </c>
    </row>
    <row r="769" spans="34:35" x14ac:dyDescent="0.3">
      <c r="AH769">
        <v>768</v>
      </c>
      <c r="AI769">
        <v>173125</v>
      </c>
    </row>
    <row r="770" spans="34:35" x14ac:dyDescent="0.3">
      <c r="AH770">
        <v>769</v>
      </c>
      <c r="AI770">
        <v>308206</v>
      </c>
    </row>
    <row r="771" spans="34:35" x14ac:dyDescent="0.3">
      <c r="AH771">
        <v>770</v>
      </c>
      <c r="AI771">
        <v>83492</v>
      </c>
    </row>
    <row r="772" spans="34:35" x14ac:dyDescent="0.3">
      <c r="AH772">
        <v>771</v>
      </c>
      <c r="AI772">
        <v>67900</v>
      </c>
    </row>
    <row r="773" spans="34:35" x14ac:dyDescent="0.3">
      <c r="AH773">
        <v>772</v>
      </c>
      <c r="AI773">
        <v>-281522</v>
      </c>
    </row>
    <row r="774" spans="34:35" x14ac:dyDescent="0.3">
      <c r="AH774">
        <v>773</v>
      </c>
      <c r="AI774">
        <v>185842</v>
      </c>
    </row>
    <row r="775" spans="34:35" x14ac:dyDescent="0.3">
      <c r="AH775">
        <v>774</v>
      </c>
      <c r="AI775">
        <v>24355</v>
      </c>
    </row>
    <row r="776" spans="34:35" x14ac:dyDescent="0.3">
      <c r="AH776">
        <v>775</v>
      </c>
      <c r="AI776">
        <v>304151</v>
      </c>
    </row>
    <row r="777" spans="34:35" x14ac:dyDescent="0.3">
      <c r="AH777">
        <v>776</v>
      </c>
      <c r="AI777">
        <v>-111465</v>
      </c>
    </row>
    <row r="778" spans="34:35" x14ac:dyDescent="0.3">
      <c r="AH778">
        <v>777</v>
      </c>
      <c r="AI778">
        <v>-114892</v>
      </c>
    </row>
    <row r="779" spans="34:35" x14ac:dyDescent="0.3">
      <c r="AH779">
        <v>778</v>
      </c>
      <c r="AI779">
        <v>25252</v>
      </c>
    </row>
    <row r="780" spans="34:35" x14ac:dyDescent="0.3">
      <c r="AH780">
        <v>779</v>
      </c>
      <c r="AI780">
        <v>-98305</v>
      </c>
    </row>
    <row r="781" spans="34:35" x14ac:dyDescent="0.3">
      <c r="AH781">
        <v>780</v>
      </c>
      <c r="AI781">
        <v>485500</v>
      </c>
    </row>
    <row r="782" spans="34:35" x14ac:dyDescent="0.3">
      <c r="AH782">
        <v>781</v>
      </c>
      <c r="AI782">
        <v>52366</v>
      </c>
    </row>
    <row r="783" spans="34:35" x14ac:dyDescent="0.3">
      <c r="AH783">
        <v>782</v>
      </c>
      <c r="AI783">
        <v>-12920</v>
      </c>
    </row>
    <row r="784" spans="34:35" x14ac:dyDescent="0.3">
      <c r="AH784">
        <v>783</v>
      </c>
      <c r="AI784">
        <v>175808</v>
      </c>
    </row>
    <row r="785" spans="34:35" x14ac:dyDescent="0.3">
      <c r="AH785">
        <v>784</v>
      </c>
      <c r="AI785">
        <v>-281017</v>
      </c>
    </row>
    <row r="786" spans="34:35" x14ac:dyDescent="0.3">
      <c r="AH786">
        <v>785</v>
      </c>
      <c r="AI786">
        <v>164523</v>
      </c>
    </row>
    <row r="787" spans="34:35" x14ac:dyDescent="0.3">
      <c r="AH787">
        <v>786</v>
      </c>
      <c r="AI787">
        <v>547140</v>
      </c>
    </row>
    <row r="788" spans="34:35" x14ac:dyDescent="0.3">
      <c r="AH788">
        <v>787</v>
      </c>
      <c r="AI788">
        <v>102575</v>
      </c>
    </row>
    <row r="789" spans="34:35" x14ac:dyDescent="0.3">
      <c r="AH789">
        <v>788</v>
      </c>
      <c r="AI789">
        <v>178631</v>
      </c>
    </row>
    <row r="790" spans="34:35" x14ac:dyDescent="0.3">
      <c r="AH790">
        <v>789</v>
      </c>
      <c r="AI790">
        <v>641570</v>
      </c>
    </row>
    <row r="791" spans="34:35" x14ac:dyDescent="0.3">
      <c r="AH791">
        <v>790</v>
      </c>
      <c r="AI791">
        <v>7603</v>
      </c>
    </row>
    <row r="792" spans="34:35" x14ac:dyDescent="0.3">
      <c r="AH792">
        <v>791</v>
      </c>
      <c r="AI792">
        <v>204876</v>
      </c>
    </row>
    <row r="793" spans="34:35" x14ac:dyDescent="0.3">
      <c r="AH793">
        <v>792</v>
      </c>
      <c r="AI793">
        <v>63952</v>
      </c>
    </row>
    <row r="794" spans="34:35" x14ac:dyDescent="0.3">
      <c r="AH794">
        <v>793</v>
      </c>
      <c r="AI794">
        <v>375320</v>
      </c>
    </row>
    <row r="795" spans="34:35" x14ac:dyDescent="0.3">
      <c r="AH795">
        <v>794</v>
      </c>
      <c r="AI795">
        <v>-185108</v>
      </c>
    </row>
    <row r="796" spans="34:35" x14ac:dyDescent="0.3">
      <c r="AH796">
        <v>795</v>
      </c>
      <c r="AI796">
        <v>-104231</v>
      </c>
    </row>
    <row r="797" spans="34:35" x14ac:dyDescent="0.3">
      <c r="AH797">
        <v>796</v>
      </c>
      <c r="AI797">
        <v>-255106</v>
      </c>
    </row>
    <row r="798" spans="34:35" x14ac:dyDescent="0.3">
      <c r="AH798">
        <v>797</v>
      </c>
      <c r="AI798">
        <v>148644</v>
      </c>
    </row>
    <row r="799" spans="34:35" x14ac:dyDescent="0.3">
      <c r="AH799">
        <v>798</v>
      </c>
      <c r="AI799">
        <v>348184</v>
      </c>
    </row>
    <row r="800" spans="34:35" x14ac:dyDescent="0.3">
      <c r="AH800">
        <v>799</v>
      </c>
      <c r="AI800">
        <v>-260075</v>
      </c>
    </row>
    <row r="801" spans="34:35" x14ac:dyDescent="0.3">
      <c r="AH801">
        <v>800</v>
      </c>
      <c r="AI801">
        <v>196163</v>
      </c>
    </row>
    <row r="802" spans="34:35" x14ac:dyDescent="0.3">
      <c r="AH802">
        <v>801</v>
      </c>
      <c r="AI802">
        <v>284610</v>
      </c>
    </row>
    <row r="803" spans="34:35" x14ac:dyDescent="0.3">
      <c r="AH803">
        <v>802</v>
      </c>
      <c r="AI803">
        <v>8480</v>
      </c>
    </row>
    <row r="804" spans="34:35" x14ac:dyDescent="0.3">
      <c r="AH804">
        <v>803</v>
      </c>
      <c r="AI804">
        <v>492380</v>
      </c>
    </row>
    <row r="805" spans="34:35" x14ac:dyDescent="0.3">
      <c r="AH805">
        <v>804</v>
      </c>
      <c r="AI805">
        <v>319278</v>
      </c>
    </row>
    <row r="806" spans="34:35" x14ac:dyDescent="0.3">
      <c r="AH806">
        <v>805</v>
      </c>
      <c r="AI806">
        <v>571050</v>
      </c>
    </row>
    <row r="807" spans="34:35" x14ac:dyDescent="0.3">
      <c r="AH807">
        <v>806</v>
      </c>
      <c r="AI807">
        <v>311034</v>
      </c>
    </row>
    <row r="808" spans="34:35" x14ac:dyDescent="0.3">
      <c r="AH808">
        <v>807</v>
      </c>
      <c r="AI808">
        <v>398279</v>
      </c>
    </row>
    <row r="809" spans="34:35" x14ac:dyDescent="0.3">
      <c r="AH809">
        <v>808</v>
      </c>
      <c r="AI809">
        <v>256004</v>
      </c>
    </row>
    <row r="810" spans="34:35" x14ac:dyDescent="0.3">
      <c r="AH810">
        <v>809</v>
      </c>
      <c r="AI810">
        <v>434041</v>
      </c>
    </row>
    <row r="811" spans="34:35" x14ac:dyDescent="0.3">
      <c r="AH811">
        <v>810</v>
      </c>
      <c r="AI811">
        <v>445728</v>
      </c>
    </row>
    <row r="812" spans="34:35" x14ac:dyDescent="0.3">
      <c r="AH812">
        <v>811</v>
      </c>
      <c r="AI812">
        <v>-326294</v>
      </c>
    </row>
    <row r="813" spans="34:35" x14ac:dyDescent="0.3">
      <c r="AH813">
        <v>812</v>
      </c>
      <c r="AI813">
        <v>432785</v>
      </c>
    </row>
    <row r="814" spans="34:35" x14ac:dyDescent="0.3">
      <c r="AH814">
        <v>813</v>
      </c>
      <c r="AI814">
        <v>-122612</v>
      </c>
    </row>
    <row r="815" spans="34:35" x14ac:dyDescent="0.3">
      <c r="AH815">
        <v>814</v>
      </c>
      <c r="AI815">
        <v>696018</v>
      </c>
    </row>
    <row r="816" spans="34:35" x14ac:dyDescent="0.3">
      <c r="AH816">
        <v>815</v>
      </c>
      <c r="AI816">
        <v>565108</v>
      </c>
    </row>
    <row r="817" spans="34:35" x14ac:dyDescent="0.3">
      <c r="AH817">
        <v>816</v>
      </c>
      <c r="AI817">
        <v>-268868</v>
      </c>
    </row>
    <row r="818" spans="34:35" x14ac:dyDescent="0.3">
      <c r="AH818">
        <v>817</v>
      </c>
      <c r="AI818">
        <v>164832</v>
      </c>
    </row>
    <row r="819" spans="34:35" x14ac:dyDescent="0.3">
      <c r="AH819">
        <v>818</v>
      </c>
      <c r="AI819">
        <v>200120</v>
      </c>
    </row>
    <row r="820" spans="34:35" x14ac:dyDescent="0.3">
      <c r="AH820">
        <v>819</v>
      </c>
      <c r="AI820">
        <v>353997</v>
      </c>
    </row>
    <row r="821" spans="34:35" x14ac:dyDescent="0.3">
      <c r="AH821">
        <v>820</v>
      </c>
      <c r="AI821">
        <v>58585</v>
      </c>
    </row>
    <row r="822" spans="34:35" x14ac:dyDescent="0.3">
      <c r="AH822">
        <v>821</v>
      </c>
      <c r="AI822">
        <v>-329165</v>
      </c>
    </row>
    <row r="823" spans="34:35" x14ac:dyDescent="0.3">
      <c r="AH823">
        <v>822</v>
      </c>
      <c r="AI823">
        <v>708359</v>
      </c>
    </row>
    <row r="824" spans="34:35" x14ac:dyDescent="0.3">
      <c r="AH824">
        <v>823</v>
      </c>
      <c r="AI824">
        <v>316185</v>
      </c>
    </row>
    <row r="825" spans="34:35" x14ac:dyDescent="0.3">
      <c r="AH825">
        <v>824</v>
      </c>
      <c r="AI825">
        <v>193954</v>
      </c>
    </row>
    <row r="826" spans="34:35" x14ac:dyDescent="0.3">
      <c r="AH826">
        <v>825</v>
      </c>
      <c r="AI826">
        <v>140696</v>
      </c>
    </row>
    <row r="827" spans="34:35" x14ac:dyDescent="0.3">
      <c r="AH827">
        <v>826</v>
      </c>
      <c r="AI827">
        <v>106788</v>
      </c>
    </row>
    <row r="828" spans="34:35" x14ac:dyDescent="0.3">
      <c r="AH828">
        <v>827</v>
      </c>
      <c r="AI828">
        <v>193980</v>
      </c>
    </row>
    <row r="829" spans="34:35" x14ac:dyDescent="0.3">
      <c r="AH829">
        <v>828</v>
      </c>
      <c r="AI829">
        <v>314208</v>
      </c>
    </row>
    <row r="830" spans="34:35" x14ac:dyDescent="0.3">
      <c r="AH830">
        <v>829</v>
      </c>
      <c r="AI830">
        <v>-309986</v>
      </c>
    </row>
    <row r="831" spans="34:35" x14ac:dyDescent="0.3">
      <c r="AH831">
        <v>830</v>
      </c>
      <c r="AI831">
        <v>-143841</v>
      </c>
    </row>
    <row r="832" spans="34:35" x14ac:dyDescent="0.3">
      <c r="AH832">
        <v>831</v>
      </c>
      <c r="AI832">
        <v>306704</v>
      </c>
    </row>
    <row r="833" spans="34:35" x14ac:dyDescent="0.3">
      <c r="AH833">
        <v>832</v>
      </c>
      <c r="AI833">
        <v>-340523</v>
      </c>
    </row>
    <row r="834" spans="34:35" x14ac:dyDescent="0.3">
      <c r="AH834">
        <v>833</v>
      </c>
      <c r="AI834">
        <v>-286212</v>
      </c>
    </row>
    <row r="835" spans="34:35" x14ac:dyDescent="0.3">
      <c r="AH835">
        <v>834</v>
      </c>
      <c r="AI835">
        <v>353272</v>
      </c>
    </row>
    <row r="836" spans="34:35" x14ac:dyDescent="0.3">
      <c r="AH836">
        <v>835</v>
      </c>
      <c r="AI836">
        <v>-233660</v>
      </c>
    </row>
    <row r="837" spans="34:35" x14ac:dyDescent="0.3">
      <c r="AH837">
        <v>836</v>
      </c>
      <c r="AI837">
        <v>210759</v>
      </c>
    </row>
    <row r="838" spans="34:35" x14ac:dyDescent="0.3">
      <c r="AH838">
        <v>837</v>
      </c>
      <c r="AI838">
        <v>-263123</v>
      </c>
    </row>
    <row r="839" spans="34:35" x14ac:dyDescent="0.3">
      <c r="AH839">
        <v>838</v>
      </c>
      <c r="AI839">
        <v>475746</v>
      </c>
    </row>
    <row r="840" spans="34:35" x14ac:dyDescent="0.3">
      <c r="AH840">
        <v>839</v>
      </c>
      <c r="AI840">
        <v>-339044</v>
      </c>
    </row>
    <row r="841" spans="34:35" x14ac:dyDescent="0.3">
      <c r="AH841">
        <v>840</v>
      </c>
      <c r="AI841">
        <v>533451</v>
      </c>
    </row>
    <row r="842" spans="34:35" x14ac:dyDescent="0.3">
      <c r="AH842">
        <v>841</v>
      </c>
      <c r="AI842">
        <v>381336</v>
      </c>
    </row>
    <row r="843" spans="34:35" x14ac:dyDescent="0.3">
      <c r="AH843">
        <v>842</v>
      </c>
      <c r="AI843">
        <v>141660</v>
      </c>
    </row>
    <row r="844" spans="34:35" x14ac:dyDescent="0.3">
      <c r="AH844">
        <v>843</v>
      </c>
      <c r="AI844">
        <v>378660</v>
      </c>
    </row>
    <row r="845" spans="34:35" x14ac:dyDescent="0.3">
      <c r="AH845">
        <v>844</v>
      </c>
      <c r="AI845">
        <v>-118545</v>
      </c>
    </row>
    <row r="846" spans="34:35" x14ac:dyDescent="0.3">
      <c r="AH846">
        <v>845</v>
      </c>
      <c r="AI846">
        <v>351440</v>
      </c>
    </row>
    <row r="847" spans="34:35" x14ac:dyDescent="0.3">
      <c r="AH847">
        <v>846</v>
      </c>
      <c r="AI847">
        <v>45388</v>
      </c>
    </row>
    <row r="848" spans="34:35" x14ac:dyDescent="0.3">
      <c r="AH848">
        <v>847</v>
      </c>
      <c r="AI848">
        <v>436500</v>
      </c>
    </row>
    <row r="849" spans="34:35" x14ac:dyDescent="0.3">
      <c r="AH849">
        <v>848</v>
      </c>
      <c r="AI849">
        <v>-237585</v>
      </c>
    </row>
    <row r="850" spans="34:35" x14ac:dyDescent="0.3">
      <c r="AH850">
        <v>849</v>
      </c>
      <c r="AI850">
        <v>313671</v>
      </c>
    </row>
    <row r="851" spans="34:35" x14ac:dyDescent="0.3">
      <c r="AH851">
        <v>850</v>
      </c>
      <c r="AI851">
        <v>158016</v>
      </c>
    </row>
    <row r="852" spans="34:35" x14ac:dyDescent="0.3">
      <c r="AH852">
        <v>851</v>
      </c>
      <c r="AI852">
        <v>336742</v>
      </c>
    </row>
    <row r="853" spans="34:35" x14ac:dyDescent="0.3">
      <c r="AH853">
        <v>852</v>
      </c>
      <c r="AI853">
        <v>138612</v>
      </c>
    </row>
    <row r="854" spans="34:35" x14ac:dyDescent="0.3">
      <c r="AH854">
        <v>853</v>
      </c>
      <c r="AI854">
        <v>-121415</v>
      </c>
    </row>
    <row r="855" spans="34:35" x14ac:dyDescent="0.3">
      <c r="AH855">
        <v>854</v>
      </c>
      <c r="AI855">
        <v>511069</v>
      </c>
    </row>
    <row r="856" spans="34:35" x14ac:dyDescent="0.3">
      <c r="AH856">
        <v>855</v>
      </c>
      <c r="AI856">
        <v>490136</v>
      </c>
    </row>
    <row r="857" spans="34:35" x14ac:dyDescent="0.3">
      <c r="AH857">
        <v>856</v>
      </c>
      <c r="AI857">
        <v>163216</v>
      </c>
    </row>
    <row r="858" spans="34:35" x14ac:dyDescent="0.3">
      <c r="AH858">
        <v>857</v>
      </c>
      <c r="AI858">
        <v>224659</v>
      </c>
    </row>
    <row r="859" spans="34:35" x14ac:dyDescent="0.3">
      <c r="AH859">
        <v>858</v>
      </c>
      <c r="AI859">
        <v>-123092</v>
      </c>
    </row>
    <row r="860" spans="34:35" x14ac:dyDescent="0.3">
      <c r="AH860">
        <v>859</v>
      </c>
      <c r="AI860">
        <v>-144038</v>
      </c>
    </row>
    <row r="861" spans="34:35" x14ac:dyDescent="0.3">
      <c r="AH861">
        <v>860</v>
      </c>
      <c r="AI861">
        <v>54208</v>
      </c>
    </row>
    <row r="862" spans="34:35" x14ac:dyDescent="0.3">
      <c r="AH862">
        <v>861</v>
      </c>
      <c r="AI862">
        <v>3226</v>
      </c>
    </row>
    <row r="863" spans="34:35" x14ac:dyDescent="0.3">
      <c r="AH863">
        <v>862</v>
      </c>
      <c r="AI863">
        <v>149375</v>
      </c>
    </row>
    <row r="864" spans="34:35" x14ac:dyDescent="0.3">
      <c r="AH864">
        <v>863</v>
      </c>
      <c r="AI864">
        <v>-234620</v>
      </c>
    </row>
    <row r="865" spans="34:35" x14ac:dyDescent="0.3">
      <c r="AH865">
        <v>864</v>
      </c>
      <c r="AI865">
        <v>335296</v>
      </c>
    </row>
    <row r="866" spans="34:35" x14ac:dyDescent="0.3">
      <c r="AH866">
        <v>865</v>
      </c>
      <c r="AI866">
        <v>563712</v>
      </c>
    </row>
    <row r="867" spans="34:35" x14ac:dyDescent="0.3">
      <c r="AH867">
        <v>866</v>
      </c>
      <c r="AI867">
        <v>311300</v>
      </c>
    </row>
    <row r="868" spans="34:35" x14ac:dyDescent="0.3">
      <c r="AH868">
        <v>867</v>
      </c>
      <c r="AI868">
        <v>190956</v>
      </c>
    </row>
    <row r="869" spans="34:35" x14ac:dyDescent="0.3">
      <c r="AH869">
        <v>868</v>
      </c>
      <c r="AI869">
        <v>542816</v>
      </c>
    </row>
    <row r="870" spans="34:35" x14ac:dyDescent="0.3">
      <c r="AH870">
        <v>869</v>
      </c>
      <c r="AI870">
        <v>-2867</v>
      </c>
    </row>
    <row r="871" spans="34:35" x14ac:dyDescent="0.3">
      <c r="AH871">
        <v>870</v>
      </c>
      <c r="AI871">
        <v>29965</v>
      </c>
    </row>
    <row r="872" spans="34:35" x14ac:dyDescent="0.3">
      <c r="AH872">
        <v>871</v>
      </c>
      <c r="AI872">
        <v>-40891</v>
      </c>
    </row>
    <row r="873" spans="34:35" x14ac:dyDescent="0.3">
      <c r="AH873">
        <v>872</v>
      </c>
      <c r="AI873">
        <v>160000</v>
      </c>
    </row>
    <row r="874" spans="34:35" x14ac:dyDescent="0.3">
      <c r="AH874">
        <v>873</v>
      </c>
      <c r="AI874">
        <v>386717</v>
      </c>
    </row>
    <row r="875" spans="34:35" x14ac:dyDescent="0.3">
      <c r="AH875">
        <v>874</v>
      </c>
      <c r="AI875">
        <v>222544</v>
      </c>
    </row>
    <row r="876" spans="34:35" x14ac:dyDescent="0.3">
      <c r="AH876">
        <v>875</v>
      </c>
      <c r="AI876">
        <v>430544</v>
      </c>
    </row>
    <row r="877" spans="34:35" x14ac:dyDescent="0.3">
      <c r="AH877">
        <v>876</v>
      </c>
      <c r="AI877">
        <v>-314980</v>
      </c>
    </row>
    <row r="878" spans="34:35" x14ac:dyDescent="0.3">
      <c r="AH878">
        <v>877</v>
      </c>
      <c r="AI878">
        <v>133069</v>
      </c>
    </row>
    <row r="879" spans="34:35" x14ac:dyDescent="0.3">
      <c r="AH879">
        <v>878</v>
      </c>
      <c r="AI879">
        <v>311502</v>
      </c>
    </row>
    <row r="880" spans="34:35" x14ac:dyDescent="0.3">
      <c r="AH880">
        <v>879</v>
      </c>
      <c r="AI880">
        <v>116704</v>
      </c>
    </row>
    <row r="881" spans="34:35" x14ac:dyDescent="0.3">
      <c r="AH881">
        <v>880</v>
      </c>
      <c r="AI881">
        <v>177264</v>
      </c>
    </row>
    <row r="882" spans="34:35" x14ac:dyDescent="0.3">
      <c r="AH882">
        <v>881</v>
      </c>
      <c r="AI882">
        <v>32772</v>
      </c>
    </row>
    <row r="883" spans="34:35" x14ac:dyDescent="0.3">
      <c r="AH883">
        <v>882</v>
      </c>
      <c r="AI883">
        <v>252350</v>
      </c>
    </row>
    <row r="884" spans="34:35" x14ac:dyDescent="0.3">
      <c r="AH884">
        <v>883</v>
      </c>
      <c r="AI884">
        <v>-138695</v>
      </c>
    </row>
    <row r="885" spans="34:35" x14ac:dyDescent="0.3">
      <c r="AH885">
        <v>884</v>
      </c>
      <c r="AI885">
        <v>405296</v>
      </c>
    </row>
    <row r="886" spans="34:35" x14ac:dyDescent="0.3">
      <c r="AH886">
        <v>885</v>
      </c>
      <c r="AI886">
        <v>188996</v>
      </c>
    </row>
    <row r="887" spans="34:35" x14ac:dyDescent="0.3">
      <c r="AH887">
        <v>886</v>
      </c>
      <c r="AI887">
        <v>438734</v>
      </c>
    </row>
    <row r="888" spans="34:35" x14ac:dyDescent="0.3">
      <c r="AH888">
        <v>887</v>
      </c>
      <c r="AI888">
        <v>356960</v>
      </c>
    </row>
    <row r="889" spans="34:35" x14ac:dyDescent="0.3">
      <c r="AH889">
        <v>888</v>
      </c>
      <c r="AI889">
        <v>502784</v>
      </c>
    </row>
    <row r="890" spans="34:35" x14ac:dyDescent="0.3">
      <c r="AH890">
        <v>889</v>
      </c>
      <c r="AI890">
        <v>-34472</v>
      </c>
    </row>
    <row r="891" spans="34:35" x14ac:dyDescent="0.3">
      <c r="AH891">
        <v>890</v>
      </c>
      <c r="AI891">
        <v>458895</v>
      </c>
    </row>
    <row r="892" spans="34:35" x14ac:dyDescent="0.3">
      <c r="AH892">
        <v>891</v>
      </c>
      <c r="AI892">
        <v>361736</v>
      </c>
    </row>
    <row r="893" spans="34:35" x14ac:dyDescent="0.3">
      <c r="AH893">
        <v>892</v>
      </c>
      <c r="AI893">
        <v>432918</v>
      </c>
    </row>
    <row r="894" spans="34:35" x14ac:dyDescent="0.3">
      <c r="AH894">
        <v>893</v>
      </c>
      <c r="AI894">
        <v>-207085</v>
      </c>
    </row>
    <row r="895" spans="34:35" x14ac:dyDescent="0.3">
      <c r="AH895">
        <v>894</v>
      </c>
      <c r="AI895">
        <v>207285</v>
      </c>
    </row>
    <row r="896" spans="34:35" x14ac:dyDescent="0.3">
      <c r="AH896">
        <v>895</v>
      </c>
      <c r="AI896">
        <v>373080</v>
      </c>
    </row>
    <row r="897" spans="34:35" x14ac:dyDescent="0.3">
      <c r="AH897">
        <v>896</v>
      </c>
      <c r="AI897">
        <v>420144</v>
      </c>
    </row>
    <row r="898" spans="34:35" x14ac:dyDescent="0.3">
      <c r="AH898">
        <v>897</v>
      </c>
      <c r="AI898">
        <v>192670</v>
      </c>
    </row>
    <row r="899" spans="34:35" x14ac:dyDescent="0.3">
      <c r="AH899">
        <v>898</v>
      </c>
      <c r="AI899">
        <v>369149</v>
      </c>
    </row>
    <row r="900" spans="34:35" x14ac:dyDescent="0.3">
      <c r="AH900">
        <v>899</v>
      </c>
      <c r="AI900">
        <v>290868</v>
      </c>
    </row>
    <row r="901" spans="34:35" x14ac:dyDescent="0.3">
      <c r="AH901">
        <v>900</v>
      </c>
      <c r="AI901">
        <v>421755</v>
      </c>
    </row>
    <row r="902" spans="34:35" x14ac:dyDescent="0.3">
      <c r="AH902">
        <v>901</v>
      </c>
      <c r="AI902">
        <v>335820</v>
      </c>
    </row>
    <row r="903" spans="34:35" x14ac:dyDescent="0.3">
      <c r="AH903">
        <v>902</v>
      </c>
      <c r="AI903">
        <v>473136</v>
      </c>
    </row>
    <row r="904" spans="34:35" x14ac:dyDescent="0.3">
      <c r="AH904">
        <v>903</v>
      </c>
      <c r="AI904">
        <v>-31820</v>
      </c>
    </row>
    <row r="905" spans="34:35" x14ac:dyDescent="0.3">
      <c r="AH905">
        <v>904</v>
      </c>
      <c r="AI905">
        <v>41968</v>
      </c>
    </row>
    <row r="906" spans="34:35" x14ac:dyDescent="0.3">
      <c r="AH906">
        <v>905</v>
      </c>
      <c r="AI906">
        <v>-122837</v>
      </c>
    </row>
    <row r="907" spans="34:35" x14ac:dyDescent="0.3">
      <c r="AH907">
        <v>906</v>
      </c>
      <c r="AI907">
        <v>105486</v>
      </c>
    </row>
    <row r="908" spans="34:35" x14ac:dyDescent="0.3">
      <c r="AH908">
        <v>907</v>
      </c>
      <c r="AI908">
        <v>236085</v>
      </c>
    </row>
    <row r="909" spans="34:35" x14ac:dyDescent="0.3">
      <c r="AH909">
        <v>908</v>
      </c>
      <c r="AI909">
        <v>-194433</v>
      </c>
    </row>
    <row r="910" spans="34:35" x14ac:dyDescent="0.3">
      <c r="AH910">
        <v>909</v>
      </c>
      <c r="AI910">
        <v>594926</v>
      </c>
    </row>
    <row r="911" spans="34:35" x14ac:dyDescent="0.3">
      <c r="AH911">
        <v>910</v>
      </c>
      <c r="AI911">
        <v>285540</v>
      </c>
    </row>
    <row r="912" spans="34:35" x14ac:dyDescent="0.3">
      <c r="AH912">
        <v>911</v>
      </c>
      <c r="AI912">
        <v>-17700</v>
      </c>
    </row>
    <row r="913" spans="34:35" x14ac:dyDescent="0.3">
      <c r="AH913">
        <v>912</v>
      </c>
      <c r="AI913">
        <v>529707</v>
      </c>
    </row>
    <row r="914" spans="34:35" x14ac:dyDescent="0.3">
      <c r="AH914">
        <v>913</v>
      </c>
      <c r="AI914">
        <v>123209</v>
      </c>
    </row>
    <row r="915" spans="34:35" x14ac:dyDescent="0.3">
      <c r="AH915">
        <v>914</v>
      </c>
      <c r="AI915">
        <v>540234</v>
      </c>
    </row>
    <row r="916" spans="34:35" x14ac:dyDescent="0.3">
      <c r="AH916">
        <v>915</v>
      </c>
      <c r="AI916">
        <v>734925</v>
      </c>
    </row>
    <row r="917" spans="34:35" x14ac:dyDescent="0.3">
      <c r="AH917">
        <v>916</v>
      </c>
      <c r="AI917">
        <v>28848</v>
      </c>
    </row>
    <row r="918" spans="34:35" x14ac:dyDescent="0.3">
      <c r="AH918">
        <v>917</v>
      </c>
      <c r="AI918">
        <v>-222404</v>
      </c>
    </row>
    <row r="919" spans="34:35" x14ac:dyDescent="0.3">
      <c r="AH919">
        <v>918</v>
      </c>
      <c r="AI919">
        <v>-327263</v>
      </c>
    </row>
    <row r="920" spans="34:35" x14ac:dyDescent="0.3">
      <c r="AH920">
        <v>919</v>
      </c>
      <c r="AI920">
        <v>473168</v>
      </c>
    </row>
    <row r="921" spans="34:35" x14ac:dyDescent="0.3">
      <c r="AH921">
        <v>920</v>
      </c>
      <c r="AI921">
        <v>444542</v>
      </c>
    </row>
    <row r="922" spans="34:35" x14ac:dyDescent="0.3">
      <c r="AH922">
        <v>921</v>
      </c>
      <c r="AI922">
        <v>400634</v>
      </c>
    </row>
    <row r="923" spans="34:35" x14ac:dyDescent="0.3">
      <c r="AH923">
        <v>922</v>
      </c>
      <c r="AI923">
        <v>251545</v>
      </c>
    </row>
    <row r="924" spans="34:35" x14ac:dyDescent="0.3">
      <c r="AH924">
        <v>923</v>
      </c>
      <c r="AI924">
        <v>284312</v>
      </c>
    </row>
    <row r="925" spans="34:35" x14ac:dyDescent="0.3">
      <c r="AH925">
        <v>924</v>
      </c>
      <c r="AI925">
        <v>340970</v>
      </c>
    </row>
    <row r="926" spans="34:35" x14ac:dyDescent="0.3">
      <c r="AH926">
        <v>925</v>
      </c>
      <c r="AI926">
        <v>-84830</v>
      </c>
    </row>
    <row r="927" spans="34:35" x14ac:dyDescent="0.3">
      <c r="AH927">
        <v>926</v>
      </c>
      <c r="AI927">
        <v>170322</v>
      </c>
    </row>
    <row r="928" spans="34:35" x14ac:dyDescent="0.3">
      <c r="AH928">
        <v>927</v>
      </c>
      <c r="AI928">
        <v>-183632</v>
      </c>
    </row>
    <row r="929" spans="34:35" x14ac:dyDescent="0.3">
      <c r="AH929">
        <v>928</v>
      </c>
      <c r="AI929">
        <v>498266</v>
      </c>
    </row>
    <row r="930" spans="34:35" x14ac:dyDescent="0.3">
      <c r="AH930">
        <v>929</v>
      </c>
      <c r="AI930">
        <v>-83948</v>
      </c>
    </row>
    <row r="931" spans="34:35" x14ac:dyDescent="0.3">
      <c r="AH931">
        <v>930</v>
      </c>
      <c r="AI931">
        <v>-114720</v>
      </c>
    </row>
    <row r="932" spans="34:35" x14ac:dyDescent="0.3">
      <c r="AH932">
        <v>931</v>
      </c>
      <c r="AI932">
        <v>134425</v>
      </c>
    </row>
    <row r="933" spans="34:35" x14ac:dyDescent="0.3">
      <c r="AH933">
        <v>932</v>
      </c>
      <c r="AI933">
        <v>470064</v>
      </c>
    </row>
    <row r="934" spans="34:35" x14ac:dyDescent="0.3">
      <c r="AH934">
        <v>933</v>
      </c>
      <c r="AI934">
        <v>144008</v>
      </c>
    </row>
    <row r="935" spans="34:35" x14ac:dyDescent="0.3">
      <c r="AH935">
        <v>934</v>
      </c>
      <c r="AI935">
        <v>105600</v>
      </c>
    </row>
    <row r="936" spans="34:35" x14ac:dyDescent="0.3">
      <c r="AH936">
        <v>935</v>
      </c>
      <c r="AI936">
        <v>150975</v>
      </c>
    </row>
    <row r="937" spans="34:35" x14ac:dyDescent="0.3">
      <c r="AH937">
        <v>936</v>
      </c>
      <c r="AI937">
        <v>-218548</v>
      </c>
    </row>
    <row r="938" spans="34:35" x14ac:dyDescent="0.3">
      <c r="AH938">
        <v>937</v>
      </c>
      <c r="AI938">
        <v>-323222</v>
      </c>
    </row>
    <row r="939" spans="34:35" x14ac:dyDescent="0.3">
      <c r="AH939">
        <v>938</v>
      </c>
      <c r="AI939">
        <v>-101272</v>
      </c>
    </row>
    <row r="940" spans="34:35" x14ac:dyDescent="0.3">
      <c r="AH940">
        <v>939</v>
      </c>
      <c r="AI940">
        <v>52079</v>
      </c>
    </row>
    <row r="941" spans="34:35" x14ac:dyDescent="0.3">
      <c r="AH941">
        <v>940</v>
      </c>
      <c r="AI941">
        <v>331396</v>
      </c>
    </row>
    <row r="942" spans="34:35" x14ac:dyDescent="0.3">
      <c r="AH942">
        <v>941</v>
      </c>
      <c r="AI942">
        <v>459988</v>
      </c>
    </row>
    <row r="943" spans="34:35" x14ac:dyDescent="0.3">
      <c r="AH943">
        <v>942</v>
      </c>
      <c r="AI943">
        <v>618829</v>
      </c>
    </row>
    <row r="944" spans="34:35" x14ac:dyDescent="0.3">
      <c r="AH944">
        <v>943</v>
      </c>
      <c r="AI944">
        <v>395950</v>
      </c>
    </row>
    <row r="945" spans="34:35" x14ac:dyDescent="0.3">
      <c r="AH945">
        <v>944</v>
      </c>
      <c r="AI945">
        <v>-199183</v>
      </c>
    </row>
    <row r="946" spans="34:35" x14ac:dyDescent="0.3">
      <c r="AH946">
        <v>945</v>
      </c>
      <c r="AI946">
        <v>278176</v>
      </c>
    </row>
    <row r="947" spans="34:35" x14ac:dyDescent="0.3">
      <c r="AH947">
        <v>946</v>
      </c>
      <c r="AI947">
        <v>-52112</v>
      </c>
    </row>
    <row r="948" spans="34:35" x14ac:dyDescent="0.3">
      <c r="AH948">
        <v>947</v>
      </c>
      <c r="AI948">
        <v>-254245</v>
      </c>
    </row>
    <row r="949" spans="34:35" x14ac:dyDescent="0.3">
      <c r="AH949">
        <v>948</v>
      </c>
      <c r="AI949">
        <v>-172166</v>
      </c>
    </row>
    <row r="950" spans="34:35" x14ac:dyDescent="0.3">
      <c r="AH950">
        <v>949</v>
      </c>
      <c r="AI950">
        <v>-442985</v>
      </c>
    </row>
    <row r="951" spans="34:35" x14ac:dyDescent="0.3">
      <c r="AH951">
        <v>950</v>
      </c>
      <c r="AI951">
        <v>247364</v>
      </c>
    </row>
    <row r="952" spans="34:35" x14ac:dyDescent="0.3">
      <c r="AH952">
        <v>951</v>
      </c>
      <c r="AI952">
        <v>-162650</v>
      </c>
    </row>
    <row r="953" spans="34:35" x14ac:dyDescent="0.3">
      <c r="AH953">
        <v>952</v>
      </c>
      <c r="AI953">
        <v>-160844</v>
      </c>
    </row>
    <row r="954" spans="34:35" x14ac:dyDescent="0.3">
      <c r="AH954">
        <v>953</v>
      </c>
      <c r="AI954">
        <v>-273600</v>
      </c>
    </row>
    <row r="955" spans="34:35" x14ac:dyDescent="0.3">
      <c r="AH955">
        <v>954</v>
      </c>
      <c r="AI955">
        <v>521600</v>
      </c>
    </row>
    <row r="956" spans="34:35" x14ac:dyDescent="0.3">
      <c r="AH956">
        <v>955</v>
      </c>
      <c r="AI956">
        <v>492128</v>
      </c>
    </row>
    <row r="957" spans="34:35" x14ac:dyDescent="0.3">
      <c r="AH957">
        <v>956</v>
      </c>
      <c r="AI957">
        <v>49008</v>
      </c>
    </row>
    <row r="958" spans="34:35" x14ac:dyDescent="0.3">
      <c r="AH958">
        <v>957</v>
      </c>
      <c r="AI958">
        <v>-141092</v>
      </c>
    </row>
    <row r="959" spans="34:35" x14ac:dyDescent="0.3">
      <c r="AH959">
        <v>958</v>
      </c>
      <c r="AI959">
        <v>273810</v>
      </c>
    </row>
    <row r="960" spans="34:35" x14ac:dyDescent="0.3">
      <c r="AH960">
        <v>959</v>
      </c>
      <c r="AI960">
        <v>242292</v>
      </c>
    </row>
    <row r="961" spans="34:35" x14ac:dyDescent="0.3">
      <c r="AH961">
        <v>960</v>
      </c>
      <c r="AI961">
        <v>-104626</v>
      </c>
    </row>
    <row r="962" spans="34:35" x14ac:dyDescent="0.3">
      <c r="AH962">
        <v>961</v>
      </c>
      <c r="AI962">
        <v>610616</v>
      </c>
    </row>
    <row r="963" spans="34:35" x14ac:dyDescent="0.3">
      <c r="AH963">
        <v>962</v>
      </c>
      <c r="AI963">
        <v>260816</v>
      </c>
    </row>
    <row r="964" spans="34:35" x14ac:dyDescent="0.3">
      <c r="AH964">
        <v>963</v>
      </c>
      <c r="AI964">
        <v>364952</v>
      </c>
    </row>
    <row r="965" spans="34:35" x14ac:dyDescent="0.3">
      <c r="AH965">
        <v>964</v>
      </c>
      <c r="AI965">
        <v>-139724</v>
      </c>
    </row>
    <row r="966" spans="34:35" x14ac:dyDescent="0.3">
      <c r="AH966">
        <v>965</v>
      </c>
      <c r="AI966">
        <v>-222118</v>
      </c>
    </row>
    <row r="967" spans="34:35" x14ac:dyDescent="0.3">
      <c r="AH967">
        <v>966</v>
      </c>
      <c r="AI967">
        <v>402450</v>
      </c>
    </row>
    <row r="968" spans="34:35" x14ac:dyDescent="0.3">
      <c r="AH968">
        <v>967</v>
      </c>
      <c r="AI968">
        <v>238616</v>
      </c>
    </row>
    <row r="969" spans="34:35" x14ac:dyDescent="0.3">
      <c r="AH969">
        <v>968</v>
      </c>
      <c r="AI969">
        <v>424014</v>
      </c>
    </row>
    <row r="970" spans="34:35" x14ac:dyDescent="0.3">
      <c r="AH970">
        <v>969</v>
      </c>
      <c r="AI970">
        <v>-33500</v>
      </c>
    </row>
    <row r="971" spans="34:35" x14ac:dyDescent="0.3">
      <c r="AH971">
        <v>970</v>
      </c>
      <c r="AI971">
        <v>-169925</v>
      </c>
    </row>
    <row r="972" spans="34:35" x14ac:dyDescent="0.3">
      <c r="AH972">
        <v>971</v>
      </c>
      <c r="AI972">
        <v>319050</v>
      </c>
    </row>
    <row r="973" spans="34:35" x14ac:dyDescent="0.3">
      <c r="AH973">
        <v>972</v>
      </c>
      <c r="AI973">
        <v>-189104</v>
      </c>
    </row>
    <row r="974" spans="34:35" x14ac:dyDescent="0.3">
      <c r="AH974">
        <v>973</v>
      </c>
      <c r="AI974">
        <v>33400</v>
      </c>
    </row>
    <row r="975" spans="34:35" x14ac:dyDescent="0.3">
      <c r="AH975">
        <v>974</v>
      </c>
      <c r="AI975">
        <v>-82622</v>
      </c>
    </row>
    <row r="976" spans="34:35" x14ac:dyDescent="0.3">
      <c r="AH976">
        <v>975</v>
      </c>
      <c r="AI976">
        <v>446434</v>
      </c>
    </row>
    <row r="977" spans="34:35" x14ac:dyDescent="0.3">
      <c r="AH977">
        <v>976</v>
      </c>
      <c r="AI977">
        <v>-131315</v>
      </c>
    </row>
    <row r="978" spans="34:35" x14ac:dyDescent="0.3">
      <c r="AH978">
        <v>977</v>
      </c>
      <c r="AI978">
        <v>288598</v>
      </c>
    </row>
    <row r="979" spans="34:35" x14ac:dyDescent="0.3">
      <c r="AH979">
        <v>978</v>
      </c>
      <c r="AI979">
        <v>132142</v>
      </c>
    </row>
    <row r="980" spans="34:35" x14ac:dyDescent="0.3">
      <c r="AH980">
        <v>979</v>
      </c>
      <c r="AI980">
        <v>433965</v>
      </c>
    </row>
    <row r="981" spans="34:35" x14ac:dyDescent="0.3">
      <c r="AH981">
        <v>980</v>
      </c>
      <c r="AI981">
        <v>-10640</v>
      </c>
    </row>
    <row r="982" spans="34:35" x14ac:dyDescent="0.3">
      <c r="AH982">
        <v>981</v>
      </c>
      <c r="AI982">
        <v>246900</v>
      </c>
    </row>
    <row r="983" spans="34:35" x14ac:dyDescent="0.3">
      <c r="AH983">
        <v>982</v>
      </c>
      <c r="AI983">
        <v>364970</v>
      </c>
    </row>
    <row r="984" spans="34:35" x14ac:dyDescent="0.3">
      <c r="AH984">
        <v>983</v>
      </c>
      <c r="AI984">
        <v>121319</v>
      </c>
    </row>
    <row r="985" spans="34:35" x14ac:dyDescent="0.3">
      <c r="AH985">
        <v>984</v>
      </c>
      <c r="AI985">
        <v>26640</v>
      </c>
    </row>
    <row r="986" spans="34:35" x14ac:dyDescent="0.3">
      <c r="AH986">
        <v>985</v>
      </c>
      <c r="AI986">
        <v>344340</v>
      </c>
    </row>
    <row r="987" spans="34:35" x14ac:dyDescent="0.3">
      <c r="AH987">
        <v>986</v>
      </c>
      <c r="AI987">
        <v>151704</v>
      </c>
    </row>
    <row r="988" spans="34:35" x14ac:dyDescent="0.3">
      <c r="AH988">
        <v>987</v>
      </c>
      <c r="AI988">
        <v>514948</v>
      </c>
    </row>
    <row r="989" spans="34:35" x14ac:dyDescent="0.3">
      <c r="AH989">
        <v>988</v>
      </c>
      <c r="AI989">
        <v>125384</v>
      </c>
    </row>
    <row r="990" spans="34:35" x14ac:dyDescent="0.3">
      <c r="AH990">
        <v>989</v>
      </c>
      <c r="AI990">
        <v>-247800</v>
      </c>
    </row>
    <row r="991" spans="34:35" x14ac:dyDescent="0.3">
      <c r="AH991">
        <v>990</v>
      </c>
      <c r="AI991">
        <v>-248090</v>
      </c>
    </row>
    <row r="992" spans="34:35" x14ac:dyDescent="0.3">
      <c r="AH992">
        <v>991</v>
      </c>
      <c r="AI992">
        <v>112440</v>
      </c>
    </row>
    <row r="993" spans="34:35" x14ac:dyDescent="0.3">
      <c r="AH993">
        <v>992</v>
      </c>
      <c r="AI993">
        <v>210112</v>
      </c>
    </row>
    <row r="994" spans="34:35" x14ac:dyDescent="0.3">
      <c r="AH994">
        <v>993</v>
      </c>
      <c r="AI994">
        <v>210320</v>
      </c>
    </row>
    <row r="995" spans="34:35" x14ac:dyDescent="0.3">
      <c r="AH995">
        <v>994</v>
      </c>
      <c r="AI995">
        <v>219455</v>
      </c>
    </row>
    <row r="996" spans="34:35" x14ac:dyDescent="0.3">
      <c r="AH996">
        <v>995</v>
      </c>
      <c r="AI996">
        <v>140971</v>
      </c>
    </row>
    <row r="997" spans="34:35" x14ac:dyDescent="0.3">
      <c r="AH997">
        <v>996</v>
      </c>
      <c r="AI997">
        <v>347705</v>
      </c>
    </row>
    <row r="998" spans="34:35" x14ac:dyDescent="0.3">
      <c r="AH998">
        <v>997</v>
      </c>
      <c r="AI998">
        <v>192078</v>
      </c>
    </row>
    <row r="999" spans="34:35" x14ac:dyDescent="0.3">
      <c r="AH999">
        <v>998</v>
      </c>
      <c r="AI999">
        <v>-70624</v>
      </c>
    </row>
    <row r="1000" spans="34:35" x14ac:dyDescent="0.3">
      <c r="AH1000">
        <v>999</v>
      </c>
      <c r="AI1000">
        <v>440100</v>
      </c>
    </row>
    <row r="1001" spans="34:35" x14ac:dyDescent="0.3">
      <c r="AH1001">
        <v>1000</v>
      </c>
      <c r="AI1001">
        <v>519008</v>
      </c>
    </row>
  </sheetData>
  <mergeCells count="1">
    <mergeCell ref="B3:H2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A2CCE-E5CB-4B1D-86E8-B7A9CF981FA2}">
  <dimension ref="B2:Q29"/>
  <sheetViews>
    <sheetView zoomScale="82" workbookViewId="0">
      <selection activeCell="F20" sqref="F20"/>
    </sheetView>
  </sheetViews>
  <sheetFormatPr defaultRowHeight="14.4" x14ac:dyDescent="0.3"/>
  <cols>
    <col min="5" max="5" width="14.6640625" customWidth="1"/>
    <col min="6" max="6" width="13.5546875" customWidth="1"/>
    <col min="11" max="11" width="19.88671875" customWidth="1"/>
    <col min="14" max="14" width="12.109375" customWidth="1"/>
    <col min="15" max="15" width="15.77734375" customWidth="1"/>
    <col min="16" max="16" width="15.44140625" customWidth="1"/>
    <col min="17" max="17" width="18.88671875" customWidth="1"/>
  </cols>
  <sheetData>
    <row r="2" spans="3:17" x14ac:dyDescent="0.3">
      <c r="K2" t="s">
        <v>484</v>
      </c>
      <c r="M2">
        <v>500</v>
      </c>
    </row>
    <row r="3" spans="3:17" x14ac:dyDescent="0.3">
      <c r="C3" s="82" t="s">
        <v>485</v>
      </c>
      <c r="D3" s="82"/>
      <c r="E3" s="82"/>
      <c r="F3" s="82"/>
      <c r="G3" s="82"/>
      <c r="H3" s="82"/>
      <c r="K3" t="s">
        <v>486</v>
      </c>
      <c r="M3">
        <v>120</v>
      </c>
    </row>
    <row r="4" spans="3:17" x14ac:dyDescent="0.3">
      <c r="C4" s="82"/>
      <c r="D4" s="82"/>
      <c r="E4" s="82"/>
      <c r="F4" s="82"/>
      <c r="G4" s="82"/>
      <c r="H4" s="82"/>
      <c r="K4" t="s">
        <v>487</v>
      </c>
      <c r="M4">
        <v>0.7</v>
      </c>
    </row>
    <row r="5" spans="3:17" x14ac:dyDescent="0.3">
      <c r="C5" s="82"/>
      <c r="D5" s="82"/>
      <c r="E5" s="82"/>
      <c r="F5" s="82"/>
      <c r="G5" s="82"/>
      <c r="H5" s="82"/>
      <c r="K5" t="s">
        <v>488</v>
      </c>
      <c r="M5">
        <v>0.5</v>
      </c>
    </row>
    <row r="6" spans="3:17" x14ac:dyDescent="0.3">
      <c r="C6" s="82"/>
      <c r="D6" s="82"/>
      <c r="E6" s="82"/>
      <c r="F6" s="82"/>
      <c r="G6" s="82"/>
      <c r="H6" s="82"/>
    </row>
    <row r="8" spans="3:17" x14ac:dyDescent="0.3">
      <c r="E8" t="s">
        <v>489</v>
      </c>
      <c r="F8" t="s">
        <v>490</v>
      </c>
      <c r="G8" t="s">
        <v>491</v>
      </c>
      <c r="K8" t="s">
        <v>492</v>
      </c>
      <c r="L8" t="s">
        <v>493</v>
      </c>
      <c r="M8" t="s">
        <v>494</v>
      </c>
      <c r="N8" t="s">
        <v>495</v>
      </c>
      <c r="O8" t="s">
        <v>496</v>
      </c>
      <c r="P8" t="s">
        <v>497</v>
      </c>
      <c r="Q8" t="s">
        <v>498</v>
      </c>
    </row>
    <row r="9" spans="3:17" x14ac:dyDescent="0.3">
      <c r="C9" t="s">
        <v>499</v>
      </c>
      <c r="E9">
        <v>20</v>
      </c>
      <c r="F9" s="45">
        <v>0.03</v>
      </c>
      <c r="G9">
        <v>200000</v>
      </c>
      <c r="K9" t="s">
        <v>499</v>
      </c>
      <c r="L9">
        <v>200000</v>
      </c>
      <c r="M9">
        <v>20</v>
      </c>
      <c r="N9" s="45">
        <v>0.03</v>
      </c>
      <c r="O9">
        <f>ROUND(L9/M9,0)</f>
        <v>10000</v>
      </c>
      <c r="P9">
        <f ca="1">ROUND(O9*(1+RAND()*0.4 -0.2),0)</f>
        <v>11557</v>
      </c>
      <c r="Q9" s="46">
        <f ca="1">N9+ RAND()*0.02-0.01</f>
        <v>3.9648642673512001E-2</v>
      </c>
    </row>
    <row r="10" spans="3:17" x14ac:dyDescent="0.3">
      <c r="C10" t="s">
        <v>500</v>
      </c>
      <c r="E10">
        <v>35</v>
      </c>
      <c r="F10" s="45">
        <v>0.05</v>
      </c>
      <c r="G10">
        <v>200000</v>
      </c>
      <c r="K10" t="s">
        <v>500</v>
      </c>
      <c r="L10">
        <v>200000</v>
      </c>
      <c r="M10">
        <v>35</v>
      </c>
      <c r="N10" s="45">
        <v>0.05</v>
      </c>
      <c r="O10">
        <f t="shared" ref="O10:O11" si="0">ROUND(L10/M10,0)</f>
        <v>5714</v>
      </c>
      <c r="P10">
        <f t="shared" ref="P10:P11" ca="1" si="1">ROUND(O10*(1+RAND()*0.4 -0.2),0)</f>
        <v>5191</v>
      </c>
      <c r="Q10" s="46">
        <f t="shared" ref="Q10:Q11" ca="1" si="2">N10+ RAND()*0.02-0.01</f>
        <v>5.7598308537202415E-2</v>
      </c>
    </row>
    <row r="11" spans="3:17" x14ac:dyDescent="0.3">
      <c r="C11" t="s">
        <v>501</v>
      </c>
      <c r="E11">
        <v>15</v>
      </c>
      <c r="F11" s="45">
        <v>0.02</v>
      </c>
      <c r="G11">
        <v>150000</v>
      </c>
      <c r="K11" t="s">
        <v>501</v>
      </c>
      <c r="L11">
        <v>150000</v>
      </c>
      <c r="M11">
        <v>15</v>
      </c>
      <c r="N11" s="45">
        <v>0.02</v>
      </c>
      <c r="O11">
        <f t="shared" si="0"/>
        <v>10000</v>
      </c>
      <c r="P11">
        <f t="shared" ca="1" si="1"/>
        <v>11992</v>
      </c>
      <c r="Q11" s="46">
        <f t="shared" ca="1" si="2"/>
        <v>2.6495054333149186E-2</v>
      </c>
    </row>
    <row r="13" spans="3:17" x14ac:dyDescent="0.3">
      <c r="C13" t="s">
        <v>502</v>
      </c>
    </row>
    <row r="14" spans="3:17" x14ac:dyDescent="0.3">
      <c r="C14" t="s">
        <v>503</v>
      </c>
      <c r="K14" t="s">
        <v>504</v>
      </c>
    </row>
    <row r="15" spans="3:17" x14ac:dyDescent="0.3">
      <c r="C15" t="s">
        <v>505</v>
      </c>
      <c r="K15">
        <f ca="1">P9*Q9</f>
        <v>458.21936337777822</v>
      </c>
    </row>
    <row r="16" spans="3:17" x14ac:dyDescent="0.3">
      <c r="K16">
        <f t="shared" ref="K16:K17" ca="1" si="3">P10*Q10</f>
        <v>298.99281961661774</v>
      </c>
    </row>
    <row r="17" spans="2:15" x14ac:dyDescent="0.3">
      <c r="C17" t="s">
        <v>506</v>
      </c>
      <c r="K17">
        <f t="shared" ca="1" si="3"/>
        <v>317.72869156312504</v>
      </c>
    </row>
    <row r="18" spans="2:15" x14ac:dyDescent="0.3">
      <c r="C18" t="s">
        <v>507</v>
      </c>
    </row>
    <row r="19" spans="2:15" x14ac:dyDescent="0.3">
      <c r="C19" t="s">
        <v>508</v>
      </c>
      <c r="K19" t="s">
        <v>509</v>
      </c>
    </row>
    <row r="20" spans="2:15" x14ac:dyDescent="0.3">
      <c r="K20" t="s">
        <v>510</v>
      </c>
      <c r="L20" t="s">
        <v>511</v>
      </c>
      <c r="M20" t="s">
        <v>512</v>
      </c>
      <c r="O20" t="s">
        <v>513</v>
      </c>
    </row>
    <row r="21" spans="2:15" x14ac:dyDescent="0.3">
      <c r="B21" t="s">
        <v>514</v>
      </c>
      <c r="C21" t="s">
        <v>515</v>
      </c>
      <c r="K21">
        <f ca="1">SUM(K15:K17)</f>
        <v>1074.9408745575211</v>
      </c>
      <c r="L21">
        <f ca="1">(0.7 + RAND()*0.2 -0.1)*K21</f>
        <v>816.40481327106716</v>
      </c>
      <c r="M21">
        <f ca="1">(0.5 + RAND()*0.2-0.1)*K21</f>
        <v>558.8351603019139</v>
      </c>
      <c r="O21">
        <f ca="1">SUM(K21:M21)</f>
        <v>2450.1808481305025</v>
      </c>
    </row>
    <row r="22" spans="2:15" x14ac:dyDescent="0.3">
      <c r="B22" t="s">
        <v>516</v>
      </c>
      <c r="C22" t="s">
        <v>517</v>
      </c>
    </row>
    <row r="23" spans="2:15" x14ac:dyDescent="0.3">
      <c r="B23" t="s">
        <v>518</v>
      </c>
      <c r="C23" t="s">
        <v>519</v>
      </c>
    </row>
    <row r="24" spans="2:15" x14ac:dyDescent="0.3">
      <c r="K24" t="s">
        <v>513</v>
      </c>
      <c r="L24">
        <f ca="1">O21</f>
        <v>2450.1808481305025</v>
      </c>
    </row>
    <row r="25" spans="2:15" x14ac:dyDescent="0.3">
      <c r="C25" t="s">
        <v>520</v>
      </c>
      <c r="K25" t="s">
        <v>521</v>
      </c>
      <c r="L25">
        <f ca="1">L24*120</f>
        <v>294021.70177566027</v>
      </c>
      <c r="O25">
        <v>1</v>
      </c>
    </row>
    <row r="26" spans="2:15" x14ac:dyDescent="0.3">
      <c r="B26" t="s">
        <v>522</v>
      </c>
      <c r="C26" t="s">
        <v>523</v>
      </c>
      <c r="K26" t="s">
        <v>524</v>
      </c>
      <c r="L26">
        <f>SUM(L9:L11)</f>
        <v>550000</v>
      </c>
    </row>
    <row r="27" spans="2:15" x14ac:dyDescent="0.3">
      <c r="K27" t="s">
        <v>425</v>
      </c>
      <c r="L27">
        <f ca="1">L24*500</f>
        <v>1225090.4240652511</v>
      </c>
    </row>
    <row r="28" spans="2:15" x14ac:dyDescent="0.3">
      <c r="B28" t="s">
        <v>525</v>
      </c>
      <c r="C28" t="s">
        <v>526</v>
      </c>
    </row>
    <row r="29" spans="2:15" x14ac:dyDescent="0.3">
      <c r="K29" t="s">
        <v>428</v>
      </c>
      <c r="L29">
        <f ca="1">L27-L26-L25</f>
        <v>381068.72228959086</v>
      </c>
    </row>
  </sheetData>
  <mergeCells count="1">
    <mergeCell ref="C3:H6"/>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101E2-B165-4FC8-940C-E0FDCFEAFC93}">
  <dimension ref="B1:Q1001"/>
  <sheetViews>
    <sheetView workbookViewId="0">
      <selection activeCell="H14" sqref="H14"/>
    </sheetView>
  </sheetViews>
  <sheetFormatPr defaultRowHeight="14.4" x14ac:dyDescent="0.3"/>
  <cols>
    <col min="6" max="6" width="39.109375" customWidth="1"/>
    <col min="8" max="8" width="24.109375" customWidth="1"/>
  </cols>
  <sheetData>
    <row r="1" spans="2:17" x14ac:dyDescent="0.3">
      <c r="P1" t="s">
        <v>533</v>
      </c>
      <c r="Q1" t="s">
        <v>534</v>
      </c>
    </row>
    <row r="2" spans="2:17" x14ac:dyDescent="0.3">
      <c r="O2">
        <v>1</v>
      </c>
      <c r="P2">
        <v>55410</v>
      </c>
      <c r="Q2">
        <v>-6160</v>
      </c>
    </row>
    <row r="3" spans="2:17" x14ac:dyDescent="0.3">
      <c r="B3" s="79" t="s">
        <v>539</v>
      </c>
      <c r="C3" s="79"/>
      <c r="D3" s="79"/>
      <c r="E3" s="79"/>
      <c r="F3" s="79"/>
      <c r="H3" t="s">
        <v>531</v>
      </c>
      <c r="J3">
        <v>30</v>
      </c>
      <c r="M3">
        <v>30</v>
      </c>
      <c r="O3">
        <v>2</v>
      </c>
      <c r="P3">
        <v>109320</v>
      </c>
      <c r="Q3">
        <v>14140</v>
      </c>
    </row>
    <row r="4" spans="2:17" x14ac:dyDescent="0.3">
      <c r="B4" s="79"/>
      <c r="C4" s="79"/>
      <c r="D4" s="79"/>
      <c r="E4" s="79"/>
      <c r="F4" s="79"/>
      <c r="H4" t="s">
        <v>532</v>
      </c>
      <c r="J4">
        <v>4000</v>
      </c>
      <c r="K4">
        <v>7000</v>
      </c>
      <c r="M4">
        <f ca="1">RANDBETWEEN(J4,K4)</f>
        <v>4076</v>
      </c>
      <c r="O4">
        <v>3</v>
      </c>
      <c r="P4">
        <v>132930</v>
      </c>
      <c r="Q4">
        <v>104160</v>
      </c>
    </row>
    <row r="5" spans="2:17" x14ac:dyDescent="0.3">
      <c r="B5" s="79"/>
      <c r="C5" s="79"/>
      <c r="D5" s="79"/>
      <c r="E5" s="79"/>
      <c r="F5" s="79"/>
      <c r="H5" t="s">
        <v>457</v>
      </c>
      <c r="J5">
        <v>2000</v>
      </c>
      <c r="K5">
        <v>3500</v>
      </c>
      <c r="M5">
        <f ca="1">RANDBETWEEN(J5,K5)</f>
        <v>2104</v>
      </c>
      <c r="O5">
        <v>4</v>
      </c>
      <c r="P5">
        <v>64170</v>
      </c>
      <c r="Q5">
        <v>67655</v>
      </c>
    </row>
    <row r="6" spans="2:17" x14ac:dyDescent="0.3">
      <c r="B6" s="79"/>
      <c r="C6" s="79"/>
      <c r="D6" s="79"/>
      <c r="E6" s="79"/>
      <c r="F6" s="79"/>
      <c r="O6">
        <v>5</v>
      </c>
      <c r="P6">
        <v>113640</v>
      </c>
      <c r="Q6">
        <v>77210</v>
      </c>
    </row>
    <row r="7" spans="2:17" x14ac:dyDescent="0.3">
      <c r="B7" s="79"/>
      <c r="C7" s="79"/>
      <c r="D7" s="79"/>
      <c r="E7" s="79"/>
      <c r="F7" s="79"/>
      <c r="L7" t="s">
        <v>481</v>
      </c>
      <c r="M7">
        <f ca="1">M3*(M4-M5)</f>
        <v>59160</v>
      </c>
      <c r="O7">
        <v>6</v>
      </c>
      <c r="P7">
        <v>81600</v>
      </c>
      <c r="Q7">
        <v>-8960</v>
      </c>
    </row>
    <row r="8" spans="2:17" x14ac:dyDescent="0.3">
      <c r="B8" s="79"/>
      <c r="C8" s="79"/>
      <c r="D8" s="79"/>
      <c r="E8" s="79"/>
      <c r="F8" s="79"/>
      <c r="O8">
        <v>7</v>
      </c>
      <c r="P8">
        <v>97650</v>
      </c>
      <c r="Q8">
        <v>-5145</v>
      </c>
    </row>
    <row r="9" spans="2:17" x14ac:dyDescent="0.3">
      <c r="B9" s="79"/>
      <c r="C9" s="79"/>
      <c r="D9" s="79"/>
      <c r="E9" s="79"/>
      <c r="F9" s="79"/>
      <c r="O9">
        <v>8</v>
      </c>
      <c r="P9">
        <v>58530</v>
      </c>
      <c r="Q9">
        <v>27615</v>
      </c>
    </row>
    <row r="10" spans="2:17" x14ac:dyDescent="0.3">
      <c r="B10" s="79"/>
      <c r="C10" s="79"/>
      <c r="D10" s="79"/>
      <c r="E10" s="79"/>
      <c r="F10" s="79"/>
      <c r="O10">
        <v>9</v>
      </c>
      <c r="P10">
        <v>102690</v>
      </c>
      <c r="Q10">
        <v>77245</v>
      </c>
    </row>
    <row r="11" spans="2:17" x14ac:dyDescent="0.3">
      <c r="B11" s="79"/>
      <c r="C11" s="79"/>
      <c r="D11" s="79"/>
      <c r="E11" s="79"/>
      <c r="F11" s="79"/>
      <c r="H11" t="s">
        <v>531</v>
      </c>
      <c r="J11">
        <v>35</v>
      </c>
      <c r="M11">
        <v>35</v>
      </c>
      <c r="O11">
        <v>10</v>
      </c>
      <c r="P11">
        <v>40470</v>
      </c>
      <c r="Q11">
        <v>68390</v>
      </c>
    </row>
    <row r="12" spans="2:17" x14ac:dyDescent="0.3">
      <c r="B12" s="79"/>
      <c r="C12" s="79"/>
      <c r="D12" s="79"/>
      <c r="E12" s="79"/>
      <c r="F12" s="79"/>
      <c r="H12" t="s">
        <v>532</v>
      </c>
      <c r="J12">
        <v>3000</v>
      </c>
      <c r="K12">
        <v>6000</v>
      </c>
      <c r="M12">
        <f ca="1">RANDBETWEEN(J12,K12)</f>
        <v>3446</v>
      </c>
      <c r="O12">
        <v>11</v>
      </c>
      <c r="P12">
        <v>66420</v>
      </c>
      <c r="Q12">
        <v>40600</v>
      </c>
    </row>
    <row r="13" spans="2:17" x14ac:dyDescent="0.3">
      <c r="B13" s="79"/>
      <c r="C13" s="79"/>
      <c r="D13" s="79"/>
      <c r="E13" s="79"/>
      <c r="F13" s="79"/>
      <c r="H13" t="s">
        <v>457</v>
      </c>
      <c r="J13">
        <v>2000</v>
      </c>
      <c r="K13">
        <v>3500</v>
      </c>
      <c r="M13">
        <f ca="1">RANDBETWEEN(J13,K13)</f>
        <v>3268</v>
      </c>
      <c r="O13">
        <v>12</v>
      </c>
      <c r="P13">
        <v>107820</v>
      </c>
      <c r="Q13">
        <v>30870</v>
      </c>
    </row>
    <row r="14" spans="2:17" x14ac:dyDescent="0.3">
      <c r="B14" s="79"/>
      <c r="C14" s="79"/>
      <c r="D14" s="79"/>
      <c r="E14" s="79"/>
      <c r="F14" s="79"/>
      <c r="O14">
        <v>13</v>
      </c>
      <c r="P14">
        <v>94020</v>
      </c>
      <c r="Q14">
        <v>18445</v>
      </c>
    </row>
    <row r="15" spans="2:17" x14ac:dyDescent="0.3">
      <c r="B15" s="79"/>
      <c r="C15" s="79"/>
      <c r="D15" s="79"/>
      <c r="E15" s="79"/>
      <c r="F15" s="79"/>
      <c r="L15" t="s">
        <v>481</v>
      </c>
      <c r="M15">
        <f ca="1">M11*(M12-M13)</f>
        <v>6230</v>
      </c>
      <c r="O15">
        <v>14</v>
      </c>
      <c r="P15">
        <v>144990</v>
      </c>
      <c r="Q15">
        <v>10185</v>
      </c>
    </row>
    <row r="16" spans="2:17" x14ac:dyDescent="0.3">
      <c r="B16" s="79"/>
      <c r="C16" s="79"/>
      <c r="D16" s="79"/>
      <c r="E16" s="79"/>
      <c r="F16" s="79"/>
      <c r="O16">
        <v>15</v>
      </c>
      <c r="P16">
        <v>85320</v>
      </c>
      <c r="Q16">
        <v>28280</v>
      </c>
    </row>
    <row r="17" spans="2:17" x14ac:dyDescent="0.3">
      <c r="B17" s="79"/>
      <c r="C17" s="79"/>
      <c r="D17" s="79"/>
      <c r="E17" s="79"/>
      <c r="F17" s="79"/>
      <c r="O17">
        <v>16</v>
      </c>
      <c r="P17">
        <v>45840</v>
      </c>
      <c r="Q17">
        <v>53060</v>
      </c>
    </row>
    <row r="18" spans="2:17" x14ac:dyDescent="0.3">
      <c r="B18" s="79"/>
      <c r="C18" s="79"/>
      <c r="D18" s="79"/>
      <c r="E18" s="79"/>
      <c r="F18" s="79"/>
      <c r="O18">
        <v>17</v>
      </c>
      <c r="P18">
        <v>86070</v>
      </c>
      <c r="Q18">
        <v>91595</v>
      </c>
    </row>
    <row r="19" spans="2:17" x14ac:dyDescent="0.3">
      <c r="B19" s="79"/>
      <c r="C19" s="79"/>
      <c r="D19" s="79"/>
      <c r="E19" s="79"/>
      <c r="F19" s="79"/>
      <c r="I19" t="s">
        <v>533</v>
      </c>
      <c r="J19" t="s">
        <v>534</v>
      </c>
      <c r="O19">
        <v>18</v>
      </c>
      <c r="P19">
        <v>101250</v>
      </c>
      <c r="Q19">
        <v>32235</v>
      </c>
    </row>
    <row r="20" spans="2:17" x14ac:dyDescent="0.3">
      <c r="B20" s="79"/>
      <c r="C20" s="79"/>
      <c r="D20" s="79"/>
      <c r="E20" s="79"/>
      <c r="F20" s="79"/>
      <c r="H20" t="s">
        <v>535</v>
      </c>
      <c r="I20">
        <f>AVERAGE(scenario_1)</f>
        <v>83028.600000000006</v>
      </c>
      <c r="J20">
        <f>AVERAGE(scenario_2)</f>
        <v>58891.28</v>
      </c>
      <c r="O20">
        <v>19</v>
      </c>
      <c r="P20">
        <v>69030</v>
      </c>
      <c r="Q20">
        <v>60060</v>
      </c>
    </row>
    <row r="21" spans="2:17" x14ac:dyDescent="0.3">
      <c r="B21" s="79"/>
      <c r="C21" s="79"/>
      <c r="D21" s="79"/>
      <c r="E21" s="79"/>
      <c r="F21" s="79"/>
      <c r="H21" t="s">
        <v>536</v>
      </c>
      <c r="I21">
        <f>MAX(scenario_1)</f>
        <v>147510</v>
      </c>
      <c r="J21">
        <f>MAX(scenario_2)</f>
        <v>138460</v>
      </c>
      <c r="O21">
        <v>20</v>
      </c>
      <c r="P21">
        <v>72810</v>
      </c>
      <c r="Q21">
        <v>57155</v>
      </c>
    </row>
    <row r="22" spans="2:17" x14ac:dyDescent="0.3">
      <c r="B22" s="79"/>
      <c r="C22" s="79"/>
      <c r="D22" s="79"/>
      <c r="E22" s="79"/>
      <c r="F22" s="79"/>
      <c r="H22" t="s">
        <v>537</v>
      </c>
      <c r="I22">
        <f>MIN(scenario_1)</f>
        <v>16920</v>
      </c>
      <c r="J22">
        <f>MIN(scenario_2)</f>
        <v>-16415</v>
      </c>
      <c r="O22">
        <v>21</v>
      </c>
      <c r="P22">
        <v>53760</v>
      </c>
      <c r="Q22">
        <v>-15435</v>
      </c>
    </row>
    <row r="23" spans="2:17" x14ac:dyDescent="0.3">
      <c r="B23" s="79"/>
      <c r="C23" s="79"/>
      <c r="D23" s="79"/>
      <c r="E23" s="79"/>
      <c r="F23" s="79"/>
      <c r="H23" t="s">
        <v>538</v>
      </c>
      <c r="I23">
        <f>COUNTIF(scenario_1,"&lt;0")</f>
        <v>0</v>
      </c>
      <c r="J23">
        <f>COUNTIF(scenario_2,"&lt;0")</f>
        <v>31</v>
      </c>
      <c r="O23">
        <v>22</v>
      </c>
      <c r="P23">
        <v>67830</v>
      </c>
      <c r="Q23">
        <v>89810</v>
      </c>
    </row>
    <row r="24" spans="2:17" x14ac:dyDescent="0.3">
      <c r="B24" s="79"/>
      <c r="C24" s="79"/>
      <c r="D24" s="79"/>
      <c r="E24" s="79"/>
      <c r="F24" s="79"/>
      <c r="O24">
        <v>23</v>
      </c>
      <c r="P24">
        <v>100050</v>
      </c>
      <c r="Q24">
        <v>91175</v>
      </c>
    </row>
    <row r="25" spans="2:17" x14ac:dyDescent="0.3">
      <c r="B25" s="79"/>
      <c r="C25" s="79"/>
      <c r="D25" s="79"/>
      <c r="E25" s="79"/>
      <c r="F25" s="79"/>
      <c r="O25">
        <v>24</v>
      </c>
      <c r="P25">
        <v>22800</v>
      </c>
      <c r="Q25">
        <v>7385</v>
      </c>
    </row>
    <row r="26" spans="2:17" x14ac:dyDescent="0.3">
      <c r="B26" s="79"/>
      <c r="C26" s="79"/>
      <c r="D26" s="79"/>
      <c r="E26" s="79"/>
      <c r="F26" s="79"/>
      <c r="O26">
        <v>25</v>
      </c>
      <c r="P26">
        <v>109440</v>
      </c>
      <c r="Q26">
        <v>-3885</v>
      </c>
    </row>
    <row r="27" spans="2:17" x14ac:dyDescent="0.3">
      <c r="O27">
        <v>26</v>
      </c>
      <c r="P27">
        <v>49230</v>
      </c>
      <c r="Q27">
        <v>47670</v>
      </c>
    </row>
    <row r="28" spans="2:17" x14ac:dyDescent="0.3">
      <c r="O28">
        <v>27</v>
      </c>
      <c r="P28">
        <v>48300</v>
      </c>
      <c r="Q28">
        <v>12880</v>
      </c>
    </row>
    <row r="29" spans="2:17" x14ac:dyDescent="0.3">
      <c r="O29">
        <v>28</v>
      </c>
      <c r="P29">
        <v>99660</v>
      </c>
      <c r="Q29">
        <v>56805</v>
      </c>
    </row>
    <row r="30" spans="2:17" x14ac:dyDescent="0.3">
      <c r="O30">
        <v>29</v>
      </c>
      <c r="P30">
        <v>27840</v>
      </c>
      <c r="Q30">
        <v>57995</v>
      </c>
    </row>
    <row r="31" spans="2:17" x14ac:dyDescent="0.3">
      <c r="O31">
        <v>30</v>
      </c>
      <c r="P31">
        <v>135750</v>
      </c>
      <c r="Q31">
        <v>55685</v>
      </c>
    </row>
    <row r="32" spans="2:17" x14ac:dyDescent="0.3">
      <c r="O32">
        <v>31</v>
      </c>
      <c r="P32">
        <v>64290</v>
      </c>
      <c r="Q32">
        <v>53095</v>
      </c>
    </row>
    <row r="33" spans="15:17" x14ac:dyDescent="0.3">
      <c r="O33">
        <v>32</v>
      </c>
      <c r="P33">
        <v>110910</v>
      </c>
      <c r="Q33">
        <v>62545</v>
      </c>
    </row>
    <row r="34" spans="15:17" x14ac:dyDescent="0.3">
      <c r="O34">
        <v>33</v>
      </c>
      <c r="P34">
        <v>54270</v>
      </c>
      <c r="Q34">
        <v>62650</v>
      </c>
    </row>
    <row r="35" spans="15:17" x14ac:dyDescent="0.3">
      <c r="O35">
        <v>34</v>
      </c>
      <c r="P35">
        <v>49500</v>
      </c>
      <c r="Q35">
        <v>65100</v>
      </c>
    </row>
    <row r="36" spans="15:17" x14ac:dyDescent="0.3">
      <c r="O36">
        <v>35</v>
      </c>
      <c r="P36">
        <v>105090</v>
      </c>
      <c r="Q36">
        <v>110250</v>
      </c>
    </row>
    <row r="37" spans="15:17" x14ac:dyDescent="0.3">
      <c r="O37">
        <v>36</v>
      </c>
      <c r="P37">
        <v>73500</v>
      </c>
      <c r="Q37">
        <v>-12740</v>
      </c>
    </row>
    <row r="38" spans="15:17" x14ac:dyDescent="0.3">
      <c r="O38">
        <v>37</v>
      </c>
      <c r="P38">
        <v>51960</v>
      </c>
      <c r="Q38">
        <v>100625</v>
      </c>
    </row>
    <row r="39" spans="15:17" x14ac:dyDescent="0.3">
      <c r="O39">
        <v>38</v>
      </c>
      <c r="P39">
        <v>28680</v>
      </c>
      <c r="Q39">
        <v>34545</v>
      </c>
    </row>
    <row r="40" spans="15:17" x14ac:dyDescent="0.3">
      <c r="O40">
        <v>39</v>
      </c>
      <c r="P40">
        <v>50220</v>
      </c>
      <c r="Q40">
        <v>56315</v>
      </c>
    </row>
    <row r="41" spans="15:17" x14ac:dyDescent="0.3">
      <c r="O41">
        <v>40</v>
      </c>
      <c r="P41">
        <v>49260</v>
      </c>
      <c r="Q41">
        <v>102235</v>
      </c>
    </row>
    <row r="42" spans="15:17" x14ac:dyDescent="0.3">
      <c r="O42">
        <v>41</v>
      </c>
      <c r="P42">
        <v>78060</v>
      </c>
      <c r="Q42">
        <v>65275</v>
      </c>
    </row>
    <row r="43" spans="15:17" x14ac:dyDescent="0.3">
      <c r="O43">
        <v>42</v>
      </c>
      <c r="P43">
        <v>23010</v>
      </c>
      <c r="Q43">
        <v>48720</v>
      </c>
    </row>
    <row r="44" spans="15:17" x14ac:dyDescent="0.3">
      <c r="O44">
        <v>43</v>
      </c>
      <c r="P44">
        <v>65310</v>
      </c>
      <c r="Q44">
        <v>134925</v>
      </c>
    </row>
    <row r="45" spans="15:17" x14ac:dyDescent="0.3">
      <c r="O45">
        <v>44</v>
      </c>
      <c r="P45">
        <v>90270</v>
      </c>
      <c r="Q45">
        <v>83930</v>
      </c>
    </row>
    <row r="46" spans="15:17" x14ac:dyDescent="0.3">
      <c r="O46">
        <v>45</v>
      </c>
      <c r="P46">
        <v>73590</v>
      </c>
      <c r="Q46">
        <v>16205</v>
      </c>
    </row>
    <row r="47" spans="15:17" x14ac:dyDescent="0.3">
      <c r="O47">
        <v>46</v>
      </c>
      <c r="P47">
        <v>94380</v>
      </c>
      <c r="Q47">
        <v>-1960</v>
      </c>
    </row>
    <row r="48" spans="15:17" x14ac:dyDescent="0.3">
      <c r="O48">
        <v>47</v>
      </c>
      <c r="P48">
        <v>105450</v>
      </c>
      <c r="Q48">
        <v>33390</v>
      </c>
    </row>
    <row r="49" spans="15:17" x14ac:dyDescent="0.3">
      <c r="O49">
        <v>48</v>
      </c>
      <c r="P49">
        <v>93210</v>
      </c>
      <c r="Q49">
        <v>49035</v>
      </c>
    </row>
    <row r="50" spans="15:17" x14ac:dyDescent="0.3">
      <c r="O50">
        <v>49</v>
      </c>
      <c r="P50">
        <v>117180</v>
      </c>
      <c r="Q50">
        <v>25480</v>
      </c>
    </row>
    <row r="51" spans="15:17" x14ac:dyDescent="0.3">
      <c r="O51">
        <v>50</v>
      </c>
      <c r="P51">
        <v>84030</v>
      </c>
      <c r="Q51">
        <v>68915</v>
      </c>
    </row>
    <row r="52" spans="15:17" x14ac:dyDescent="0.3">
      <c r="O52">
        <v>51</v>
      </c>
      <c r="P52">
        <v>124920</v>
      </c>
      <c r="Q52">
        <v>105350</v>
      </c>
    </row>
    <row r="53" spans="15:17" x14ac:dyDescent="0.3">
      <c r="O53">
        <v>52</v>
      </c>
      <c r="P53">
        <v>81990</v>
      </c>
      <c r="Q53">
        <v>37730</v>
      </c>
    </row>
    <row r="54" spans="15:17" x14ac:dyDescent="0.3">
      <c r="O54">
        <v>53</v>
      </c>
      <c r="P54">
        <v>104130</v>
      </c>
      <c r="Q54">
        <v>52500</v>
      </c>
    </row>
    <row r="55" spans="15:17" x14ac:dyDescent="0.3">
      <c r="O55">
        <v>54</v>
      </c>
      <c r="P55">
        <v>70650</v>
      </c>
      <c r="Q55">
        <v>18095</v>
      </c>
    </row>
    <row r="56" spans="15:17" x14ac:dyDescent="0.3">
      <c r="O56">
        <v>55</v>
      </c>
      <c r="P56">
        <v>61410</v>
      </c>
      <c r="Q56">
        <v>31570</v>
      </c>
    </row>
    <row r="57" spans="15:17" x14ac:dyDescent="0.3">
      <c r="O57">
        <v>56</v>
      </c>
      <c r="P57">
        <v>96360</v>
      </c>
      <c r="Q57">
        <v>30100</v>
      </c>
    </row>
    <row r="58" spans="15:17" x14ac:dyDescent="0.3">
      <c r="O58">
        <v>57</v>
      </c>
      <c r="P58">
        <v>60300</v>
      </c>
      <c r="Q58">
        <v>79240</v>
      </c>
    </row>
    <row r="59" spans="15:17" x14ac:dyDescent="0.3">
      <c r="O59">
        <v>58</v>
      </c>
      <c r="P59">
        <v>101100</v>
      </c>
      <c r="Q59">
        <v>62860</v>
      </c>
    </row>
    <row r="60" spans="15:17" x14ac:dyDescent="0.3">
      <c r="O60">
        <v>59</v>
      </c>
      <c r="P60">
        <v>111480</v>
      </c>
      <c r="Q60">
        <v>34300</v>
      </c>
    </row>
    <row r="61" spans="15:17" x14ac:dyDescent="0.3">
      <c r="O61">
        <v>60</v>
      </c>
      <c r="P61">
        <v>57300</v>
      </c>
      <c r="Q61">
        <v>26775</v>
      </c>
    </row>
    <row r="62" spans="15:17" x14ac:dyDescent="0.3">
      <c r="O62">
        <v>61</v>
      </c>
      <c r="P62">
        <v>140070</v>
      </c>
      <c r="Q62">
        <v>57540</v>
      </c>
    </row>
    <row r="63" spans="15:17" x14ac:dyDescent="0.3">
      <c r="O63">
        <v>62</v>
      </c>
      <c r="P63">
        <v>133230</v>
      </c>
      <c r="Q63">
        <v>40705</v>
      </c>
    </row>
    <row r="64" spans="15:17" x14ac:dyDescent="0.3">
      <c r="O64">
        <v>63</v>
      </c>
      <c r="P64">
        <v>55170</v>
      </c>
      <c r="Q64">
        <v>124110</v>
      </c>
    </row>
    <row r="65" spans="15:17" x14ac:dyDescent="0.3">
      <c r="O65">
        <v>64</v>
      </c>
      <c r="P65">
        <v>113550</v>
      </c>
      <c r="Q65">
        <v>71330</v>
      </c>
    </row>
    <row r="66" spans="15:17" x14ac:dyDescent="0.3">
      <c r="O66">
        <v>65</v>
      </c>
      <c r="P66">
        <v>41940</v>
      </c>
      <c r="Q66">
        <v>35210</v>
      </c>
    </row>
    <row r="67" spans="15:17" x14ac:dyDescent="0.3">
      <c r="O67">
        <v>66</v>
      </c>
      <c r="P67">
        <v>93330</v>
      </c>
      <c r="Q67">
        <v>97930</v>
      </c>
    </row>
    <row r="68" spans="15:17" x14ac:dyDescent="0.3">
      <c r="O68">
        <v>67</v>
      </c>
      <c r="P68">
        <v>85770</v>
      </c>
      <c r="Q68">
        <v>66780</v>
      </c>
    </row>
    <row r="69" spans="15:17" x14ac:dyDescent="0.3">
      <c r="O69">
        <v>68</v>
      </c>
      <c r="P69">
        <v>50640</v>
      </c>
      <c r="Q69">
        <v>29155</v>
      </c>
    </row>
    <row r="70" spans="15:17" x14ac:dyDescent="0.3">
      <c r="O70">
        <v>69</v>
      </c>
      <c r="P70">
        <v>73890</v>
      </c>
      <c r="Q70">
        <v>82075</v>
      </c>
    </row>
    <row r="71" spans="15:17" x14ac:dyDescent="0.3">
      <c r="O71">
        <v>70</v>
      </c>
      <c r="P71">
        <v>53190</v>
      </c>
      <c r="Q71">
        <v>4620</v>
      </c>
    </row>
    <row r="72" spans="15:17" x14ac:dyDescent="0.3">
      <c r="O72">
        <v>71</v>
      </c>
      <c r="P72">
        <v>62310</v>
      </c>
      <c r="Q72">
        <v>8120</v>
      </c>
    </row>
    <row r="73" spans="15:17" x14ac:dyDescent="0.3">
      <c r="O73">
        <v>72</v>
      </c>
      <c r="P73">
        <v>87540</v>
      </c>
      <c r="Q73">
        <v>27720</v>
      </c>
    </row>
    <row r="74" spans="15:17" x14ac:dyDescent="0.3">
      <c r="O74">
        <v>73</v>
      </c>
      <c r="P74">
        <v>41550</v>
      </c>
      <c r="Q74">
        <v>58695</v>
      </c>
    </row>
    <row r="75" spans="15:17" x14ac:dyDescent="0.3">
      <c r="O75">
        <v>74</v>
      </c>
      <c r="P75">
        <v>116250</v>
      </c>
      <c r="Q75">
        <v>39550</v>
      </c>
    </row>
    <row r="76" spans="15:17" x14ac:dyDescent="0.3">
      <c r="O76">
        <v>75</v>
      </c>
      <c r="P76">
        <v>108390</v>
      </c>
      <c r="Q76">
        <v>57365</v>
      </c>
    </row>
    <row r="77" spans="15:17" x14ac:dyDescent="0.3">
      <c r="O77">
        <v>76</v>
      </c>
      <c r="P77">
        <v>114540</v>
      </c>
      <c r="Q77">
        <v>52815</v>
      </c>
    </row>
    <row r="78" spans="15:17" x14ac:dyDescent="0.3">
      <c r="O78">
        <v>77</v>
      </c>
      <c r="P78">
        <v>88950</v>
      </c>
      <c r="Q78">
        <v>61075</v>
      </c>
    </row>
    <row r="79" spans="15:17" x14ac:dyDescent="0.3">
      <c r="O79">
        <v>78</v>
      </c>
      <c r="P79">
        <v>64710</v>
      </c>
      <c r="Q79">
        <v>54950</v>
      </c>
    </row>
    <row r="80" spans="15:17" x14ac:dyDescent="0.3">
      <c r="O80">
        <v>79</v>
      </c>
      <c r="P80">
        <v>92850</v>
      </c>
      <c r="Q80">
        <v>32305</v>
      </c>
    </row>
    <row r="81" spans="15:17" x14ac:dyDescent="0.3">
      <c r="O81">
        <v>80</v>
      </c>
      <c r="P81">
        <v>71130</v>
      </c>
      <c r="Q81">
        <v>37135</v>
      </c>
    </row>
    <row r="82" spans="15:17" x14ac:dyDescent="0.3">
      <c r="O82">
        <v>81</v>
      </c>
      <c r="P82">
        <v>51990</v>
      </c>
      <c r="Q82">
        <v>104650</v>
      </c>
    </row>
    <row r="83" spans="15:17" x14ac:dyDescent="0.3">
      <c r="O83">
        <v>82</v>
      </c>
      <c r="P83">
        <v>81390</v>
      </c>
      <c r="Q83">
        <v>70735</v>
      </c>
    </row>
    <row r="84" spans="15:17" x14ac:dyDescent="0.3">
      <c r="O84">
        <v>83</v>
      </c>
      <c r="P84">
        <v>61620</v>
      </c>
      <c r="Q84">
        <v>86800</v>
      </c>
    </row>
    <row r="85" spans="15:17" x14ac:dyDescent="0.3">
      <c r="O85">
        <v>84</v>
      </c>
      <c r="P85">
        <v>47550</v>
      </c>
      <c r="Q85">
        <v>83790</v>
      </c>
    </row>
    <row r="86" spans="15:17" x14ac:dyDescent="0.3">
      <c r="O86">
        <v>85</v>
      </c>
      <c r="P86">
        <v>42510</v>
      </c>
      <c r="Q86">
        <v>19320</v>
      </c>
    </row>
    <row r="87" spans="15:17" x14ac:dyDescent="0.3">
      <c r="O87">
        <v>86</v>
      </c>
      <c r="P87">
        <v>55410</v>
      </c>
      <c r="Q87">
        <v>71470</v>
      </c>
    </row>
    <row r="88" spans="15:17" x14ac:dyDescent="0.3">
      <c r="O88">
        <v>87</v>
      </c>
      <c r="P88">
        <v>63570</v>
      </c>
      <c r="Q88">
        <v>71610</v>
      </c>
    </row>
    <row r="89" spans="15:17" x14ac:dyDescent="0.3">
      <c r="O89">
        <v>88</v>
      </c>
      <c r="P89">
        <v>47490</v>
      </c>
      <c r="Q89">
        <v>80115</v>
      </c>
    </row>
    <row r="90" spans="15:17" x14ac:dyDescent="0.3">
      <c r="O90">
        <v>89</v>
      </c>
      <c r="P90">
        <v>85380</v>
      </c>
      <c r="Q90">
        <v>40810</v>
      </c>
    </row>
    <row r="91" spans="15:17" x14ac:dyDescent="0.3">
      <c r="O91">
        <v>90</v>
      </c>
      <c r="P91">
        <v>61860</v>
      </c>
      <c r="Q91">
        <v>29715</v>
      </c>
    </row>
    <row r="92" spans="15:17" x14ac:dyDescent="0.3">
      <c r="O92">
        <v>91</v>
      </c>
      <c r="P92">
        <v>81720</v>
      </c>
      <c r="Q92">
        <v>50715</v>
      </c>
    </row>
    <row r="93" spans="15:17" x14ac:dyDescent="0.3">
      <c r="O93">
        <v>92</v>
      </c>
      <c r="P93">
        <v>98070</v>
      </c>
      <c r="Q93">
        <v>37170</v>
      </c>
    </row>
    <row r="94" spans="15:17" x14ac:dyDescent="0.3">
      <c r="O94">
        <v>93</v>
      </c>
      <c r="P94">
        <v>106530</v>
      </c>
      <c r="Q94">
        <v>120085</v>
      </c>
    </row>
    <row r="95" spans="15:17" x14ac:dyDescent="0.3">
      <c r="O95">
        <v>94</v>
      </c>
      <c r="P95">
        <v>91920</v>
      </c>
      <c r="Q95">
        <v>6300</v>
      </c>
    </row>
    <row r="96" spans="15:17" x14ac:dyDescent="0.3">
      <c r="O96">
        <v>95</v>
      </c>
      <c r="P96">
        <v>71160</v>
      </c>
      <c r="Q96">
        <v>42070</v>
      </c>
    </row>
    <row r="97" spans="15:17" x14ac:dyDescent="0.3">
      <c r="O97">
        <v>96</v>
      </c>
      <c r="P97">
        <v>123330</v>
      </c>
      <c r="Q97">
        <v>68215</v>
      </c>
    </row>
    <row r="98" spans="15:17" x14ac:dyDescent="0.3">
      <c r="O98">
        <v>97</v>
      </c>
      <c r="P98">
        <v>119460</v>
      </c>
      <c r="Q98">
        <v>43015</v>
      </c>
    </row>
    <row r="99" spans="15:17" x14ac:dyDescent="0.3">
      <c r="O99">
        <v>98</v>
      </c>
      <c r="P99">
        <v>53850</v>
      </c>
      <c r="Q99">
        <v>33215</v>
      </c>
    </row>
    <row r="100" spans="15:17" x14ac:dyDescent="0.3">
      <c r="O100">
        <v>99</v>
      </c>
      <c r="P100">
        <v>88500</v>
      </c>
      <c r="Q100">
        <v>58660</v>
      </c>
    </row>
    <row r="101" spans="15:17" x14ac:dyDescent="0.3">
      <c r="O101">
        <v>100</v>
      </c>
      <c r="P101">
        <v>99750</v>
      </c>
      <c r="Q101">
        <v>97090</v>
      </c>
    </row>
    <row r="102" spans="15:17" x14ac:dyDescent="0.3">
      <c r="O102">
        <v>101</v>
      </c>
      <c r="P102">
        <v>24810</v>
      </c>
      <c r="Q102">
        <v>33460</v>
      </c>
    </row>
    <row r="103" spans="15:17" x14ac:dyDescent="0.3">
      <c r="O103">
        <v>102</v>
      </c>
      <c r="P103">
        <v>80910</v>
      </c>
      <c r="Q103">
        <v>-1610</v>
      </c>
    </row>
    <row r="104" spans="15:17" x14ac:dyDescent="0.3">
      <c r="O104">
        <v>103</v>
      </c>
      <c r="P104">
        <v>68400</v>
      </c>
      <c r="Q104">
        <v>128380</v>
      </c>
    </row>
    <row r="105" spans="15:17" x14ac:dyDescent="0.3">
      <c r="O105">
        <v>104</v>
      </c>
      <c r="P105">
        <v>67320</v>
      </c>
      <c r="Q105">
        <v>74935</v>
      </c>
    </row>
    <row r="106" spans="15:17" x14ac:dyDescent="0.3">
      <c r="O106">
        <v>105</v>
      </c>
      <c r="P106">
        <v>75690</v>
      </c>
      <c r="Q106">
        <v>75915</v>
      </c>
    </row>
    <row r="107" spans="15:17" x14ac:dyDescent="0.3">
      <c r="O107">
        <v>106</v>
      </c>
      <c r="P107">
        <v>42390</v>
      </c>
      <c r="Q107">
        <v>57680</v>
      </c>
    </row>
    <row r="108" spans="15:17" x14ac:dyDescent="0.3">
      <c r="O108">
        <v>107</v>
      </c>
      <c r="P108">
        <v>135030</v>
      </c>
      <c r="Q108">
        <v>41230</v>
      </c>
    </row>
    <row r="109" spans="15:17" x14ac:dyDescent="0.3">
      <c r="O109">
        <v>108</v>
      </c>
      <c r="P109">
        <v>112620</v>
      </c>
      <c r="Q109">
        <v>126455</v>
      </c>
    </row>
    <row r="110" spans="15:17" x14ac:dyDescent="0.3">
      <c r="O110">
        <v>109</v>
      </c>
      <c r="P110">
        <v>94140</v>
      </c>
      <c r="Q110">
        <v>75775</v>
      </c>
    </row>
    <row r="111" spans="15:17" x14ac:dyDescent="0.3">
      <c r="O111">
        <v>110</v>
      </c>
      <c r="P111">
        <v>45900</v>
      </c>
      <c r="Q111">
        <v>34860</v>
      </c>
    </row>
    <row r="112" spans="15:17" x14ac:dyDescent="0.3">
      <c r="O112">
        <v>111</v>
      </c>
      <c r="P112">
        <v>121800</v>
      </c>
      <c r="Q112">
        <v>17745</v>
      </c>
    </row>
    <row r="113" spans="15:17" x14ac:dyDescent="0.3">
      <c r="O113">
        <v>112</v>
      </c>
      <c r="P113">
        <v>93060</v>
      </c>
      <c r="Q113">
        <v>35945</v>
      </c>
    </row>
    <row r="114" spans="15:17" x14ac:dyDescent="0.3">
      <c r="O114">
        <v>113</v>
      </c>
      <c r="P114">
        <v>142530</v>
      </c>
      <c r="Q114">
        <v>33390</v>
      </c>
    </row>
    <row r="115" spans="15:17" x14ac:dyDescent="0.3">
      <c r="O115">
        <v>114</v>
      </c>
      <c r="P115">
        <v>65310</v>
      </c>
      <c r="Q115">
        <v>26285</v>
      </c>
    </row>
    <row r="116" spans="15:17" x14ac:dyDescent="0.3">
      <c r="O116">
        <v>115</v>
      </c>
      <c r="P116">
        <v>71730</v>
      </c>
      <c r="Q116">
        <v>89040</v>
      </c>
    </row>
    <row r="117" spans="15:17" x14ac:dyDescent="0.3">
      <c r="O117">
        <v>116</v>
      </c>
      <c r="P117">
        <v>100860</v>
      </c>
      <c r="Q117">
        <v>52010</v>
      </c>
    </row>
    <row r="118" spans="15:17" x14ac:dyDescent="0.3">
      <c r="O118">
        <v>117</v>
      </c>
      <c r="P118">
        <v>75450</v>
      </c>
      <c r="Q118">
        <v>1925</v>
      </c>
    </row>
    <row r="119" spans="15:17" x14ac:dyDescent="0.3">
      <c r="O119">
        <v>118</v>
      </c>
      <c r="P119">
        <v>100050</v>
      </c>
      <c r="Q119">
        <v>22960</v>
      </c>
    </row>
    <row r="120" spans="15:17" x14ac:dyDescent="0.3">
      <c r="O120">
        <v>119</v>
      </c>
      <c r="P120">
        <v>113970</v>
      </c>
      <c r="Q120">
        <v>78995</v>
      </c>
    </row>
    <row r="121" spans="15:17" x14ac:dyDescent="0.3">
      <c r="O121">
        <v>120</v>
      </c>
      <c r="P121">
        <v>119340</v>
      </c>
      <c r="Q121">
        <v>37030</v>
      </c>
    </row>
    <row r="122" spans="15:17" x14ac:dyDescent="0.3">
      <c r="O122">
        <v>121</v>
      </c>
      <c r="P122">
        <v>44190</v>
      </c>
      <c r="Q122">
        <v>42315</v>
      </c>
    </row>
    <row r="123" spans="15:17" x14ac:dyDescent="0.3">
      <c r="O123">
        <v>122</v>
      </c>
      <c r="P123">
        <v>80370</v>
      </c>
      <c r="Q123">
        <v>39340</v>
      </c>
    </row>
    <row r="124" spans="15:17" x14ac:dyDescent="0.3">
      <c r="O124">
        <v>123</v>
      </c>
      <c r="P124">
        <v>108900</v>
      </c>
      <c r="Q124">
        <v>35210</v>
      </c>
    </row>
    <row r="125" spans="15:17" x14ac:dyDescent="0.3">
      <c r="O125">
        <v>124</v>
      </c>
      <c r="P125">
        <v>98910</v>
      </c>
      <c r="Q125">
        <v>28525</v>
      </c>
    </row>
    <row r="126" spans="15:17" x14ac:dyDescent="0.3">
      <c r="O126">
        <v>125</v>
      </c>
      <c r="P126">
        <v>119700</v>
      </c>
      <c r="Q126">
        <v>84735</v>
      </c>
    </row>
    <row r="127" spans="15:17" x14ac:dyDescent="0.3">
      <c r="O127">
        <v>126</v>
      </c>
      <c r="P127">
        <v>116760</v>
      </c>
      <c r="Q127">
        <v>79380</v>
      </c>
    </row>
    <row r="128" spans="15:17" x14ac:dyDescent="0.3">
      <c r="O128">
        <v>127</v>
      </c>
      <c r="P128">
        <v>46770</v>
      </c>
      <c r="Q128">
        <v>84350</v>
      </c>
    </row>
    <row r="129" spans="15:17" x14ac:dyDescent="0.3">
      <c r="O129">
        <v>128</v>
      </c>
      <c r="P129">
        <v>107070</v>
      </c>
      <c r="Q129">
        <v>-9835</v>
      </c>
    </row>
    <row r="130" spans="15:17" x14ac:dyDescent="0.3">
      <c r="O130">
        <v>129</v>
      </c>
      <c r="P130">
        <v>87540</v>
      </c>
      <c r="Q130">
        <v>38395</v>
      </c>
    </row>
    <row r="131" spans="15:17" x14ac:dyDescent="0.3">
      <c r="O131">
        <v>130</v>
      </c>
      <c r="P131">
        <v>89070</v>
      </c>
      <c r="Q131">
        <v>3255</v>
      </c>
    </row>
    <row r="132" spans="15:17" x14ac:dyDescent="0.3">
      <c r="O132">
        <v>131</v>
      </c>
      <c r="P132">
        <v>52350</v>
      </c>
      <c r="Q132">
        <v>91910</v>
      </c>
    </row>
    <row r="133" spans="15:17" x14ac:dyDescent="0.3">
      <c r="O133">
        <v>132</v>
      </c>
      <c r="P133">
        <v>35070</v>
      </c>
      <c r="Q133">
        <v>74550</v>
      </c>
    </row>
    <row r="134" spans="15:17" x14ac:dyDescent="0.3">
      <c r="O134">
        <v>133</v>
      </c>
      <c r="P134">
        <v>84960</v>
      </c>
      <c r="Q134">
        <v>122465</v>
      </c>
    </row>
    <row r="135" spans="15:17" x14ac:dyDescent="0.3">
      <c r="O135">
        <v>134</v>
      </c>
      <c r="P135">
        <v>90450</v>
      </c>
      <c r="Q135">
        <v>24360</v>
      </c>
    </row>
    <row r="136" spans="15:17" x14ac:dyDescent="0.3">
      <c r="O136">
        <v>135</v>
      </c>
      <c r="P136">
        <v>104400</v>
      </c>
      <c r="Q136">
        <v>84945</v>
      </c>
    </row>
    <row r="137" spans="15:17" x14ac:dyDescent="0.3">
      <c r="O137">
        <v>136</v>
      </c>
      <c r="P137">
        <v>51990</v>
      </c>
      <c r="Q137">
        <v>46900</v>
      </c>
    </row>
    <row r="138" spans="15:17" x14ac:dyDescent="0.3">
      <c r="O138">
        <v>137</v>
      </c>
      <c r="P138">
        <v>106710</v>
      </c>
      <c r="Q138">
        <v>107380</v>
      </c>
    </row>
    <row r="139" spans="15:17" x14ac:dyDescent="0.3">
      <c r="O139">
        <v>138</v>
      </c>
      <c r="P139">
        <v>60120</v>
      </c>
      <c r="Q139">
        <v>113680</v>
      </c>
    </row>
    <row r="140" spans="15:17" x14ac:dyDescent="0.3">
      <c r="O140">
        <v>139</v>
      </c>
      <c r="P140">
        <v>78450</v>
      </c>
      <c r="Q140">
        <v>84350</v>
      </c>
    </row>
    <row r="141" spans="15:17" x14ac:dyDescent="0.3">
      <c r="O141">
        <v>140</v>
      </c>
      <c r="P141">
        <v>58530</v>
      </c>
      <c r="Q141">
        <v>100905</v>
      </c>
    </row>
    <row r="142" spans="15:17" x14ac:dyDescent="0.3">
      <c r="O142">
        <v>141</v>
      </c>
      <c r="P142">
        <v>38940</v>
      </c>
      <c r="Q142">
        <v>10465</v>
      </c>
    </row>
    <row r="143" spans="15:17" x14ac:dyDescent="0.3">
      <c r="O143">
        <v>142</v>
      </c>
      <c r="P143">
        <v>116580</v>
      </c>
      <c r="Q143">
        <v>100240</v>
      </c>
    </row>
    <row r="144" spans="15:17" x14ac:dyDescent="0.3">
      <c r="O144">
        <v>143</v>
      </c>
      <c r="P144">
        <v>112350</v>
      </c>
      <c r="Q144">
        <v>41860</v>
      </c>
    </row>
    <row r="145" spans="15:17" x14ac:dyDescent="0.3">
      <c r="O145">
        <v>144</v>
      </c>
      <c r="P145">
        <v>56520</v>
      </c>
      <c r="Q145">
        <v>56805</v>
      </c>
    </row>
    <row r="146" spans="15:17" x14ac:dyDescent="0.3">
      <c r="O146">
        <v>145</v>
      </c>
      <c r="P146">
        <v>75420</v>
      </c>
      <c r="Q146">
        <v>58100</v>
      </c>
    </row>
    <row r="147" spans="15:17" x14ac:dyDescent="0.3">
      <c r="O147">
        <v>146</v>
      </c>
      <c r="P147">
        <v>55020</v>
      </c>
      <c r="Q147">
        <v>24535</v>
      </c>
    </row>
    <row r="148" spans="15:17" x14ac:dyDescent="0.3">
      <c r="O148">
        <v>147</v>
      </c>
      <c r="P148">
        <v>114030</v>
      </c>
      <c r="Q148">
        <v>97160</v>
      </c>
    </row>
    <row r="149" spans="15:17" x14ac:dyDescent="0.3">
      <c r="O149">
        <v>148</v>
      </c>
      <c r="P149">
        <v>98580</v>
      </c>
      <c r="Q149">
        <v>25130</v>
      </c>
    </row>
    <row r="150" spans="15:17" x14ac:dyDescent="0.3">
      <c r="O150">
        <v>149</v>
      </c>
      <c r="P150">
        <v>57330</v>
      </c>
      <c r="Q150">
        <v>92470</v>
      </c>
    </row>
    <row r="151" spans="15:17" x14ac:dyDescent="0.3">
      <c r="O151">
        <v>150</v>
      </c>
      <c r="P151">
        <v>144480</v>
      </c>
      <c r="Q151">
        <v>41020</v>
      </c>
    </row>
    <row r="152" spans="15:17" x14ac:dyDescent="0.3">
      <c r="O152">
        <v>151</v>
      </c>
      <c r="P152">
        <v>90390</v>
      </c>
      <c r="Q152">
        <v>78820</v>
      </c>
    </row>
    <row r="153" spans="15:17" x14ac:dyDescent="0.3">
      <c r="O153">
        <v>152</v>
      </c>
      <c r="P153">
        <v>120450</v>
      </c>
      <c r="Q153">
        <v>62055</v>
      </c>
    </row>
    <row r="154" spans="15:17" x14ac:dyDescent="0.3">
      <c r="O154">
        <v>153</v>
      </c>
      <c r="P154">
        <v>52620</v>
      </c>
      <c r="Q154">
        <v>67340</v>
      </c>
    </row>
    <row r="155" spans="15:17" x14ac:dyDescent="0.3">
      <c r="O155">
        <v>154</v>
      </c>
      <c r="P155">
        <v>101190</v>
      </c>
      <c r="Q155">
        <v>103845</v>
      </c>
    </row>
    <row r="156" spans="15:17" x14ac:dyDescent="0.3">
      <c r="O156">
        <v>155</v>
      </c>
      <c r="P156">
        <v>33000</v>
      </c>
      <c r="Q156">
        <v>64190</v>
      </c>
    </row>
    <row r="157" spans="15:17" x14ac:dyDescent="0.3">
      <c r="O157">
        <v>156</v>
      </c>
      <c r="P157">
        <v>110100</v>
      </c>
      <c r="Q157">
        <v>15610</v>
      </c>
    </row>
    <row r="158" spans="15:17" x14ac:dyDescent="0.3">
      <c r="O158">
        <v>157</v>
      </c>
      <c r="P158">
        <v>93240</v>
      </c>
      <c r="Q158">
        <v>24850</v>
      </c>
    </row>
    <row r="159" spans="15:17" x14ac:dyDescent="0.3">
      <c r="O159">
        <v>158</v>
      </c>
      <c r="P159">
        <v>85110</v>
      </c>
      <c r="Q159">
        <v>105805</v>
      </c>
    </row>
    <row r="160" spans="15:17" x14ac:dyDescent="0.3">
      <c r="O160">
        <v>159</v>
      </c>
      <c r="P160">
        <v>111390</v>
      </c>
      <c r="Q160">
        <v>34825</v>
      </c>
    </row>
    <row r="161" spans="15:17" x14ac:dyDescent="0.3">
      <c r="O161">
        <v>160</v>
      </c>
      <c r="P161">
        <v>132660</v>
      </c>
      <c r="Q161">
        <v>126840</v>
      </c>
    </row>
    <row r="162" spans="15:17" x14ac:dyDescent="0.3">
      <c r="O162">
        <v>161</v>
      </c>
      <c r="P162">
        <v>69300</v>
      </c>
      <c r="Q162">
        <v>56630</v>
      </c>
    </row>
    <row r="163" spans="15:17" x14ac:dyDescent="0.3">
      <c r="O163">
        <v>162</v>
      </c>
      <c r="P163">
        <v>117810</v>
      </c>
      <c r="Q163">
        <v>27895</v>
      </c>
    </row>
    <row r="164" spans="15:17" x14ac:dyDescent="0.3">
      <c r="O164">
        <v>163</v>
      </c>
      <c r="P164">
        <v>118890</v>
      </c>
      <c r="Q164">
        <v>94150</v>
      </c>
    </row>
    <row r="165" spans="15:17" x14ac:dyDescent="0.3">
      <c r="O165">
        <v>164</v>
      </c>
      <c r="P165">
        <v>91590</v>
      </c>
      <c r="Q165">
        <v>69160</v>
      </c>
    </row>
    <row r="166" spans="15:17" x14ac:dyDescent="0.3">
      <c r="O166">
        <v>165</v>
      </c>
      <c r="P166">
        <v>61560</v>
      </c>
      <c r="Q166">
        <v>14665</v>
      </c>
    </row>
    <row r="167" spans="15:17" x14ac:dyDescent="0.3">
      <c r="O167">
        <v>166</v>
      </c>
      <c r="P167">
        <v>139230</v>
      </c>
      <c r="Q167">
        <v>8120</v>
      </c>
    </row>
    <row r="168" spans="15:17" x14ac:dyDescent="0.3">
      <c r="O168">
        <v>167</v>
      </c>
      <c r="P168">
        <v>127650</v>
      </c>
      <c r="Q168">
        <v>69755</v>
      </c>
    </row>
    <row r="169" spans="15:17" x14ac:dyDescent="0.3">
      <c r="O169">
        <v>168</v>
      </c>
      <c r="P169">
        <v>84060</v>
      </c>
      <c r="Q169">
        <v>5320</v>
      </c>
    </row>
    <row r="170" spans="15:17" x14ac:dyDescent="0.3">
      <c r="O170">
        <v>169</v>
      </c>
      <c r="P170">
        <v>54570</v>
      </c>
      <c r="Q170">
        <v>101885</v>
      </c>
    </row>
    <row r="171" spans="15:17" x14ac:dyDescent="0.3">
      <c r="O171">
        <v>170</v>
      </c>
      <c r="P171">
        <v>116880</v>
      </c>
      <c r="Q171">
        <v>18865</v>
      </c>
    </row>
    <row r="172" spans="15:17" x14ac:dyDescent="0.3">
      <c r="O172">
        <v>171</v>
      </c>
      <c r="P172">
        <v>56310</v>
      </c>
      <c r="Q172">
        <v>60690</v>
      </c>
    </row>
    <row r="173" spans="15:17" x14ac:dyDescent="0.3">
      <c r="O173">
        <v>172</v>
      </c>
      <c r="P173">
        <v>79920</v>
      </c>
      <c r="Q173">
        <v>86975</v>
      </c>
    </row>
    <row r="174" spans="15:17" x14ac:dyDescent="0.3">
      <c r="O174">
        <v>173</v>
      </c>
      <c r="P174">
        <v>123840</v>
      </c>
      <c r="Q174">
        <v>65065</v>
      </c>
    </row>
    <row r="175" spans="15:17" x14ac:dyDescent="0.3">
      <c r="O175">
        <v>174</v>
      </c>
      <c r="P175">
        <v>53730</v>
      </c>
      <c r="Q175">
        <v>50120</v>
      </c>
    </row>
    <row r="176" spans="15:17" x14ac:dyDescent="0.3">
      <c r="O176">
        <v>175</v>
      </c>
      <c r="P176">
        <v>106020</v>
      </c>
      <c r="Q176">
        <v>22750</v>
      </c>
    </row>
    <row r="177" spans="15:17" x14ac:dyDescent="0.3">
      <c r="O177">
        <v>176</v>
      </c>
      <c r="P177">
        <v>68310</v>
      </c>
      <c r="Q177">
        <v>92680</v>
      </c>
    </row>
    <row r="178" spans="15:17" x14ac:dyDescent="0.3">
      <c r="O178">
        <v>177</v>
      </c>
      <c r="P178">
        <v>107100</v>
      </c>
      <c r="Q178">
        <v>28280</v>
      </c>
    </row>
    <row r="179" spans="15:17" x14ac:dyDescent="0.3">
      <c r="O179">
        <v>178</v>
      </c>
      <c r="P179">
        <v>71820</v>
      </c>
      <c r="Q179">
        <v>60760</v>
      </c>
    </row>
    <row r="180" spans="15:17" x14ac:dyDescent="0.3">
      <c r="O180">
        <v>179</v>
      </c>
      <c r="P180">
        <v>79650</v>
      </c>
      <c r="Q180">
        <v>58485</v>
      </c>
    </row>
    <row r="181" spans="15:17" x14ac:dyDescent="0.3">
      <c r="O181">
        <v>180</v>
      </c>
      <c r="P181">
        <v>108480</v>
      </c>
      <c r="Q181">
        <v>-10220</v>
      </c>
    </row>
    <row r="182" spans="15:17" x14ac:dyDescent="0.3">
      <c r="O182">
        <v>181</v>
      </c>
      <c r="P182">
        <v>73530</v>
      </c>
      <c r="Q182">
        <v>315</v>
      </c>
    </row>
    <row r="183" spans="15:17" x14ac:dyDescent="0.3">
      <c r="O183">
        <v>182</v>
      </c>
      <c r="P183">
        <v>138450</v>
      </c>
      <c r="Q183">
        <v>46830</v>
      </c>
    </row>
    <row r="184" spans="15:17" x14ac:dyDescent="0.3">
      <c r="O184">
        <v>183</v>
      </c>
      <c r="P184">
        <v>95910</v>
      </c>
      <c r="Q184">
        <v>56175</v>
      </c>
    </row>
    <row r="185" spans="15:17" x14ac:dyDescent="0.3">
      <c r="O185">
        <v>184</v>
      </c>
      <c r="P185">
        <v>92040</v>
      </c>
      <c r="Q185">
        <v>80325</v>
      </c>
    </row>
    <row r="186" spans="15:17" x14ac:dyDescent="0.3">
      <c r="O186">
        <v>185</v>
      </c>
      <c r="P186">
        <v>73800</v>
      </c>
      <c r="Q186">
        <v>79555</v>
      </c>
    </row>
    <row r="187" spans="15:17" x14ac:dyDescent="0.3">
      <c r="O187">
        <v>186</v>
      </c>
      <c r="P187">
        <v>119250</v>
      </c>
      <c r="Q187">
        <v>82215</v>
      </c>
    </row>
    <row r="188" spans="15:17" x14ac:dyDescent="0.3">
      <c r="O188">
        <v>187</v>
      </c>
      <c r="P188">
        <v>99390</v>
      </c>
      <c r="Q188">
        <v>22330</v>
      </c>
    </row>
    <row r="189" spans="15:17" x14ac:dyDescent="0.3">
      <c r="O189">
        <v>188</v>
      </c>
      <c r="P189">
        <v>132240</v>
      </c>
      <c r="Q189">
        <v>50575</v>
      </c>
    </row>
    <row r="190" spans="15:17" x14ac:dyDescent="0.3">
      <c r="O190">
        <v>189</v>
      </c>
      <c r="P190">
        <v>81150</v>
      </c>
      <c r="Q190">
        <v>80500</v>
      </c>
    </row>
    <row r="191" spans="15:17" x14ac:dyDescent="0.3">
      <c r="O191">
        <v>190</v>
      </c>
      <c r="P191">
        <v>57990</v>
      </c>
      <c r="Q191">
        <v>38290</v>
      </c>
    </row>
    <row r="192" spans="15:17" x14ac:dyDescent="0.3">
      <c r="O192">
        <v>191</v>
      </c>
      <c r="P192">
        <v>62940</v>
      </c>
      <c r="Q192">
        <v>72695</v>
      </c>
    </row>
    <row r="193" spans="15:17" x14ac:dyDescent="0.3">
      <c r="O193">
        <v>192</v>
      </c>
      <c r="P193">
        <v>111060</v>
      </c>
      <c r="Q193">
        <v>70875</v>
      </c>
    </row>
    <row r="194" spans="15:17" x14ac:dyDescent="0.3">
      <c r="O194">
        <v>193</v>
      </c>
      <c r="P194">
        <v>96270</v>
      </c>
      <c r="Q194">
        <v>58240</v>
      </c>
    </row>
    <row r="195" spans="15:17" x14ac:dyDescent="0.3">
      <c r="O195">
        <v>194</v>
      </c>
      <c r="P195">
        <v>58470</v>
      </c>
      <c r="Q195">
        <v>64820</v>
      </c>
    </row>
    <row r="196" spans="15:17" x14ac:dyDescent="0.3">
      <c r="O196">
        <v>195</v>
      </c>
      <c r="P196">
        <v>114330</v>
      </c>
      <c r="Q196">
        <v>111615</v>
      </c>
    </row>
    <row r="197" spans="15:17" x14ac:dyDescent="0.3">
      <c r="O197">
        <v>196</v>
      </c>
      <c r="P197">
        <v>139080</v>
      </c>
      <c r="Q197">
        <v>24500</v>
      </c>
    </row>
    <row r="198" spans="15:17" x14ac:dyDescent="0.3">
      <c r="O198">
        <v>197</v>
      </c>
      <c r="P198">
        <v>104340</v>
      </c>
      <c r="Q198">
        <v>14630</v>
      </c>
    </row>
    <row r="199" spans="15:17" x14ac:dyDescent="0.3">
      <c r="O199">
        <v>198</v>
      </c>
      <c r="P199">
        <v>104970</v>
      </c>
      <c r="Q199">
        <v>22890</v>
      </c>
    </row>
    <row r="200" spans="15:17" x14ac:dyDescent="0.3">
      <c r="O200">
        <v>199</v>
      </c>
      <c r="P200">
        <v>75360</v>
      </c>
      <c r="Q200">
        <v>82215</v>
      </c>
    </row>
    <row r="201" spans="15:17" x14ac:dyDescent="0.3">
      <c r="O201">
        <v>200</v>
      </c>
      <c r="P201">
        <v>45510</v>
      </c>
      <c r="Q201">
        <v>78855</v>
      </c>
    </row>
    <row r="202" spans="15:17" x14ac:dyDescent="0.3">
      <c r="O202">
        <v>201</v>
      </c>
      <c r="P202">
        <v>48090</v>
      </c>
      <c r="Q202">
        <v>35070</v>
      </c>
    </row>
    <row r="203" spans="15:17" x14ac:dyDescent="0.3">
      <c r="O203">
        <v>202</v>
      </c>
      <c r="P203">
        <v>102600</v>
      </c>
      <c r="Q203">
        <v>51660</v>
      </c>
    </row>
    <row r="204" spans="15:17" x14ac:dyDescent="0.3">
      <c r="O204">
        <v>203</v>
      </c>
      <c r="P204">
        <v>142170</v>
      </c>
      <c r="Q204">
        <v>64085</v>
      </c>
    </row>
    <row r="205" spans="15:17" x14ac:dyDescent="0.3">
      <c r="O205">
        <v>204</v>
      </c>
      <c r="P205">
        <v>81240</v>
      </c>
      <c r="Q205">
        <v>19145</v>
      </c>
    </row>
    <row r="206" spans="15:17" x14ac:dyDescent="0.3">
      <c r="O206">
        <v>205</v>
      </c>
      <c r="P206">
        <v>61260</v>
      </c>
      <c r="Q206">
        <v>45080</v>
      </c>
    </row>
    <row r="207" spans="15:17" x14ac:dyDescent="0.3">
      <c r="O207">
        <v>206</v>
      </c>
      <c r="P207">
        <v>73290</v>
      </c>
      <c r="Q207">
        <v>91665</v>
      </c>
    </row>
    <row r="208" spans="15:17" x14ac:dyDescent="0.3">
      <c r="O208">
        <v>207</v>
      </c>
      <c r="P208">
        <v>39840</v>
      </c>
      <c r="Q208">
        <v>98840</v>
      </c>
    </row>
    <row r="209" spans="15:17" x14ac:dyDescent="0.3">
      <c r="O209">
        <v>208</v>
      </c>
      <c r="P209">
        <v>104970</v>
      </c>
      <c r="Q209">
        <v>62090</v>
      </c>
    </row>
    <row r="210" spans="15:17" x14ac:dyDescent="0.3">
      <c r="O210">
        <v>209</v>
      </c>
      <c r="P210">
        <v>70860</v>
      </c>
      <c r="Q210">
        <v>75775</v>
      </c>
    </row>
    <row r="211" spans="15:17" x14ac:dyDescent="0.3">
      <c r="O211">
        <v>210</v>
      </c>
      <c r="P211">
        <v>67020</v>
      </c>
      <c r="Q211">
        <v>120680</v>
      </c>
    </row>
    <row r="212" spans="15:17" x14ac:dyDescent="0.3">
      <c r="O212">
        <v>211</v>
      </c>
      <c r="P212">
        <v>60270</v>
      </c>
      <c r="Q212">
        <v>73290</v>
      </c>
    </row>
    <row r="213" spans="15:17" x14ac:dyDescent="0.3">
      <c r="O213">
        <v>212</v>
      </c>
      <c r="P213">
        <v>72570</v>
      </c>
      <c r="Q213">
        <v>42420</v>
      </c>
    </row>
    <row r="214" spans="15:17" x14ac:dyDescent="0.3">
      <c r="O214">
        <v>213</v>
      </c>
      <c r="P214">
        <v>54510</v>
      </c>
      <c r="Q214">
        <v>20965</v>
      </c>
    </row>
    <row r="215" spans="15:17" x14ac:dyDescent="0.3">
      <c r="O215">
        <v>214</v>
      </c>
      <c r="P215">
        <v>44370</v>
      </c>
      <c r="Q215">
        <v>65520</v>
      </c>
    </row>
    <row r="216" spans="15:17" x14ac:dyDescent="0.3">
      <c r="O216">
        <v>215</v>
      </c>
      <c r="P216">
        <v>96330</v>
      </c>
      <c r="Q216">
        <v>61145</v>
      </c>
    </row>
    <row r="217" spans="15:17" x14ac:dyDescent="0.3">
      <c r="O217">
        <v>216</v>
      </c>
      <c r="P217">
        <v>110940</v>
      </c>
      <c r="Q217">
        <v>58765</v>
      </c>
    </row>
    <row r="218" spans="15:17" x14ac:dyDescent="0.3">
      <c r="O218">
        <v>217</v>
      </c>
      <c r="P218">
        <v>120540</v>
      </c>
      <c r="Q218">
        <v>88270</v>
      </c>
    </row>
    <row r="219" spans="15:17" x14ac:dyDescent="0.3">
      <c r="O219">
        <v>218</v>
      </c>
      <c r="P219">
        <v>91620</v>
      </c>
      <c r="Q219">
        <v>77455</v>
      </c>
    </row>
    <row r="220" spans="15:17" x14ac:dyDescent="0.3">
      <c r="O220">
        <v>219</v>
      </c>
      <c r="P220">
        <v>110040</v>
      </c>
      <c r="Q220">
        <v>44905</v>
      </c>
    </row>
    <row r="221" spans="15:17" x14ac:dyDescent="0.3">
      <c r="O221">
        <v>220</v>
      </c>
      <c r="P221">
        <v>62700</v>
      </c>
      <c r="Q221">
        <v>95130</v>
      </c>
    </row>
    <row r="222" spans="15:17" x14ac:dyDescent="0.3">
      <c r="O222">
        <v>221</v>
      </c>
      <c r="P222">
        <v>124530</v>
      </c>
      <c r="Q222">
        <v>71120</v>
      </c>
    </row>
    <row r="223" spans="15:17" x14ac:dyDescent="0.3">
      <c r="O223">
        <v>222</v>
      </c>
      <c r="P223">
        <v>118050</v>
      </c>
      <c r="Q223">
        <v>22085</v>
      </c>
    </row>
    <row r="224" spans="15:17" x14ac:dyDescent="0.3">
      <c r="O224">
        <v>223</v>
      </c>
      <c r="P224">
        <v>52020</v>
      </c>
      <c r="Q224">
        <v>53480</v>
      </c>
    </row>
    <row r="225" spans="15:17" x14ac:dyDescent="0.3">
      <c r="O225">
        <v>224</v>
      </c>
      <c r="P225">
        <v>144480</v>
      </c>
      <c r="Q225">
        <v>67970</v>
      </c>
    </row>
    <row r="226" spans="15:17" x14ac:dyDescent="0.3">
      <c r="O226">
        <v>225</v>
      </c>
      <c r="P226">
        <v>141660</v>
      </c>
      <c r="Q226">
        <v>70560</v>
      </c>
    </row>
    <row r="227" spans="15:17" x14ac:dyDescent="0.3">
      <c r="O227">
        <v>226</v>
      </c>
      <c r="P227">
        <v>59070</v>
      </c>
      <c r="Q227">
        <v>35630</v>
      </c>
    </row>
    <row r="228" spans="15:17" x14ac:dyDescent="0.3">
      <c r="O228">
        <v>227</v>
      </c>
      <c r="P228">
        <v>100470</v>
      </c>
      <c r="Q228">
        <v>50155</v>
      </c>
    </row>
    <row r="229" spans="15:17" x14ac:dyDescent="0.3">
      <c r="O229">
        <v>228</v>
      </c>
      <c r="P229">
        <v>105660</v>
      </c>
      <c r="Q229">
        <v>61880</v>
      </c>
    </row>
    <row r="230" spans="15:17" x14ac:dyDescent="0.3">
      <c r="O230">
        <v>229</v>
      </c>
      <c r="P230">
        <v>122220</v>
      </c>
      <c r="Q230">
        <v>9730</v>
      </c>
    </row>
    <row r="231" spans="15:17" x14ac:dyDescent="0.3">
      <c r="O231">
        <v>230</v>
      </c>
      <c r="P231">
        <v>57480</v>
      </c>
      <c r="Q231">
        <v>54635</v>
      </c>
    </row>
    <row r="232" spans="15:17" x14ac:dyDescent="0.3">
      <c r="O232">
        <v>231</v>
      </c>
      <c r="P232">
        <v>65340</v>
      </c>
      <c r="Q232">
        <v>84630</v>
      </c>
    </row>
    <row r="233" spans="15:17" x14ac:dyDescent="0.3">
      <c r="O233">
        <v>232</v>
      </c>
      <c r="P233">
        <v>75990</v>
      </c>
      <c r="Q233">
        <v>46235</v>
      </c>
    </row>
    <row r="234" spans="15:17" x14ac:dyDescent="0.3">
      <c r="O234">
        <v>233</v>
      </c>
      <c r="P234">
        <v>97560</v>
      </c>
      <c r="Q234">
        <v>57155</v>
      </c>
    </row>
    <row r="235" spans="15:17" x14ac:dyDescent="0.3">
      <c r="O235">
        <v>234</v>
      </c>
      <c r="P235">
        <v>58380</v>
      </c>
      <c r="Q235">
        <v>29155</v>
      </c>
    </row>
    <row r="236" spans="15:17" x14ac:dyDescent="0.3">
      <c r="O236">
        <v>235</v>
      </c>
      <c r="P236">
        <v>91650</v>
      </c>
      <c r="Q236">
        <v>6440</v>
      </c>
    </row>
    <row r="237" spans="15:17" x14ac:dyDescent="0.3">
      <c r="O237">
        <v>236</v>
      </c>
      <c r="P237">
        <v>103650</v>
      </c>
      <c r="Q237">
        <v>54145</v>
      </c>
    </row>
    <row r="238" spans="15:17" x14ac:dyDescent="0.3">
      <c r="O238">
        <v>237</v>
      </c>
      <c r="P238">
        <v>75540</v>
      </c>
      <c r="Q238">
        <v>52780</v>
      </c>
    </row>
    <row r="239" spans="15:17" x14ac:dyDescent="0.3">
      <c r="O239">
        <v>238</v>
      </c>
      <c r="P239">
        <v>133590</v>
      </c>
      <c r="Q239">
        <v>47320</v>
      </c>
    </row>
    <row r="240" spans="15:17" x14ac:dyDescent="0.3">
      <c r="O240">
        <v>239</v>
      </c>
      <c r="P240">
        <v>61470</v>
      </c>
      <c r="Q240">
        <v>52255</v>
      </c>
    </row>
    <row r="241" spans="15:17" x14ac:dyDescent="0.3">
      <c r="O241">
        <v>240</v>
      </c>
      <c r="P241">
        <v>107820</v>
      </c>
      <c r="Q241">
        <v>15540</v>
      </c>
    </row>
    <row r="242" spans="15:17" x14ac:dyDescent="0.3">
      <c r="O242">
        <v>241</v>
      </c>
      <c r="P242">
        <v>54780</v>
      </c>
      <c r="Q242">
        <v>88025</v>
      </c>
    </row>
    <row r="243" spans="15:17" x14ac:dyDescent="0.3">
      <c r="O243">
        <v>242</v>
      </c>
      <c r="P243">
        <v>120990</v>
      </c>
      <c r="Q243">
        <v>73990</v>
      </c>
    </row>
    <row r="244" spans="15:17" x14ac:dyDescent="0.3">
      <c r="O244">
        <v>243</v>
      </c>
      <c r="P244">
        <v>47490</v>
      </c>
      <c r="Q244">
        <v>83930</v>
      </c>
    </row>
    <row r="245" spans="15:17" x14ac:dyDescent="0.3">
      <c r="O245">
        <v>244</v>
      </c>
      <c r="P245">
        <v>117150</v>
      </c>
      <c r="Q245">
        <v>46270</v>
      </c>
    </row>
    <row r="246" spans="15:17" x14ac:dyDescent="0.3">
      <c r="O246">
        <v>245</v>
      </c>
      <c r="P246">
        <v>99510</v>
      </c>
      <c r="Q246">
        <v>40215</v>
      </c>
    </row>
    <row r="247" spans="15:17" x14ac:dyDescent="0.3">
      <c r="O247">
        <v>246</v>
      </c>
      <c r="P247">
        <v>59370</v>
      </c>
      <c r="Q247">
        <v>110565</v>
      </c>
    </row>
    <row r="248" spans="15:17" x14ac:dyDescent="0.3">
      <c r="O248">
        <v>247</v>
      </c>
      <c r="P248">
        <v>42330</v>
      </c>
      <c r="Q248">
        <v>52570</v>
      </c>
    </row>
    <row r="249" spans="15:17" x14ac:dyDescent="0.3">
      <c r="O249">
        <v>248</v>
      </c>
      <c r="P249">
        <v>65580</v>
      </c>
      <c r="Q249">
        <v>17325</v>
      </c>
    </row>
    <row r="250" spans="15:17" x14ac:dyDescent="0.3">
      <c r="O250">
        <v>249</v>
      </c>
      <c r="P250">
        <v>40350</v>
      </c>
      <c r="Q250">
        <v>25900</v>
      </c>
    </row>
    <row r="251" spans="15:17" x14ac:dyDescent="0.3">
      <c r="O251">
        <v>250</v>
      </c>
      <c r="P251">
        <v>47700</v>
      </c>
      <c r="Q251">
        <v>97510</v>
      </c>
    </row>
    <row r="252" spans="15:17" x14ac:dyDescent="0.3">
      <c r="O252">
        <v>251</v>
      </c>
      <c r="P252">
        <v>77370</v>
      </c>
      <c r="Q252">
        <v>95200</v>
      </c>
    </row>
    <row r="253" spans="15:17" x14ac:dyDescent="0.3">
      <c r="O253">
        <v>252</v>
      </c>
      <c r="P253">
        <v>102510</v>
      </c>
      <c r="Q253">
        <v>52010</v>
      </c>
    </row>
    <row r="254" spans="15:17" x14ac:dyDescent="0.3">
      <c r="O254">
        <v>253</v>
      </c>
      <c r="P254">
        <v>77880</v>
      </c>
      <c r="Q254">
        <v>16100</v>
      </c>
    </row>
    <row r="255" spans="15:17" x14ac:dyDescent="0.3">
      <c r="O255">
        <v>254</v>
      </c>
      <c r="P255">
        <v>95310</v>
      </c>
      <c r="Q255">
        <v>92225</v>
      </c>
    </row>
    <row r="256" spans="15:17" x14ac:dyDescent="0.3">
      <c r="O256">
        <v>255</v>
      </c>
      <c r="P256">
        <v>79890</v>
      </c>
      <c r="Q256">
        <v>57540</v>
      </c>
    </row>
    <row r="257" spans="15:17" x14ac:dyDescent="0.3">
      <c r="O257">
        <v>256</v>
      </c>
      <c r="P257">
        <v>49530</v>
      </c>
      <c r="Q257">
        <v>42420</v>
      </c>
    </row>
    <row r="258" spans="15:17" x14ac:dyDescent="0.3">
      <c r="O258">
        <v>257</v>
      </c>
      <c r="P258">
        <v>73500</v>
      </c>
      <c r="Q258">
        <v>87395</v>
      </c>
    </row>
    <row r="259" spans="15:17" x14ac:dyDescent="0.3">
      <c r="O259">
        <v>258</v>
      </c>
      <c r="P259">
        <v>51930</v>
      </c>
      <c r="Q259">
        <v>42490</v>
      </c>
    </row>
    <row r="260" spans="15:17" x14ac:dyDescent="0.3">
      <c r="O260">
        <v>259</v>
      </c>
      <c r="P260">
        <v>106350</v>
      </c>
      <c r="Q260">
        <v>18270</v>
      </c>
    </row>
    <row r="261" spans="15:17" x14ac:dyDescent="0.3">
      <c r="O261">
        <v>260</v>
      </c>
      <c r="P261">
        <v>120330</v>
      </c>
      <c r="Q261">
        <v>68285</v>
      </c>
    </row>
    <row r="262" spans="15:17" x14ac:dyDescent="0.3">
      <c r="O262">
        <v>261</v>
      </c>
      <c r="P262">
        <v>81570</v>
      </c>
      <c r="Q262">
        <v>80535</v>
      </c>
    </row>
    <row r="263" spans="15:17" x14ac:dyDescent="0.3">
      <c r="O263">
        <v>262</v>
      </c>
      <c r="P263">
        <v>47520</v>
      </c>
      <c r="Q263">
        <v>115325</v>
      </c>
    </row>
    <row r="264" spans="15:17" x14ac:dyDescent="0.3">
      <c r="O264">
        <v>263</v>
      </c>
      <c r="P264">
        <v>51390</v>
      </c>
      <c r="Q264">
        <v>14630</v>
      </c>
    </row>
    <row r="265" spans="15:17" x14ac:dyDescent="0.3">
      <c r="O265">
        <v>264</v>
      </c>
      <c r="P265">
        <v>71460</v>
      </c>
      <c r="Q265">
        <v>111545</v>
      </c>
    </row>
    <row r="266" spans="15:17" x14ac:dyDescent="0.3">
      <c r="O266">
        <v>265</v>
      </c>
      <c r="P266">
        <v>45570</v>
      </c>
      <c r="Q266">
        <v>72730</v>
      </c>
    </row>
    <row r="267" spans="15:17" x14ac:dyDescent="0.3">
      <c r="O267">
        <v>266</v>
      </c>
      <c r="P267">
        <v>102300</v>
      </c>
      <c r="Q267">
        <v>138460</v>
      </c>
    </row>
    <row r="268" spans="15:17" x14ac:dyDescent="0.3">
      <c r="O268">
        <v>267</v>
      </c>
      <c r="P268">
        <v>42000</v>
      </c>
      <c r="Q268">
        <v>40005</v>
      </c>
    </row>
    <row r="269" spans="15:17" x14ac:dyDescent="0.3">
      <c r="O269">
        <v>268</v>
      </c>
      <c r="P269">
        <v>54450</v>
      </c>
      <c r="Q269">
        <v>58660</v>
      </c>
    </row>
    <row r="270" spans="15:17" x14ac:dyDescent="0.3">
      <c r="O270">
        <v>269</v>
      </c>
      <c r="P270">
        <v>133320</v>
      </c>
      <c r="Q270">
        <v>14175</v>
      </c>
    </row>
    <row r="271" spans="15:17" x14ac:dyDescent="0.3">
      <c r="O271">
        <v>270</v>
      </c>
      <c r="P271">
        <v>73950</v>
      </c>
      <c r="Q271">
        <v>58100</v>
      </c>
    </row>
    <row r="272" spans="15:17" x14ac:dyDescent="0.3">
      <c r="O272">
        <v>271</v>
      </c>
      <c r="P272">
        <v>102240</v>
      </c>
      <c r="Q272">
        <v>22085</v>
      </c>
    </row>
    <row r="273" spans="15:17" x14ac:dyDescent="0.3">
      <c r="O273">
        <v>272</v>
      </c>
      <c r="P273">
        <v>44850</v>
      </c>
      <c r="Q273">
        <v>37415</v>
      </c>
    </row>
    <row r="274" spans="15:17" x14ac:dyDescent="0.3">
      <c r="O274">
        <v>273</v>
      </c>
      <c r="P274">
        <v>87960</v>
      </c>
      <c r="Q274">
        <v>34895</v>
      </c>
    </row>
    <row r="275" spans="15:17" x14ac:dyDescent="0.3">
      <c r="O275">
        <v>274</v>
      </c>
      <c r="P275">
        <v>52200</v>
      </c>
      <c r="Q275">
        <v>86310</v>
      </c>
    </row>
    <row r="276" spans="15:17" x14ac:dyDescent="0.3">
      <c r="O276">
        <v>275</v>
      </c>
      <c r="P276">
        <v>107610</v>
      </c>
      <c r="Q276">
        <v>86870</v>
      </c>
    </row>
    <row r="277" spans="15:17" x14ac:dyDescent="0.3">
      <c r="O277">
        <v>276</v>
      </c>
      <c r="P277">
        <v>59280</v>
      </c>
      <c r="Q277">
        <v>72450</v>
      </c>
    </row>
    <row r="278" spans="15:17" x14ac:dyDescent="0.3">
      <c r="O278">
        <v>277</v>
      </c>
      <c r="P278">
        <v>80370</v>
      </c>
      <c r="Q278">
        <v>97475</v>
      </c>
    </row>
    <row r="279" spans="15:17" x14ac:dyDescent="0.3">
      <c r="O279">
        <v>278</v>
      </c>
      <c r="P279">
        <v>67890</v>
      </c>
      <c r="Q279">
        <v>122780</v>
      </c>
    </row>
    <row r="280" spans="15:17" x14ac:dyDescent="0.3">
      <c r="O280">
        <v>279</v>
      </c>
      <c r="P280">
        <v>44400</v>
      </c>
      <c r="Q280">
        <v>86695</v>
      </c>
    </row>
    <row r="281" spans="15:17" x14ac:dyDescent="0.3">
      <c r="O281">
        <v>280</v>
      </c>
      <c r="P281">
        <v>40080</v>
      </c>
      <c r="Q281">
        <v>10290</v>
      </c>
    </row>
    <row r="282" spans="15:17" x14ac:dyDescent="0.3">
      <c r="O282">
        <v>281</v>
      </c>
      <c r="P282">
        <v>111750</v>
      </c>
      <c r="Q282">
        <v>17990</v>
      </c>
    </row>
    <row r="283" spans="15:17" x14ac:dyDescent="0.3">
      <c r="O283">
        <v>282</v>
      </c>
      <c r="P283">
        <v>47910</v>
      </c>
      <c r="Q283">
        <v>49595</v>
      </c>
    </row>
    <row r="284" spans="15:17" x14ac:dyDescent="0.3">
      <c r="O284">
        <v>283</v>
      </c>
      <c r="P284">
        <v>68040</v>
      </c>
      <c r="Q284">
        <v>83615</v>
      </c>
    </row>
    <row r="285" spans="15:17" x14ac:dyDescent="0.3">
      <c r="O285">
        <v>284</v>
      </c>
      <c r="P285">
        <v>94620</v>
      </c>
      <c r="Q285">
        <v>33565</v>
      </c>
    </row>
    <row r="286" spans="15:17" x14ac:dyDescent="0.3">
      <c r="O286">
        <v>285</v>
      </c>
      <c r="P286">
        <v>110790</v>
      </c>
      <c r="Q286">
        <v>93765</v>
      </c>
    </row>
    <row r="287" spans="15:17" x14ac:dyDescent="0.3">
      <c r="O287">
        <v>286</v>
      </c>
      <c r="P287">
        <v>73080</v>
      </c>
      <c r="Q287">
        <v>87150</v>
      </c>
    </row>
    <row r="288" spans="15:17" x14ac:dyDescent="0.3">
      <c r="O288">
        <v>287</v>
      </c>
      <c r="P288">
        <v>123960</v>
      </c>
      <c r="Q288">
        <v>39935</v>
      </c>
    </row>
    <row r="289" spans="15:17" x14ac:dyDescent="0.3">
      <c r="O289">
        <v>288</v>
      </c>
      <c r="P289">
        <v>43710</v>
      </c>
      <c r="Q289">
        <v>10465</v>
      </c>
    </row>
    <row r="290" spans="15:17" x14ac:dyDescent="0.3">
      <c r="O290">
        <v>289</v>
      </c>
      <c r="P290">
        <v>50010</v>
      </c>
      <c r="Q290">
        <v>90440</v>
      </c>
    </row>
    <row r="291" spans="15:17" x14ac:dyDescent="0.3">
      <c r="O291">
        <v>290</v>
      </c>
      <c r="P291">
        <v>101310</v>
      </c>
      <c r="Q291">
        <v>12845</v>
      </c>
    </row>
    <row r="292" spans="15:17" x14ac:dyDescent="0.3">
      <c r="O292">
        <v>291</v>
      </c>
      <c r="P292">
        <v>127410</v>
      </c>
      <c r="Q292">
        <v>59675</v>
      </c>
    </row>
    <row r="293" spans="15:17" x14ac:dyDescent="0.3">
      <c r="O293">
        <v>292</v>
      </c>
      <c r="P293">
        <v>105870</v>
      </c>
      <c r="Q293">
        <v>70350</v>
      </c>
    </row>
    <row r="294" spans="15:17" x14ac:dyDescent="0.3">
      <c r="O294">
        <v>293</v>
      </c>
      <c r="P294">
        <v>70680</v>
      </c>
      <c r="Q294">
        <v>112315</v>
      </c>
    </row>
    <row r="295" spans="15:17" x14ac:dyDescent="0.3">
      <c r="O295">
        <v>294</v>
      </c>
      <c r="P295">
        <v>81930</v>
      </c>
      <c r="Q295">
        <v>77035</v>
      </c>
    </row>
    <row r="296" spans="15:17" x14ac:dyDescent="0.3">
      <c r="O296">
        <v>295</v>
      </c>
      <c r="P296">
        <v>96570</v>
      </c>
      <c r="Q296">
        <v>-16415</v>
      </c>
    </row>
    <row r="297" spans="15:17" x14ac:dyDescent="0.3">
      <c r="O297">
        <v>296</v>
      </c>
      <c r="P297">
        <v>98400</v>
      </c>
      <c r="Q297">
        <v>83790</v>
      </c>
    </row>
    <row r="298" spans="15:17" x14ac:dyDescent="0.3">
      <c r="O298">
        <v>297</v>
      </c>
      <c r="P298">
        <v>64530</v>
      </c>
      <c r="Q298">
        <v>27405</v>
      </c>
    </row>
    <row r="299" spans="15:17" x14ac:dyDescent="0.3">
      <c r="O299">
        <v>298</v>
      </c>
      <c r="P299">
        <v>94230</v>
      </c>
      <c r="Q299">
        <v>111825</v>
      </c>
    </row>
    <row r="300" spans="15:17" x14ac:dyDescent="0.3">
      <c r="O300">
        <v>299</v>
      </c>
      <c r="P300">
        <v>79560</v>
      </c>
      <c r="Q300">
        <v>106295</v>
      </c>
    </row>
    <row r="301" spans="15:17" x14ac:dyDescent="0.3">
      <c r="O301">
        <v>300</v>
      </c>
      <c r="P301">
        <v>67470</v>
      </c>
      <c r="Q301">
        <v>42210</v>
      </c>
    </row>
    <row r="302" spans="15:17" x14ac:dyDescent="0.3">
      <c r="O302">
        <v>301</v>
      </c>
      <c r="P302">
        <v>65970</v>
      </c>
      <c r="Q302">
        <v>105665</v>
      </c>
    </row>
    <row r="303" spans="15:17" x14ac:dyDescent="0.3">
      <c r="O303">
        <v>302</v>
      </c>
      <c r="P303">
        <v>67740</v>
      </c>
      <c r="Q303">
        <v>53410</v>
      </c>
    </row>
    <row r="304" spans="15:17" x14ac:dyDescent="0.3">
      <c r="O304">
        <v>303</v>
      </c>
      <c r="P304">
        <v>48120</v>
      </c>
      <c r="Q304">
        <v>52010</v>
      </c>
    </row>
    <row r="305" spans="15:17" x14ac:dyDescent="0.3">
      <c r="O305">
        <v>304</v>
      </c>
      <c r="P305">
        <v>99720</v>
      </c>
      <c r="Q305">
        <v>68705</v>
      </c>
    </row>
    <row r="306" spans="15:17" x14ac:dyDescent="0.3">
      <c r="O306">
        <v>305</v>
      </c>
      <c r="P306">
        <v>139710</v>
      </c>
      <c r="Q306">
        <v>57260</v>
      </c>
    </row>
    <row r="307" spans="15:17" x14ac:dyDescent="0.3">
      <c r="O307">
        <v>306</v>
      </c>
      <c r="P307">
        <v>85560</v>
      </c>
      <c r="Q307">
        <v>35245</v>
      </c>
    </row>
    <row r="308" spans="15:17" x14ac:dyDescent="0.3">
      <c r="O308">
        <v>307</v>
      </c>
      <c r="P308">
        <v>72870</v>
      </c>
      <c r="Q308">
        <v>96705</v>
      </c>
    </row>
    <row r="309" spans="15:17" x14ac:dyDescent="0.3">
      <c r="O309">
        <v>308</v>
      </c>
      <c r="P309">
        <v>17730</v>
      </c>
      <c r="Q309">
        <v>73745</v>
      </c>
    </row>
    <row r="310" spans="15:17" x14ac:dyDescent="0.3">
      <c r="O310">
        <v>309</v>
      </c>
      <c r="P310">
        <v>60240</v>
      </c>
      <c r="Q310">
        <v>79590</v>
      </c>
    </row>
    <row r="311" spans="15:17" x14ac:dyDescent="0.3">
      <c r="O311">
        <v>310</v>
      </c>
      <c r="P311">
        <v>38970</v>
      </c>
      <c r="Q311">
        <v>16765</v>
      </c>
    </row>
    <row r="312" spans="15:17" x14ac:dyDescent="0.3">
      <c r="O312">
        <v>311</v>
      </c>
      <c r="P312">
        <v>53670</v>
      </c>
      <c r="Q312">
        <v>35875</v>
      </c>
    </row>
    <row r="313" spans="15:17" x14ac:dyDescent="0.3">
      <c r="O313">
        <v>312</v>
      </c>
      <c r="P313">
        <v>141300</v>
      </c>
      <c r="Q313">
        <v>61915</v>
      </c>
    </row>
    <row r="314" spans="15:17" x14ac:dyDescent="0.3">
      <c r="O314">
        <v>313</v>
      </c>
      <c r="P314">
        <v>95100</v>
      </c>
      <c r="Q314">
        <v>13195</v>
      </c>
    </row>
    <row r="315" spans="15:17" x14ac:dyDescent="0.3">
      <c r="O315">
        <v>314</v>
      </c>
      <c r="P315">
        <v>58500</v>
      </c>
      <c r="Q315">
        <v>61355</v>
      </c>
    </row>
    <row r="316" spans="15:17" x14ac:dyDescent="0.3">
      <c r="O316">
        <v>315</v>
      </c>
      <c r="P316">
        <v>97080</v>
      </c>
      <c r="Q316">
        <v>59430</v>
      </c>
    </row>
    <row r="317" spans="15:17" x14ac:dyDescent="0.3">
      <c r="O317">
        <v>316</v>
      </c>
      <c r="P317">
        <v>78480</v>
      </c>
      <c r="Q317">
        <v>89565</v>
      </c>
    </row>
    <row r="318" spans="15:17" x14ac:dyDescent="0.3">
      <c r="O318">
        <v>317</v>
      </c>
      <c r="P318">
        <v>53820</v>
      </c>
      <c r="Q318">
        <v>87325</v>
      </c>
    </row>
    <row r="319" spans="15:17" x14ac:dyDescent="0.3">
      <c r="O319">
        <v>318</v>
      </c>
      <c r="P319">
        <v>51390</v>
      </c>
      <c r="Q319">
        <v>45535</v>
      </c>
    </row>
    <row r="320" spans="15:17" x14ac:dyDescent="0.3">
      <c r="O320">
        <v>319</v>
      </c>
      <c r="P320">
        <v>111300</v>
      </c>
      <c r="Q320">
        <v>79730</v>
      </c>
    </row>
    <row r="321" spans="15:17" x14ac:dyDescent="0.3">
      <c r="O321">
        <v>320</v>
      </c>
      <c r="P321">
        <v>45420</v>
      </c>
      <c r="Q321">
        <v>49945</v>
      </c>
    </row>
    <row r="322" spans="15:17" x14ac:dyDescent="0.3">
      <c r="O322">
        <v>321</v>
      </c>
      <c r="P322">
        <v>63900</v>
      </c>
      <c r="Q322">
        <v>28455</v>
      </c>
    </row>
    <row r="323" spans="15:17" x14ac:dyDescent="0.3">
      <c r="O323">
        <v>322</v>
      </c>
      <c r="P323">
        <v>74070</v>
      </c>
      <c r="Q323">
        <v>33390</v>
      </c>
    </row>
    <row r="324" spans="15:17" x14ac:dyDescent="0.3">
      <c r="O324">
        <v>323</v>
      </c>
      <c r="P324">
        <v>106950</v>
      </c>
      <c r="Q324">
        <v>95060</v>
      </c>
    </row>
    <row r="325" spans="15:17" x14ac:dyDescent="0.3">
      <c r="O325">
        <v>324</v>
      </c>
      <c r="P325">
        <v>22740</v>
      </c>
      <c r="Q325">
        <v>85330</v>
      </c>
    </row>
    <row r="326" spans="15:17" x14ac:dyDescent="0.3">
      <c r="O326">
        <v>325</v>
      </c>
      <c r="P326">
        <v>40470</v>
      </c>
      <c r="Q326">
        <v>10220</v>
      </c>
    </row>
    <row r="327" spans="15:17" x14ac:dyDescent="0.3">
      <c r="O327">
        <v>326</v>
      </c>
      <c r="P327">
        <v>84900</v>
      </c>
      <c r="Q327">
        <v>32900</v>
      </c>
    </row>
    <row r="328" spans="15:17" x14ac:dyDescent="0.3">
      <c r="O328">
        <v>327</v>
      </c>
      <c r="P328">
        <v>91890</v>
      </c>
      <c r="Q328">
        <v>115955</v>
      </c>
    </row>
    <row r="329" spans="15:17" x14ac:dyDescent="0.3">
      <c r="O329">
        <v>328</v>
      </c>
      <c r="P329">
        <v>121860</v>
      </c>
      <c r="Q329">
        <v>57855</v>
      </c>
    </row>
    <row r="330" spans="15:17" x14ac:dyDescent="0.3">
      <c r="O330">
        <v>329</v>
      </c>
      <c r="P330">
        <v>85920</v>
      </c>
      <c r="Q330">
        <v>89285</v>
      </c>
    </row>
    <row r="331" spans="15:17" x14ac:dyDescent="0.3">
      <c r="O331">
        <v>330</v>
      </c>
      <c r="P331">
        <v>62940</v>
      </c>
      <c r="Q331">
        <v>34055</v>
      </c>
    </row>
    <row r="332" spans="15:17" x14ac:dyDescent="0.3">
      <c r="O332">
        <v>331</v>
      </c>
      <c r="P332">
        <v>45360</v>
      </c>
      <c r="Q332">
        <v>106190</v>
      </c>
    </row>
    <row r="333" spans="15:17" x14ac:dyDescent="0.3">
      <c r="O333">
        <v>332</v>
      </c>
      <c r="P333">
        <v>82020</v>
      </c>
      <c r="Q333">
        <v>106925</v>
      </c>
    </row>
    <row r="334" spans="15:17" x14ac:dyDescent="0.3">
      <c r="O334">
        <v>333</v>
      </c>
      <c r="P334">
        <v>35790</v>
      </c>
      <c r="Q334">
        <v>27090</v>
      </c>
    </row>
    <row r="335" spans="15:17" x14ac:dyDescent="0.3">
      <c r="O335">
        <v>334</v>
      </c>
      <c r="P335">
        <v>43500</v>
      </c>
      <c r="Q335">
        <v>85750</v>
      </c>
    </row>
    <row r="336" spans="15:17" x14ac:dyDescent="0.3">
      <c r="O336">
        <v>335</v>
      </c>
      <c r="P336">
        <v>107790</v>
      </c>
      <c r="Q336">
        <v>21315</v>
      </c>
    </row>
    <row r="337" spans="15:17" x14ac:dyDescent="0.3">
      <c r="O337">
        <v>336</v>
      </c>
      <c r="P337">
        <v>38850</v>
      </c>
      <c r="Q337">
        <v>93100</v>
      </c>
    </row>
    <row r="338" spans="15:17" x14ac:dyDescent="0.3">
      <c r="O338">
        <v>337</v>
      </c>
      <c r="P338">
        <v>93900</v>
      </c>
      <c r="Q338">
        <v>42735</v>
      </c>
    </row>
    <row r="339" spans="15:17" x14ac:dyDescent="0.3">
      <c r="O339">
        <v>338</v>
      </c>
      <c r="P339">
        <v>91080</v>
      </c>
      <c r="Q339">
        <v>56945</v>
      </c>
    </row>
    <row r="340" spans="15:17" x14ac:dyDescent="0.3">
      <c r="O340">
        <v>339</v>
      </c>
      <c r="P340">
        <v>104850</v>
      </c>
      <c r="Q340">
        <v>15295</v>
      </c>
    </row>
    <row r="341" spans="15:17" x14ac:dyDescent="0.3">
      <c r="O341">
        <v>340</v>
      </c>
      <c r="P341">
        <v>137610</v>
      </c>
      <c r="Q341">
        <v>46585</v>
      </c>
    </row>
    <row r="342" spans="15:17" x14ac:dyDescent="0.3">
      <c r="O342">
        <v>341</v>
      </c>
      <c r="P342">
        <v>116880</v>
      </c>
      <c r="Q342">
        <v>100345</v>
      </c>
    </row>
    <row r="343" spans="15:17" x14ac:dyDescent="0.3">
      <c r="O343">
        <v>342</v>
      </c>
      <c r="P343">
        <v>73380</v>
      </c>
      <c r="Q343">
        <v>93485</v>
      </c>
    </row>
    <row r="344" spans="15:17" x14ac:dyDescent="0.3">
      <c r="O344">
        <v>343</v>
      </c>
      <c r="P344">
        <v>67710</v>
      </c>
      <c r="Q344">
        <v>6265</v>
      </c>
    </row>
    <row r="345" spans="15:17" x14ac:dyDescent="0.3">
      <c r="O345">
        <v>344</v>
      </c>
      <c r="P345">
        <v>69390</v>
      </c>
      <c r="Q345">
        <v>87500</v>
      </c>
    </row>
    <row r="346" spans="15:17" x14ac:dyDescent="0.3">
      <c r="O346">
        <v>345</v>
      </c>
      <c r="P346">
        <v>99840</v>
      </c>
      <c r="Q346">
        <v>111195</v>
      </c>
    </row>
    <row r="347" spans="15:17" x14ac:dyDescent="0.3">
      <c r="O347">
        <v>346</v>
      </c>
      <c r="P347">
        <v>90780</v>
      </c>
      <c r="Q347">
        <v>50015</v>
      </c>
    </row>
    <row r="348" spans="15:17" x14ac:dyDescent="0.3">
      <c r="O348">
        <v>347</v>
      </c>
      <c r="P348">
        <v>127200</v>
      </c>
      <c r="Q348">
        <v>121520</v>
      </c>
    </row>
    <row r="349" spans="15:17" x14ac:dyDescent="0.3">
      <c r="O349">
        <v>348</v>
      </c>
      <c r="P349">
        <v>53790</v>
      </c>
      <c r="Q349">
        <v>55160</v>
      </c>
    </row>
    <row r="350" spans="15:17" x14ac:dyDescent="0.3">
      <c r="O350">
        <v>349</v>
      </c>
      <c r="P350">
        <v>86490</v>
      </c>
      <c r="Q350">
        <v>75425</v>
      </c>
    </row>
    <row r="351" spans="15:17" x14ac:dyDescent="0.3">
      <c r="O351">
        <v>350</v>
      </c>
      <c r="P351">
        <v>89070</v>
      </c>
      <c r="Q351">
        <v>90930</v>
      </c>
    </row>
    <row r="352" spans="15:17" x14ac:dyDescent="0.3">
      <c r="O352">
        <v>351</v>
      </c>
      <c r="P352">
        <v>47670</v>
      </c>
      <c r="Q352">
        <v>52745</v>
      </c>
    </row>
    <row r="353" spans="15:17" x14ac:dyDescent="0.3">
      <c r="O353">
        <v>352</v>
      </c>
      <c r="P353">
        <v>32730</v>
      </c>
      <c r="Q353">
        <v>107345</v>
      </c>
    </row>
    <row r="354" spans="15:17" x14ac:dyDescent="0.3">
      <c r="O354">
        <v>353</v>
      </c>
      <c r="P354">
        <v>93420</v>
      </c>
      <c r="Q354">
        <v>59605</v>
      </c>
    </row>
    <row r="355" spans="15:17" x14ac:dyDescent="0.3">
      <c r="O355">
        <v>354</v>
      </c>
      <c r="P355">
        <v>140520</v>
      </c>
      <c r="Q355">
        <v>53620</v>
      </c>
    </row>
    <row r="356" spans="15:17" x14ac:dyDescent="0.3">
      <c r="O356">
        <v>355</v>
      </c>
      <c r="P356">
        <v>69180</v>
      </c>
      <c r="Q356">
        <v>2800</v>
      </c>
    </row>
    <row r="357" spans="15:17" x14ac:dyDescent="0.3">
      <c r="O357">
        <v>356</v>
      </c>
      <c r="P357">
        <v>110100</v>
      </c>
      <c r="Q357">
        <v>55580</v>
      </c>
    </row>
    <row r="358" spans="15:17" x14ac:dyDescent="0.3">
      <c r="O358">
        <v>357</v>
      </c>
      <c r="P358">
        <v>99930</v>
      </c>
      <c r="Q358">
        <v>90790</v>
      </c>
    </row>
    <row r="359" spans="15:17" x14ac:dyDescent="0.3">
      <c r="O359">
        <v>358</v>
      </c>
      <c r="P359">
        <v>33780</v>
      </c>
      <c r="Q359">
        <v>83300</v>
      </c>
    </row>
    <row r="360" spans="15:17" x14ac:dyDescent="0.3">
      <c r="O360">
        <v>359</v>
      </c>
      <c r="P360">
        <v>122970</v>
      </c>
      <c r="Q360">
        <v>32480</v>
      </c>
    </row>
    <row r="361" spans="15:17" x14ac:dyDescent="0.3">
      <c r="O361">
        <v>360</v>
      </c>
      <c r="P361">
        <v>108120</v>
      </c>
      <c r="Q361">
        <v>31920</v>
      </c>
    </row>
    <row r="362" spans="15:17" x14ac:dyDescent="0.3">
      <c r="O362">
        <v>361</v>
      </c>
      <c r="P362">
        <v>54060</v>
      </c>
      <c r="Q362">
        <v>85330</v>
      </c>
    </row>
    <row r="363" spans="15:17" x14ac:dyDescent="0.3">
      <c r="O363">
        <v>362</v>
      </c>
      <c r="P363">
        <v>113640</v>
      </c>
      <c r="Q363">
        <v>62370</v>
      </c>
    </row>
    <row r="364" spans="15:17" x14ac:dyDescent="0.3">
      <c r="O364">
        <v>363</v>
      </c>
      <c r="P364">
        <v>116430</v>
      </c>
      <c r="Q364">
        <v>61670</v>
      </c>
    </row>
    <row r="365" spans="15:17" x14ac:dyDescent="0.3">
      <c r="O365">
        <v>364</v>
      </c>
      <c r="P365">
        <v>88080</v>
      </c>
      <c r="Q365">
        <v>51310</v>
      </c>
    </row>
    <row r="366" spans="15:17" x14ac:dyDescent="0.3">
      <c r="O366">
        <v>365</v>
      </c>
      <c r="P366">
        <v>57660</v>
      </c>
      <c r="Q366">
        <v>63525</v>
      </c>
    </row>
    <row r="367" spans="15:17" x14ac:dyDescent="0.3">
      <c r="O367">
        <v>366</v>
      </c>
      <c r="P367">
        <v>84540</v>
      </c>
      <c r="Q367">
        <v>78470</v>
      </c>
    </row>
    <row r="368" spans="15:17" x14ac:dyDescent="0.3">
      <c r="O368">
        <v>367</v>
      </c>
      <c r="P368">
        <v>107010</v>
      </c>
      <c r="Q368">
        <v>90965</v>
      </c>
    </row>
    <row r="369" spans="15:17" x14ac:dyDescent="0.3">
      <c r="O369">
        <v>368</v>
      </c>
      <c r="P369">
        <v>82350</v>
      </c>
      <c r="Q369">
        <v>85120</v>
      </c>
    </row>
    <row r="370" spans="15:17" x14ac:dyDescent="0.3">
      <c r="O370">
        <v>369</v>
      </c>
      <c r="P370">
        <v>109020</v>
      </c>
      <c r="Q370">
        <v>18445</v>
      </c>
    </row>
    <row r="371" spans="15:17" x14ac:dyDescent="0.3">
      <c r="O371">
        <v>370</v>
      </c>
      <c r="P371">
        <v>108630</v>
      </c>
      <c r="Q371">
        <v>4305</v>
      </c>
    </row>
    <row r="372" spans="15:17" x14ac:dyDescent="0.3">
      <c r="O372">
        <v>371</v>
      </c>
      <c r="P372">
        <v>39480</v>
      </c>
      <c r="Q372">
        <v>-15085</v>
      </c>
    </row>
    <row r="373" spans="15:17" x14ac:dyDescent="0.3">
      <c r="O373">
        <v>372</v>
      </c>
      <c r="P373">
        <v>116760</v>
      </c>
      <c r="Q373">
        <v>46235</v>
      </c>
    </row>
    <row r="374" spans="15:17" x14ac:dyDescent="0.3">
      <c r="O374">
        <v>373</v>
      </c>
      <c r="P374">
        <v>105780</v>
      </c>
      <c r="Q374">
        <v>100800</v>
      </c>
    </row>
    <row r="375" spans="15:17" x14ac:dyDescent="0.3">
      <c r="O375">
        <v>374</v>
      </c>
      <c r="P375">
        <v>52740</v>
      </c>
      <c r="Q375">
        <v>86835</v>
      </c>
    </row>
    <row r="376" spans="15:17" x14ac:dyDescent="0.3">
      <c r="O376">
        <v>375</v>
      </c>
      <c r="P376">
        <v>37740</v>
      </c>
      <c r="Q376">
        <v>57330</v>
      </c>
    </row>
    <row r="377" spans="15:17" x14ac:dyDescent="0.3">
      <c r="O377">
        <v>376</v>
      </c>
      <c r="P377">
        <v>85230</v>
      </c>
      <c r="Q377">
        <v>33495</v>
      </c>
    </row>
    <row r="378" spans="15:17" x14ac:dyDescent="0.3">
      <c r="O378">
        <v>377</v>
      </c>
      <c r="P378">
        <v>36120</v>
      </c>
      <c r="Q378">
        <v>22470</v>
      </c>
    </row>
    <row r="379" spans="15:17" x14ac:dyDescent="0.3">
      <c r="O379">
        <v>378</v>
      </c>
      <c r="P379">
        <v>92670</v>
      </c>
      <c r="Q379">
        <v>25025</v>
      </c>
    </row>
    <row r="380" spans="15:17" x14ac:dyDescent="0.3">
      <c r="O380">
        <v>379</v>
      </c>
      <c r="P380">
        <v>93240</v>
      </c>
      <c r="Q380">
        <v>11515</v>
      </c>
    </row>
    <row r="381" spans="15:17" x14ac:dyDescent="0.3">
      <c r="O381">
        <v>380</v>
      </c>
      <c r="P381">
        <v>120390</v>
      </c>
      <c r="Q381">
        <v>38570</v>
      </c>
    </row>
    <row r="382" spans="15:17" x14ac:dyDescent="0.3">
      <c r="O382">
        <v>381</v>
      </c>
      <c r="P382">
        <v>110910</v>
      </c>
      <c r="Q382">
        <v>68425</v>
      </c>
    </row>
    <row r="383" spans="15:17" x14ac:dyDescent="0.3">
      <c r="O383">
        <v>382</v>
      </c>
      <c r="P383">
        <v>84510</v>
      </c>
      <c r="Q383">
        <v>93590</v>
      </c>
    </row>
    <row r="384" spans="15:17" x14ac:dyDescent="0.3">
      <c r="O384">
        <v>383</v>
      </c>
      <c r="P384">
        <v>95280</v>
      </c>
      <c r="Q384">
        <v>52675</v>
      </c>
    </row>
    <row r="385" spans="15:17" x14ac:dyDescent="0.3">
      <c r="O385">
        <v>384</v>
      </c>
      <c r="P385">
        <v>93480</v>
      </c>
      <c r="Q385">
        <v>36295</v>
      </c>
    </row>
    <row r="386" spans="15:17" x14ac:dyDescent="0.3">
      <c r="O386">
        <v>385</v>
      </c>
      <c r="P386">
        <v>43980</v>
      </c>
      <c r="Q386">
        <v>87955</v>
      </c>
    </row>
    <row r="387" spans="15:17" x14ac:dyDescent="0.3">
      <c r="O387">
        <v>386</v>
      </c>
      <c r="P387">
        <v>117930</v>
      </c>
      <c r="Q387">
        <v>75040</v>
      </c>
    </row>
    <row r="388" spans="15:17" x14ac:dyDescent="0.3">
      <c r="O388">
        <v>387</v>
      </c>
      <c r="P388">
        <v>105450</v>
      </c>
      <c r="Q388">
        <v>82250</v>
      </c>
    </row>
    <row r="389" spans="15:17" x14ac:dyDescent="0.3">
      <c r="O389">
        <v>388</v>
      </c>
      <c r="P389">
        <v>97530</v>
      </c>
      <c r="Q389">
        <v>19670</v>
      </c>
    </row>
    <row r="390" spans="15:17" x14ac:dyDescent="0.3">
      <c r="O390">
        <v>389</v>
      </c>
      <c r="P390">
        <v>98760</v>
      </c>
      <c r="Q390">
        <v>60270</v>
      </c>
    </row>
    <row r="391" spans="15:17" x14ac:dyDescent="0.3">
      <c r="O391">
        <v>390</v>
      </c>
      <c r="P391">
        <v>36030</v>
      </c>
      <c r="Q391">
        <v>84070</v>
      </c>
    </row>
    <row r="392" spans="15:17" x14ac:dyDescent="0.3">
      <c r="O392">
        <v>391</v>
      </c>
      <c r="P392">
        <v>82380</v>
      </c>
      <c r="Q392">
        <v>31150</v>
      </c>
    </row>
    <row r="393" spans="15:17" x14ac:dyDescent="0.3">
      <c r="O393">
        <v>392</v>
      </c>
      <c r="P393">
        <v>24900</v>
      </c>
      <c r="Q393">
        <v>52885</v>
      </c>
    </row>
    <row r="394" spans="15:17" x14ac:dyDescent="0.3">
      <c r="O394">
        <v>393</v>
      </c>
      <c r="P394">
        <v>96240</v>
      </c>
      <c r="Q394">
        <v>33600</v>
      </c>
    </row>
    <row r="395" spans="15:17" x14ac:dyDescent="0.3">
      <c r="O395">
        <v>394</v>
      </c>
      <c r="P395">
        <v>88500</v>
      </c>
      <c r="Q395">
        <v>-35</v>
      </c>
    </row>
    <row r="396" spans="15:17" x14ac:dyDescent="0.3">
      <c r="O396">
        <v>395</v>
      </c>
      <c r="P396">
        <v>49770</v>
      </c>
      <c r="Q396">
        <v>81725</v>
      </c>
    </row>
    <row r="397" spans="15:17" x14ac:dyDescent="0.3">
      <c r="O397">
        <v>396</v>
      </c>
      <c r="P397">
        <v>76290</v>
      </c>
      <c r="Q397">
        <v>89285</v>
      </c>
    </row>
    <row r="398" spans="15:17" x14ac:dyDescent="0.3">
      <c r="O398">
        <v>397</v>
      </c>
      <c r="P398">
        <v>64650</v>
      </c>
      <c r="Q398">
        <v>85120</v>
      </c>
    </row>
    <row r="399" spans="15:17" x14ac:dyDescent="0.3">
      <c r="O399">
        <v>398</v>
      </c>
      <c r="P399">
        <v>61440</v>
      </c>
      <c r="Q399">
        <v>27055</v>
      </c>
    </row>
    <row r="400" spans="15:17" x14ac:dyDescent="0.3">
      <c r="O400">
        <v>399</v>
      </c>
      <c r="P400">
        <v>27000</v>
      </c>
      <c r="Q400">
        <v>47425</v>
      </c>
    </row>
    <row r="401" spans="15:17" x14ac:dyDescent="0.3">
      <c r="O401">
        <v>400</v>
      </c>
      <c r="P401">
        <v>118410</v>
      </c>
      <c r="Q401">
        <v>56595</v>
      </c>
    </row>
    <row r="402" spans="15:17" x14ac:dyDescent="0.3">
      <c r="O402">
        <v>401</v>
      </c>
      <c r="P402">
        <v>102900</v>
      </c>
      <c r="Q402">
        <v>120855</v>
      </c>
    </row>
    <row r="403" spans="15:17" x14ac:dyDescent="0.3">
      <c r="O403">
        <v>402</v>
      </c>
      <c r="P403">
        <v>49890</v>
      </c>
      <c r="Q403">
        <v>76370</v>
      </c>
    </row>
    <row r="404" spans="15:17" x14ac:dyDescent="0.3">
      <c r="O404">
        <v>403</v>
      </c>
      <c r="P404">
        <v>42270</v>
      </c>
      <c r="Q404">
        <v>24115</v>
      </c>
    </row>
    <row r="405" spans="15:17" x14ac:dyDescent="0.3">
      <c r="O405">
        <v>404</v>
      </c>
      <c r="P405">
        <v>108780</v>
      </c>
      <c r="Q405">
        <v>55230</v>
      </c>
    </row>
    <row r="406" spans="15:17" x14ac:dyDescent="0.3">
      <c r="O406">
        <v>405</v>
      </c>
      <c r="P406">
        <v>119310</v>
      </c>
      <c r="Q406">
        <v>18130</v>
      </c>
    </row>
    <row r="407" spans="15:17" x14ac:dyDescent="0.3">
      <c r="O407">
        <v>406</v>
      </c>
      <c r="P407">
        <v>78060</v>
      </c>
      <c r="Q407">
        <v>107135</v>
      </c>
    </row>
    <row r="408" spans="15:17" x14ac:dyDescent="0.3">
      <c r="O408">
        <v>407</v>
      </c>
      <c r="P408">
        <v>30990</v>
      </c>
      <c r="Q408">
        <v>73010</v>
      </c>
    </row>
    <row r="409" spans="15:17" x14ac:dyDescent="0.3">
      <c r="O409">
        <v>408</v>
      </c>
      <c r="P409">
        <v>109080</v>
      </c>
      <c r="Q409">
        <v>-420</v>
      </c>
    </row>
    <row r="410" spans="15:17" x14ac:dyDescent="0.3">
      <c r="O410">
        <v>409</v>
      </c>
      <c r="P410">
        <v>72540</v>
      </c>
      <c r="Q410">
        <v>95270</v>
      </c>
    </row>
    <row r="411" spans="15:17" x14ac:dyDescent="0.3">
      <c r="O411">
        <v>410</v>
      </c>
      <c r="P411">
        <v>86250</v>
      </c>
      <c r="Q411">
        <v>29050</v>
      </c>
    </row>
    <row r="412" spans="15:17" x14ac:dyDescent="0.3">
      <c r="O412">
        <v>411</v>
      </c>
      <c r="P412">
        <v>126030</v>
      </c>
      <c r="Q412">
        <v>45080</v>
      </c>
    </row>
    <row r="413" spans="15:17" x14ac:dyDescent="0.3">
      <c r="O413">
        <v>412</v>
      </c>
      <c r="P413">
        <v>95130</v>
      </c>
      <c r="Q413">
        <v>24745</v>
      </c>
    </row>
    <row r="414" spans="15:17" x14ac:dyDescent="0.3">
      <c r="O414">
        <v>413</v>
      </c>
      <c r="P414">
        <v>96780</v>
      </c>
      <c r="Q414">
        <v>110635</v>
      </c>
    </row>
    <row r="415" spans="15:17" x14ac:dyDescent="0.3">
      <c r="O415">
        <v>414</v>
      </c>
      <c r="P415">
        <v>49650</v>
      </c>
      <c r="Q415">
        <v>-350</v>
      </c>
    </row>
    <row r="416" spans="15:17" x14ac:dyDescent="0.3">
      <c r="O416">
        <v>415</v>
      </c>
      <c r="P416">
        <v>74820</v>
      </c>
      <c r="Q416">
        <v>78960</v>
      </c>
    </row>
    <row r="417" spans="15:17" x14ac:dyDescent="0.3">
      <c r="O417">
        <v>416</v>
      </c>
      <c r="P417">
        <v>120360</v>
      </c>
      <c r="Q417">
        <v>80850</v>
      </c>
    </row>
    <row r="418" spans="15:17" x14ac:dyDescent="0.3">
      <c r="O418">
        <v>417</v>
      </c>
      <c r="P418">
        <v>130740</v>
      </c>
      <c r="Q418">
        <v>47075</v>
      </c>
    </row>
    <row r="419" spans="15:17" x14ac:dyDescent="0.3">
      <c r="O419">
        <v>418</v>
      </c>
      <c r="P419">
        <v>117420</v>
      </c>
      <c r="Q419">
        <v>83475</v>
      </c>
    </row>
    <row r="420" spans="15:17" x14ac:dyDescent="0.3">
      <c r="O420">
        <v>419</v>
      </c>
      <c r="P420">
        <v>127170</v>
      </c>
      <c r="Q420">
        <v>6090</v>
      </c>
    </row>
    <row r="421" spans="15:17" x14ac:dyDescent="0.3">
      <c r="O421">
        <v>420</v>
      </c>
      <c r="P421">
        <v>120030</v>
      </c>
      <c r="Q421">
        <v>56070</v>
      </c>
    </row>
    <row r="422" spans="15:17" x14ac:dyDescent="0.3">
      <c r="O422">
        <v>421</v>
      </c>
      <c r="P422">
        <v>93270</v>
      </c>
      <c r="Q422">
        <v>27650</v>
      </c>
    </row>
    <row r="423" spans="15:17" x14ac:dyDescent="0.3">
      <c r="O423">
        <v>422</v>
      </c>
      <c r="P423">
        <v>90060</v>
      </c>
      <c r="Q423">
        <v>22890</v>
      </c>
    </row>
    <row r="424" spans="15:17" x14ac:dyDescent="0.3">
      <c r="O424">
        <v>423</v>
      </c>
      <c r="P424">
        <v>104280</v>
      </c>
      <c r="Q424">
        <v>84140</v>
      </c>
    </row>
    <row r="425" spans="15:17" x14ac:dyDescent="0.3">
      <c r="O425">
        <v>424</v>
      </c>
      <c r="P425">
        <v>48600</v>
      </c>
      <c r="Q425">
        <v>5775</v>
      </c>
    </row>
    <row r="426" spans="15:17" x14ac:dyDescent="0.3">
      <c r="O426">
        <v>425</v>
      </c>
      <c r="P426">
        <v>108570</v>
      </c>
      <c r="Q426">
        <v>30520</v>
      </c>
    </row>
    <row r="427" spans="15:17" x14ac:dyDescent="0.3">
      <c r="O427">
        <v>426</v>
      </c>
      <c r="P427">
        <v>78870</v>
      </c>
      <c r="Q427">
        <v>82775</v>
      </c>
    </row>
    <row r="428" spans="15:17" x14ac:dyDescent="0.3">
      <c r="O428">
        <v>427</v>
      </c>
      <c r="P428">
        <v>74940</v>
      </c>
      <c r="Q428">
        <v>66395</v>
      </c>
    </row>
    <row r="429" spans="15:17" x14ac:dyDescent="0.3">
      <c r="O429">
        <v>428</v>
      </c>
      <c r="P429">
        <v>37740</v>
      </c>
      <c r="Q429">
        <v>54565</v>
      </c>
    </row>
    <row r="430" spans="15:17" x14ac:dyDescent="0.3">
      <c r="O430">
        <v>429</v>
      </c>
      <c r="P430">
        <v>100380</v>
      </c>
      <c r="Q430">
        <v>46165</v>
      </c>
    </row>
    <row r="431" spans="15:17" x14ac:dyDescent="0.3">
      <c r="O431">
        <v>430</v>
      </c>
      <c r="P431">
        <v>67770</v>
      </c>
      <c r="Q431">
        <v>55895</v>
      </c>
    </row>
    <row r="432" spans="15:17" x14ac:dyDescent="0.3">
      <c r="O432">
        <v>431</v>
      </c>
      <c r="P432">
        <v>49470</v>
      </c>
      <c r="Q432">
        <v>45640</v>
      </c>
    </row>
    <row r="433" spans="15:17" x14ac:dyDescent="0.3">
      <c r="O433">
        <v>432</v>
      </c>
      <c r="P433">
        <v>111690</v>
      </c>
      <c r="Q433">
        <v>58205</v>
      </c>
    </row>
    <row r="434" spans="15:17" x14ac:dyDescent="0.3">
      <c r="O434">
        <v>433</v>
      </c>
      <c r="P434">
        <v>90600</v>
      </c>
      <c r="Q434">
        <v>14735</v>
      </c>
    </row>
    <row r="435" spans="15:17" x14ac:dyDescent="0.3">
      <c r="O435">
        <v>434</v>
      </c>
      <c r="P435">
        <v>115800</v>
      </c>
      <c r="Q435">
        <v>56525</v>
      </c>
    </row>
    <row r="436" spans="15:17" x14ac:dyDescent="0.3">
      <c r="O436">
        <v>435</v>
      </c>
      <c r="P436">
        <v>51600</v>
      </c>
      <c r="Q436">
        <v>34965</v>
      </c>
    </row>
    <row r="437" spans="15:17" x14ac:dyDescent="0.3">
      <c r="O437">
        <v>436</v>
      </c>
      <c r="P437">
        <v>37380</v>
      </c>
      <c r="Q437">
        <v>20475</v>
      </c>
    </row>
    <row r="438" spans="15:17" x14ac:dyDescent="0.3">
      <c r="O438">
        <v>437</v>
      </c>
      <c r="P438">
        <v>40650</v>
      </c>
      <c r="Q438">
        <v>13580</v>
      </c>
    </row>
    <row r="439" spans="15:17" x14ac:dyDescent="0.3">
      <c r="O439">
        <v>438</v>
      </c>
      <c r="P439">
        <v>84840</v>
      </c>
      <c r="Q439">
        <v>113785</v>
      </c>
    </row>
    <row r="440" spans="15:17" x14ac:dyDescent="0.3">
      <c r="O440">
        <v>439</v>
      </c>
      <c r="P440">
        <v>121470</v>
      </c>
      <c r="Q440">
        <v>45745</v>
      </c>
    </row>
    <row r="441" spans="15:17" x14ac:dyDescent="0.3">
      <c r="O441">
        <v>440</v>
      </c>
      <c r="P441">
        <v>34380</v>
      </c>
      <c r="Q441">
        <v>93905</v>
      </c>
    </row>
    <row r="442" spans="15:17" x14ac:dyDescent="0.3">
      <c r="O442">
        <v>441</v>
      </c>
      <c r="P442">
        <v>88920</v>
      </c>
      <c r="Q442">
        <v>87395</v>
      </c>
    </row>
    <row r="443" spans="15:17" x14ac:dyDescent="0.3">
      <c r="O443">
        <v>442</v>
      </c>
      <c r="P443">
        <v>107460</v>
      </c>
      <c r="Q443">
        <v>92050</v>
      </c>
    </row>
    <row r="444" spans="15:17" x14ac:dyDescent="0.3">
      <c r="O444">
        <v>443</v>
      </c>
      <c r="P444">
        <v>101880</v>
      </c>
      <c r="Q444">
        <v>46760</v>
      </c>
    </row>
    <row r="445" spans="15:17" x14ac:dyDescent="0.3">
      <c r="O445">
        <v>444</v>
      </c>
      <c r="P445">
        <v>122820</v>
      </c>
      <c r="Q445">
        <v>21035</v>
      </c>
    </row>
    <row r="446" spans="15:17" x14ac:dyDescent="0.3">
      <c r="O446">
        <v>445</v>
      </c>
      <c r="P446">
        <v>46260</v>
      </c>
      <c r="Q446">
        <v>80290</v>
      </c>
    </row>
    <row r="447" spans="15:17" x14ac:dyDescent="0.3">
      <c r="O447">
        <v>446</v>
      </c>
      <c r="P447">
        <v>29370</v>
      </c>
      <c r="Q447">
        <v>29155</v>
      </c>
    </row>
    <row r="448" spans="15:17" x14ac:dyDescent="0.3">
      <c r="O448">
        <v>447</v>
      </c>
      <c r="P448">
        <v>42240</v>
      </c>
      <c r="Q448">
        <v>43645</v>
      </c>
    </row>
    <row r="449" spans="15:17" x14ac:dyDescent="0.3">
      <c r="O449">
        <v>448</v>
      </c>
      <c r="P449">
        <v>83700</v>
      </c>
      <c r="Q449">
        <v>93905</v>
      </c>
    </row>
    <row r="450" spans="15:17" x14ac:dyDescent="0.3">
      <c r="O450">
        <v>449</v>
      </c>
      <c r="P450">
        <v>99540</v>
      </c>
      <c r="Q450">
        <v>42630</v>
      </c>
    </row>
    <row r="451" spans="15:17" x14ac:dyDescent="0.3">
      <c r="O451">
        <v>450</v>
      </c>
      <c r="P451">
        <v>94710</v>
      </c>
      <c r="Q451">
        <v>56280</v>
      </c>
    </row>
    <row r="452" spans="15:17" x14ac:dyDescent="0.3">
      <c r="O452">
        <v>451</v>
      </c>
      <c r="P452">
        <v>31470</v>
      </c>
      <c r="Q452">
        <v>-3955</v>
      </c>
    </row>
    <row r="453" spans="15:17" x14ac:dyDescent="0.3">
      <c r="O453">
        <v>452</v>
      </c>
      <c r="P453">
        <v>120900</v>
      </c>
      <c r="Q453">
        <v>115045</v>
      </c>
    </row>
    <row r="454" spans="15:17" x14ac:dyDescent="0.3">
      <c r="O454">
        <v>453</v>
      </c>
      <c r="P454">
        <v>134970</v>
      </c>
      <c r="Q454">
        <v>91875</v>
      </c>
    </row>
    <row r="455" spans="15:17" x14ac:dyDescent="0.3">
      <c r="O455">
        <v>454</v>
      </c>
      <c r="P455">
        <v>64470</v>
      </c>
      <c r="Q455">
        <v>132020</v>
      </c>
    </row>
    <row r="456" spans="15:17" x14ac:dyDescent="0.3">
      <c r="O456">
        <v>455</v>
      </c>
      <c r="P456">
        <v>30630</v>
      </c>
      <c r="Q456">
        <v>25900</v>
      </c>
    </row>
    <row r="457" spans="15:17" x14ac:dyDescent="0.3">
      <c r="O457">
        <v>456</v>
      </c>
      <c r="P457">
        <v>119460</v>
      </c>
      <c r="Q457">
        <v>40880</v>
      </c>
    </row>
    <row r="458" spans="15:17" x14ac:dyDescent="0.3">
      <c r="O458">
        <v>457</v>
      </c>
      <c r="P458">
        <v>87870</v>
      </c>
      <c r="Q458">
        <v>110845</v>
      </c>
    </row>
    <row r="459" spans="15:17" x14ac:dyDescent="0.3">
      <c r="O459">
        <v>458</v>
      </c>
      <c r="P459">
        <v>110220</v>
      </c>
      <c r="Q459">
        <v>99960</v>
      </c>
    </row>
    <row r="460" spans="15:17" x14ac:dyDescent="0.3">
      <c r="O460">
        <v>459</v>
      </c>
      <c r="P460">
        <v>87210</v>
      </c>
      <c r="Q460">
        <v>69790</v>
      </c>
    </row>
    <row r="461" spans="15:17" x14ac:dyDescent="0.3">
      <c r="O461">
        <v>460</v>
      </c>
      <c r="P461">
        <v>119610</v>
      </c>
      <c r="Q461">
        <v>55860</v>
      </c>
    </row>
    <row r="462" spans="15:17" x14ac:dyDescent="0.3">
      <c r="O462">
        <v>461</v>
      </c>
      <c r="P462">
        <v>57000</v>
      </c>
      <c r="Q462">
        <v>90930</v>
      </c>
    </row>
    <row r="463" spans="15:17" x14ac:dyDescent="0.3">
      <c r="O463">
        <v>462</v>
      </c>
      <c r="P463">
        <v>61680</v>
      </c>
      <c r="Q463">
        <v>54565</v>
      </c>
    </row>
    <row r="464" spans="15:17" x14ac:dyDescent="0.3">
      <c r="O464">
        <v>463</v>
      </c>
      <c r="P464">
        <v>65100</v>
      </c>
      <c r="Q464">
        <v>64085</v>
      </c>
    </row>
    <row r="465" spans="15:17" x14ac:dyDescent="0.3">
      <c r="O465">
        <v>464</v>
      </c>
      <c r="P465">
        <v>44400</v>
      </c>
      <c r="Q465">
        <v>140</v>
      </c>
    </row>
    <row r="466" spans="15:17" x14ac:dyDescent="0.3">
      <c r="O466">
        <v>465</v>
      </c>
      <c r="P466">
        <v>58140</v>
      </c>
      <c r="Q466">
        <v>65205</v>
      </c>
    </row>
    <row r="467" spans="15:17" x14ac:dyDescent="0.3">
      <c r="O467">
        <v>466</v>
      </c>
      <c r="P467">
        <v>38880</v>
      </c>
      <c r="Q467">
        <v>14735</v>
      </c>
    </row>
    <row r="468" spans="15:17" x14ac:dyDescent="0.3">
      <c r="O468">
        <v>467</v>
      </c>
      <c r="P468">
        <v>47400</v>
      </c>
      <c r="Q468">
        <v>116725</v>
      </c>
    </row>
    <row r="469" spans="15:17" x14ac:dyDescent="0.3">
      <c r="O469">
        <v>468</v>
      </c>
      <c r="P469">
        <v>115410</v>
      </c>
      <c r="Q469">
        <v>175</v>
      </c>
    </row>
    <row r="470" spans="15:17" x14ac:dyDescent="0.3">
      <c r="O470">
        <v>469</v>
      </c>
      <c r="P470">
        <v>61230</v>
      </c>
      <c r="Q470">
        <v>71225</v>
      </c>
    </row>
    <row r="471" spans="15:17" x14ac:dyDescent="0.3">
      <c r="O471">
        <v>470</v>
      </c>
      <c r="P471">
        <v>90690</v>
      </c>
      <c r="Q471">
        <v>72765</v>
      </c>
    </row>
    <row r="472" spans="15:17" x14ac:dyDescent="0.3">
      <c r="O472">
        <v>471</v>
      </c>
      <c r="P472">
        <v>87720</v>
      </c>
      <c r="Q472">
        <v>130305</v>
      </c>
    </row>
    <row r="473" spans="15:17" x14ac:dyDescent="0.3">
      <c r="O473">
        <v>472</v>
      </c>
      <c r="P473">
        <v>134880</v>
      </c>
      <c r="Q473">
        <v>71750</v>
      </c>
    </row>
    <row r="474" spans="15:17" x14ac:dyDescent="0.3">
      <c r="O474">
        <v>473</v>
      </c>
      <c r="P474">
        <v>88170</v>
      </c>
      <c r="Q474">
        <v>3430</v>
      </c>
    </row>
    <row r="475" spans="15:17" x14ac:dyDescent="0.3">
      <c r="O475">
        <v>474</v>
      </c>
      <c r="P475">
        <v>64260</v>
      </c>
      <c r="Q475">
        <v>19425</v>
      </c>
    </row>
    <row r="476" spans="15:17" x14ac:dyDescent="0.3">
      <c r="O476">
        <v>475</v>
      </c>
      <c r="P476">
        <v>24240</v>
      </c>
      <c r="Q476">
        <v>97440</v>
      </c>
    </row>
    <row r="477" spans="15:17" x14ac:dyDescent="0.3">
      <c r="O477">
        <v>476</v>
      </c>
      <c r="P477">
        <v>105540</v>
      </c>
      <c r="Q477">
        <v>37415</v>
      </c>
    </row>
    <row r="478" spans="15:17" x14ac:dyDescent="0.3">
      <c r="O478">
        <v>477</v>
      </c>
      <c r="P478">
        <v>141690</v>
      </c>
      <c r="Q478">
        <v>72555</v>
      </c>
    </row>
    <row r="479" spans="15:17" x14ac:dyDescent="0.3">
      <c r="O479">
        <v>478</v>
      </c>
      <c r="P479">
        <v>107430</v>
      </c>
      <c r="Q479">
        <v>56280</v>
      </c>
    </row>
    <row r="480" spans="15:17" x14ac:dyDescent="0.3">
      <c r="O480">
        <v>479</v>
      </c>
      <c r="P480">
        <v>94230</v>
      </c>
      <c r="Q480">
        <v>5845</v>
      </c>
    </row>
    <row r="481" spans="15:17" x14ac:dyDescent="0.3">
      <c r="O481">
        <v>480</v>
      </c>
      <c r="P481">
        <v>97530</v>
      </c>
      <c r="Q481">
        <v>63560</v>
      </c>
    </row>
    <row r="482" spans="15:17" x14ac:dyDescent="0.3">
      <c r="O482">
        <v>481</v>
      </c>
      <c r="P482">
        <v>78240</v>
      </c>
      <c r="Q482">
        <v>42070</v>
      </c>
    </row>
    <row r="483" spans="15:17" x14ac:dyDescent="0.3">
      <c r="O483">
        <v>482</v>
      </c>
      <c r="P483">
        <v>106170</v>
      </c>
      <c r="Q483">
        <v>64750</v>
      </c>
    </row>
    <row r="484" spans="15:17" x14ac:dyDescent="0.3">
      <c r="O484">
        <v>483</v>
      </c>
      <c r="P484">
        <v>97680</v>
      </c>
      <c r="Q484">
        <v>12285</v>
      </c>
    </row>
    <row r="485" spans="15:17" x14ac:dyDescent="0.3">
      <c r="O485">
        <v>484</v>
      </c>
      <c r="P485">
        <v>73500</v>
      </c>
      <c r="Q485">
        <v>12110</v>
      </c>
    </row>
    <row r="486" spans="15:17" x14ac:dyDescent="0.3">
      <c r="O486">
        <v>485</v>
      </c>
      <c r="P486">
        <v>104340</v>
      </c>
      <c r="Q486">
        <v>99225</v>
      </c>
    </row>
    <row r="487" spans="15:17" x14ac:dyDescent="0.3">
      <c r="O487">
        <v>486</v>
      </c>
      <c r="P487">
        <v>141510</v>
      </c>
      <c r="Q487">
        <v>83335</v>
      </c>
    </row>
    <row r="488" spans="15:17" x14ac:dyDescent="0.3">
      <c r="O488">
        <v>487</v>
      </c>
      <c r="P488">
        <v>60900</v>
      </c>
      <c r="Q488">
        <v>110635</v>
      </c>
    </row>
    <row r="489" spans="15:17" x14ac:dyDescent="0.3">
      <c r="O489">
        <v>488</v>
      </c>
      <c r="P489">
        <v>126750</v>
      </c>
      <c r="Q489">
        <v>40320</v>
      </c>
    </row>
    <row r="490" spans="15:17" x14ac:dyDescent="0.3">
      <c r="O490">
        <v>489</v>
      </c>
      <c r="P490">
        <v>147510</v>
      </c>
      <c r="Q490">
        <v>81235</v>
      </c>
    </row>
    <row r="491" spans="15:17" x14ac:dyDescent="0.3">
      <c r="O491">
        <v>490</v>
      </c>
      <c r="P491">
        <v>35820</v>
      </c>
      <c r="Q491">
        <v>88865</v>
      </c>
    </row>
    <row r="492" spans="15:17" x14ac:dyDescent="0.3">
      <c r="O492">
        <v>491</v>
      </c>
      <c r="P492">
        <v>94920</v>
      </c>
      <c r="Q492">
        <v>101185</v>
      </c>
    </row>
    <row r="493" spans="15:17" x14ac:dyDescent="0.3">
      <c r="O493">
        <v>492</v>
      </c>
      <c r="P493">
        <v>42000</v>
      </c>
      <c r="Q493">
        <v>21805</v>
      </c>
    </row>
    <row r="494" spans="15:17" x14ac:dyDescent="0.3">
      <c r="O494">
        <v>493</v>
      </c>
      <c r="P494">
        <v>61530</v>
      </c>
      <c r="Q494">
        <v>62615</v>
      </c>
    </row>
    <row r="495" spans="15:17" x14ac:dyDescent="0.3">
      <c r="O495">
        <v>494</v>
      </c>
      <c r="P495">
        <v>116910</v>
      </c>
      <c r="Q495">
        <v>31080</v>
      </c>
    </row>
    <row r="496" spans="15:17" x14ac:dyDescent="0.3">
      <c r="O496">
        <v>495</v>
      </c>
      <c r="P496">
        <v>65070</v>
      </c>
      <c r="Q496">
        <v>85120</v>
      </c>
    </row>
    <row r="497" spans="15:17" x14ac:dyDescent="0.3">
      <c r="O497">
        <v>496</v>
      </c>
      <c r="P497">
        <v>100350</v>
      </c>
      <c r="Q497">
        <v>83265</v>
      </c>
    </row>
    <row r="498" spans="15:17" x14ac:dyDescent="0.3">
      <c r="O498">
        <v>497</v>
      </c>
      <c r="P498">
        <v>85560</v>
      </c>
      <c r="Q498">
        <v>71645</v>
      </c>
    </row>
    <row r="499" spans="15:17" x14ac:dyDescent="0.3">
      <c r="O499">
        <v>498</v>
      </c>
      <c r="P499">
        <v>96390</v>
      </c>
      <c r="Q499">
        <v>47530</v>
      </c>
    </row>
    <row r="500" spans="15:17" x14ac:dyDescent="0.3">
      <c r="O500">
        <v>499</v>
      </c>
      <c r="P500">
        <v>65820</v>
      </c>
      <c r="Q500">
        <v>99715</v>
      </c>
    </row>
    <row r="501" spans="15:17" x14ac:dyDescent="0.3">
      <c r="O501">
        <v>500</v>
      </c>
      <c r="P501">
        <v>16920</v>
      </c>
      <c r="Q501">
        <v>27790</v>
      </c>
    </row>
    <row r="502" spans="15:17" x14ac:dyDescent="0.3">
      <c r="O502">
        <v>501</v>
      </c>
      <c r="P502">
        <v>84000</v>
      </c>
      <c r="Q502">
        <v>945</v>
      </c>
    </row>
    <row r="503" spans="15:17" x14ac:dyDescent="0.3">
      <c r="O503">
        <v>502</v>
      </c>
      <c r="P503">
        <v>90870</v>
      </c>
      <c r="Q503">
        <v>12775</v>
      </c>
    </row>
    <row r="504" spans="15:17" x14ac:dyDescent="0.3">
      <c r="O504">
        <v>503</v>
      </c>
      <c r="P504">
        <v>95460</v>
      </c>
      <c r="Q504">
        <v>97545</v>
      </c>
    </row>
    <row r="505" spans="15:17" x14ac:dyDescent="0.3">
      <c r="O505">
        <v>504</v>
      </c>
      <c r="P505">
        <v>132900</v>
      </c>
      <c r="Q505">
        <v>106890</v>
      </c>
    </row>
    <row r="506" spans="15:17" x14ac:dyDescent="0.3">
      <c r="O506">
        <v>505</v>
      </c>
      <c r="P506">
        <v>88320</v>
      </c>
      <c r="Q506">
        <v>16660</v>
      </c>
    </row>
    <row r="507" spans="15:17" x14ac:dyDescent="0.3">
      <c r="O507">
        <v>506</v>
      </c>
      <c r="P507">
        <v>123180</v>
      </c>
      <c r="Q507">
        <v>15295</v>
      </c>
    </row>
    <row r="508" spans="15:17" x14ac:dyDescent="0.3">
      <c r="O508">
        <v>507</v>
      </c>
      <c r="P508">
        <v>54720</v>
      </c>
      <c r="Q508">
        <v>60515</v>
      </c>
    </row>
    <row r="509" spans="15:17" x14ac:dyDescent="0.3">
      <c r="O509">
        <v>508</v>
      </c>
      <c r="P509">
        <v>92880</v>
      </c>
      <c r="Q509">
        <v>54460</v>
      </c>
    </row>
    <row r="510" spans="15:17" x14ac:dyDescent="0.3">
      <c r="O510">
        <v>509</v>
      </c>
      <c r="P510">
        <v>118980</v>
      </c>
      <c r="Q510">
        <v>124005</v>
      </c>
    </row>
    <row r="511" spans="15:17" x14ac:dyDescent="0.3">
      <c r="O511">
        <v>510</v>
      </c>
      <c r="P511">
        <v>114270</v>
      </c>
      <c r="Q511">
        <v>101675</v>
      </c>
    </row>
    <row r="512" spans="15:17" x14ac:dyDescent="0.3">
      <c r="O512">
        <v>511</v>
      </c>
      <c r="P512">
        <v>72510</v>
      </c>
      <c r="Q512">
        <v>31115</v>
      </c>
    </row>
    <row r="513" spans="15:17" x14ac:dyDescent="0.3">
      <c r="O513">
        <v>512</v>
      </c>
      <c r="P513">
        <v>116940</v>
      </c>
      <c r="Q513">
        <v>1575</v>
      </c>
    </row>
    <row r="514" spans="15:17" x14ac:dyDescent="0.3">
      <c r="O514">
        <v>513</v>
      </c>
      <c r="P514">
        <v>78810</v>
      </c>
      <c r="Q514">
        <v>96880</v>
      </c>
    </row>
    <row r="515" spans="15:17" x14ac:dyDescent="0.3">
      <c r="O515">
        <v>514</v>
      </c>
      <c r="P515">
        <v>67650</v>
      </c>
      <c r="Q515">
        <v>18830</v>
      </c>
    </row>
    <row r="516" spans="15:17" x14ac:dyDescent="0.3">
      <c r="O516">
        <v>515</v>
      </c>
      <c r="P516">
        <v>125880</v>
      </c>
      <c r="Q516">
        <v>13370</v>
      </c>
    </row>
    <row r="517" spans="15:17" x14ac:dyDescent="0.3">
      <c r="O517">
        <v>516</v>
      </c>
      <c r="P517">
        <v>37800</v>
      </c>
      <c r="Q517">
        <v>124040</v>
      </c>
    </row>
    <row r="518" spans="15:17" x14ac:dyDescent="0.3">
      <c r="O518">
        <v>517</v>
      </c>
      <c r="P518">
        <v>46620</v>
      </c>
      <c r="Q518">
        <v>32655</v>
      </c>
    </row>
    <row r="519" spans="15:17" x14ac:dyDescent="0.3">
      <c r="O519">
        <v>518</v>
      </c>
      <c r="P519">
        <v>114540</v>
      </c>
      <c r="Q519">
        <v>100835</v>
      </c>
    </row>
    <row r="520" spans="15:17" x14ac:dyDescent="0.3">
      <c r="O520">
        <v>519</v>
      </c>
      <c r="P520">
        <v>58440</v>
      </c>
      <c r="Q520">
        <v>84385</v>
      </c>
    </row>
    <row r="521" spans="15:17" x14ac:dyDescent="0.3">
      <c r="O521">
        <v>520</v>
      </c>
      <c r="P521">
        <v>98160</v>
      </c>
      <c r="Q521">
        <v>10185</v>
      </c>
    </row>
    <row r="522" spans="15:17" x14ac:dyDescent="0.3">
      <c r="O522">
        <v>521</v>
      </c>
      <c r="P522">
        <v>48720</v>
      </c>
      <c r="Q522">
        <v>117985</v>
      </c>
    </row>
    <row r="523" spans="15:17" x14ac:dyDescent="0.3">
      <c r="O523">
        <v>522</v>
      </c>
      <c r="P523">
        <v>72510</v>
      </c>
      <c r="Q523">
        <v>10815</v>
      </c>
    </row>
    <row r="524" spans="15:17" x14ac:dyDescent="0.3">
      <c r="O524">
        <v>523</v>
      </c>
      <c r="P524">
        <v>82410</v>
      </c>
      <c r="Q524">
        <v>46025</v>
      </c>
    </row>
    <row r="525" spans="15:17" x14ac:dyDescent="0.3">
      <c r="O525">
        <v>524</v>
      </c>
      <c r="P525">
        <v>117750</v>
      </c>
      <c r="Q525">
        <v>104580</v>
      </c>
    </row>
    <row r="526" spans="15:17" x14ac:dyDescent="0.3">
      <c r="O526">
        <v>525</v>
      </c>
      <c r="P526">
        <v>45600</v>
      </c>
      <c r="Q526">
        <v>33040</v>
      </c>
    </row>
    <row r="527" spans="15:17" x14ac:dyDescent="0.3">
      <c r="O527">
        <v>526</v>
      </c>
      <c r="P527">
        <v>27870</v>
      </c>
      <c r="Q527">
        <v>95725</v>
      </c>
    </row>
    <row r="528" spans="15:17" x14ac:dyDescent="0.3">
      <c r="O528">
        <v>527</v>
      </c>
      <c r="P528">
        <v>54060</v>
      </c>
      <c r="Q528">
        <v>43820</v>
      </c>
    </row>
    <row r="529" spans="15:17" x14ac:dyDescent="0.3">
      <c r="O529">
        <v>528</v>
      </c>
      <c r="P529">
        <v>41850</v>
      </c>
      <c r="Q529">
        <v>37905</v>
      </c>
    </row>
    <row r="530" spans="15:17" x14ac:dyDescent="0.3">
      <c r="O530">
        <v>529</v>
      </c>
      <c r="P530">
        <v>138630</v>
      </c>
      <c r="Q530">
        <v>10640</v>
      </c>
    </row>
    <row r="531" spans="15:17" x14ac:dyDescent="0.3">
      <c r="O531">
        <v>530</v>
      </c>
      <c r="P531">
        <v>79800</v>
      </c>
      <c r="Q531">
        <v>31920</v>
      </c>
    </row>
    <row r="532" spans="15:17" x14ac:dyDescent="0.3">
      <c r="O532">
        <v>531</v>
      </c>
      <c r="P532">
        <v>36480</v>
      </c>
      <c r="Q532">
        <v>29995</v>
      </c>
    </row>
    <row r="533" spans="15:17" x14ac:dyDescent="0.3">
      <c r="O533">
        <v>532</v>
      </c>
      <c r="P533">
        <v>52740</v>
      </c>
      <c r="Q533">
        <v>12005</v>
      </c>
    </row>
    <row r="534" spans="15:17" x14ac:dyDescent="0.3">
      <c r="O534">
        <v>533</v>
      </c>
      <c r="P534">
        <v>119100</v>
      </c>
      <c r="Q534">
        <v>875</v>
      </c>
    </row>
    <row r="535" spans="15:17" x14ac:dyDescent="0.3">
      <c r="O535">
        <v>534</v>
      </c>
      <c r="P535">
        <v>77790</v>
      </c>
      <c r="Q535">
        <v>75215</v>
      </c>
    </row>
    <row r="536" spans="15:17" x14ac:dyDescent="0.3">
      <c r="O536">
        <v>535</v>
      </c>
      <c r="P536">
        <v>69750</v>
      </c>
      <c r="Q536">
        <v>32200</v>
      </c>
    </row>
    <row r="537" spans="15:17" x14ac:dyDescent="0.3">
      <c r="O537">
        <v>536</v>
      </c>
      <c r="P537">
        <v>94440</v>
      </c>
      <c r="Q537">
        <v>123550</v>
      </c>
    </row>
    <row r="538" spans="15:17" x14ac:dyDescent="0.3">
      <c r="O538">
        <v>537</v>
      </c>
      <c r="P538">
        <v>35910</v>
      </c>
      <c r="Q538">
        <v>35840</v>
      </c>
    </row>
    <row r="539" spans="15:17" x14ac:dyDescent="0.3">
      <c r="O539">
        <v>538</v>
      </c>
      <c r="P539">
        <v>90240</v>
      </c>
      <c r="Q539">
        <v>-13265</v>
      </c>
    </row>
    <row r="540" spans="15:17" x14ac:dyDescent="0.3">
      <c r="O540">
        <v>539</v>
      </c>
      <c r="P540">
        <v>83880</v>
      </c>
      <c r="Q540">
        <v>-3430</v>
      </c>
    </row>
    <row r="541" spans="15:17" x14ac:dyDescent="0.3">
      <c r="O541">
        <v>540</v>
      </c>
      <c r="P541">
        <v>61110</v>
      </c>
      <c r="Q541">
        <v>45745</v>
      </c>
    </row>
    <row r="542" spans="15:17" x14ac:dyDescent="0.3">
      <c r="O542">
        <v>541</v>
      </c>
      <c r="P542">
        <v>61680</v>
      </c>
      <c r="Q542">
        <v>50260</v>
      </c>
    </row>
    <row r="543" spans="15:17" x14ac:dyDescent="0.3">
      <c r="O543">
        <v>542</v>
      </c>
      <c r="P543">
        <v>134160</v>
      </c>
      <c r="Q543">
        <v>102095</v>
      </c>
    </row>
    <row r="544" spans="15:17" x14ac:dyDescent="0.3">
      <c r="O544">
        <v>543</v>
      </c>
      <c r="P544">
        <v>116010</v>
      </c>
      <c r="Q544">
        <v>69510</v>
      </c>
    </row>
    <row r="545" spans="15:17" x14ac:dyDescent="0.3">
      <c r="O545">
        <v>544</v>
      </c>
      <c r="P545">
        <v>35970</v>
      </c>
      <c r="Q545">
        <v>59640</v>
      </c>
    </row>
    <row r="546" spans="15:17" x14ac:dyDescent="0.3">
      <c r="O546">
        <v>545</v>
      </c>
      <c r="P546">
        <v>87780</v>
      </c>
      <c r="Q546">
        <v>108150</v>
      </c>
    </row>
    <row r="547" spans="15:17" x14ac:dyDescent="0.3">
      <c r="O547">
        <v>546</v>
      </c>
      <c r="P547">
        <v>112200</v>
      </c>
      <c r="Q547">
        <v>120155</v>
      </c>
    </row>
    <row r="548" spans="15:17" x14ac:dyDescent="0.3">
      <c r="O548">
        <v>547</v>
      </c>
      <c r="P548">
        <v>62400</v>
      </c>
      <c r="Q548">
        <v>11760</v>
      </c>
    </row>
    <row r="549" spans="15:17" x14ac:dyDescent="0.3">
      <c r="O549">
        <v>548</v>
      </c>
      <c r="P549">
        <v>46410</v>
      </c>
      <c r="Q549">
        <v>52430</v>
      </c>
    </row>
    <row r="550" spans="15:17" x14ac:dyDescent="0.3">
      <c r="O550">
        <v>549</v>
      </c>
      <c r="P550">
        <v>35010</v>
      </c>
      <c r="Q550">
        <v>87500</v>
      </c>
    </row>
    <row r="551" spans="15:17" x14ac:dyDescent="0.3">
      <c r="O551">
        <v>550</v>
      </c>
      <c r="P551">
        <v>113130</v>
      </c>
      <c r="Q551">
        <v>87045</v>
      </c>
    </row>
    <row r="552" spans="15:17" x14ac:dyDescent="0.3">
      <c r="O552">
        <v>551</v>
      </c>
      <c r="P552">
        <v>111030</v>
      </c>
      <c r="Q552">
        <v>42105</v>
      </c>
    </row>
    <row r="553" spans="15:17" x14ac:dyDescent="0.3">
      <c r="O553">
        <v>552</v>
      </c>
      <c r="P553">
        <v>88980</v>
      </c>
      <c r="Q553">
        <v>39935</v>
      </c>
    </row>
    <row r="554" spans="15:17" x14ac:dyDescent="0.3">
      <c r="O554">
        <v>553</v>
      </c>
      <c r="P554">
        <v>64410</v>
      </c>
      <c r="Q554">
        <v>105525</v>
      </c>
    </row>
    <row r="555" spans="15:17" x14ac:dyDescent="0.3">
      <c r="O555">
        <v>554</v>
      </c>
      <c r="P555">
        <v>121020</v>
      </c>
      <c r="Q555">
        <v>118895</v>
      </c>
    </row>
    <row r="556" spans="15:17" x14ac:dyDescent="0.3">
      <c r="O556">
        <v>555</v>
      </c>
      <c r="P556">
        <v>44430</v>
      </c>
      <c r="Q556">
        <v>39935</v>
      </c>
    </row>
    <row r="557" spans="15:17" x14ac:dyDescent="0.3">
      <c r="O557">
        <v>556</v>
      </c>
      <c r="P557">
        <v>110490</v>
      </c>
      <c r="Q557">
        <v>24815</v>
      </c>
    </row>
    <row r="558" spans="15:17" x14ac:dyDescent="0.3">
      <c r="O558">
        <v>557</v>
      </c>
      <c r="P558">
        <v>71820</v>
      </c>
      <c r="Q558">
        <v>86485</v>
      </c>
    </row>
    <row r="559" spans="15:17" x14ac:dyDescent="0.3">
      <c r="O559">
        <v>558</v>
      </c>
      <c r="P559">
        <v>106860</v>
      </c>
      <c r="Q559">
        <v>43365</v>
      </c>
    </row>
    <row r="560" spans="15:17" x14ac:dyDescent="0.3">
      <c r="O560">
        <v>559</v>
      </c>
      <c r="P560">
        <v>53490</v>
      </c>
      <c r="Q560">
        <v>89775</v>
      </c>
    </row>
    <row r="561" spans="15:17" x14ac:dyDescent="0.3">
      <c r="O561">
        <v>560</v>
      </c>
      <c r="P561">
        <v>39480</v>
      </c>
      <c r="Q561">
        <v>59010</v>
      </c>
    </row>
    <row r="562" spans="15:17" x14ac:dyDescent="0.3">
      <c r="O562">
        <v>561</v>
      </c>
      <c r="P562">
        <v>99210</v>
      </c>
      <c r="Q562">
        <v>26425</v>
      </c>
    </row>
    <row r="563" spans="15:17" x14ac:dyDescent="0.3">
      <c r="O563">
        <v>562</v>
      </c>
      <c r="P563">
        <v>41820</v>
      </c>
      <c r="Q563">
        <v>29855</v>
      </c>
    </row>
    <row r="564" spans="15:17" x14ac:dyDescent="0.3">
      <c r="O564">
        <v>563</v>
      </c>
      <c r="P564">
        <v>79200</v>
      </c>
      <c r="Q564">
        <v>107205</v>
      </c>
    </row>
    <row r="565" spans="15:17" x14ac:dyDescent="0.3">
      <c r="O565">
        <v>564</v>
      </c>
      <c r="P565">
        <v>132870</v>
      </c>
      <c r="Q565">
        <v>55475</v>
      </c>
    </row>
    <row r="566" spans="15:17" x14ac:dyDescent="0.3">
      <c r="O566">
        <v>565</v>
      </c>
      <c r="P566">
        <v>82680</v>
      </c>
      <c r="Q566">
        <v>80360</v>
      </c>
    </row>
    <row r="567" spans="15:17" x14ac:dyDescent="0.3">
      <c r="O567">
        <v>566</v>
      </c>
      <c r="P567">
        <v>84570</v>
      </c>
      <c r="Q567">
        <v>45080</v>
      </c>
    </row>
    <row r="568" spans="15:17" x14ac:dyDescent="0.3">
      <c r="O568">
        <v>567</v>
      </c>
      <c r="P568">
        <v>98700</v>
      </c>
      <c r="Q568">
        <v>109795</v>
      </c>
    </row>
    <row r="569" spans="15:17" x14ac:dyDescent="0.3">
      <c r="O569">
        <v>568</v>
      </c>
      <c r="P569">
        <v>92340</v>
      </c>
      <c r="Q569">
        <v>47775</v>
      </c>
    </row>
    <row r="570" spans="15:17" x14ac:dyDescent="0.3">
      <c r="O570">
        <v>569</v>
      </c>
      <c r="P570">
        <v>77400</v>
      </c>
      <c r="Q570">
        <v>62580</v>
      </c>
    </row>
    <row r="571" spans="15:17" x14ac:dyDescent="0.3">
      <c r="O571">
        <v>570</v>
      </c>
      <c r="P571">
        <v>81510</v>
      </c>
      <c r="Q571">
        <v>16905</v>
      </c>
    </row>
    <row r="572" spans="15:17" x14ac:dyDescent="0.3">
      <c r="O572">
        <v>571</v>
      </c>
      <c r="P572">
        <v>71700</v>
      </c>
      <c r="Q572">
        <v>86730</v>
      </c>
    </row>
    <row r="573" spans="15:17" x14ac:dyDescent="0.3">
      <c r="O573">
        <v>572</v>
      </c>
      <c r="P573">
        <v>105330</v>
      </c>
      <c r="Q573">
        <v>6230</v>
      </c>
    </row>
    <row r="574" spans="15:17" x14ac:dyDescent="0.3">
      <c r="O574">
        <v>573</v>
      </c>
      <c r="P574">
        <v>52620</v>
      </c>
      <c r="Q574">
        <v>16380</v>
      </c>
    </row>
    <row r="575" spans="15:17" x14ac:dyDescent="0.3">
      <c r="O575">
        <v>574</v>
      </c>
      <c r="P575">
        <v>39870</v>
      </c>
      <c r="Q575">
        <v>-15400</v>
      </c>
    </row>
    <row r="576" spans="15:17" x14ac:dyDescent="0.3">
      <c r="O576">
        <v>575</v>
      </c>
      <c r="P576">
        <v>92460</v>
      </c>
      <c r="Q576">
        <v>-2030</v>
      </c>
    </row>
    <row r="577" spans="15:17" x14ac:dyDescent="0.3">
      <c r="O577">
        <v>576</v>
      </c>
      <c r="P577">
        <v>127890</v>
      </c>
      <c r="Q577">
        <v>86205</v>
      </c>
    </row>
    <row r="578" spans="15:17" x14ac:dyDescent="0.3">
      <c r="O578">
        <v>577</v>
      </c>
      <c r="P578">
        <v>94320</v>
      </c>
      <c r="Q578">
        <v>33250</v>
      </c>
    </row>
    <row r="579" spans="15:17" x14ac:dyDescent="0.3">
      <c r="O579">
        <v>578</v>
      </c>
      <c r="P579">
        <v>54720</v>
      </c>
      <c r="Q579">
        <v>33075</v>
      </c>
    </row>
    <row r="580" spans="15:17" x14ac:dyDescent="0.3">
      <c r="O580">
        <v>579</v>
      </c>
      <c r="P580">
        <v>99720</v>
      </c>
      <c r="Q580">
        <v>72450</v>
      </c>
    </row>
    <row r="581" spans="15:17" x14ac:dyDescent="0.3">
      <c r="O581">
        <v>580</v>
      </c>
      <c r="P581">
        <v>57600</v>
      </c>
      <c r="Q581">
        <v>60165</v>
      </c>
    </row>
    <row r="582" spans="15:17" x14ac:dyDescent="0.3">
      <c r="O582">
        <v>581</v>
      </c>
      <c r="P582">
        <v>114240</v>
      </c>
      <c r="Q582">
        <v>116165</v>
      </c>
    </row>
    <row r="583" spans="15:17" x14ac:dyDescent="0.3">
      <c r="O583">
        <v>582</v>
      </c>
      <c r="P583">
        <v>130440</v>
      </c>
      <c r="Q583">
        <v>96635</v>
      </c>
    </row>
    <row r="584" spans="15:17" x14ac:dyDescent="0.3">
      <c r="O584">
        <v>583</v>
      </c>
      <c r="P584">
        <v>115710</v>
      </c>
      <c r="Q584">
        <v>73850</v>
      </c>
    </row>
    <row r="585" spans="15:17" x14ac:dyDescent="0.3">
      <c r="O585">
        <v>584</v>
      </c>
      <c r="P585">
        <v>92730</v>
      </c>
      <c r="Q585">
        <v>69335</v>
      </c>
    </row>
    <row r="586" spans="15:17" x14ac:dyDescent="0.3">
      <c r="O586">
        <v>585</v>
      </c>
      <c r="P586">
        <v>60930</v>
      </c>
      <c r="Q586">
        <v>118650</v>
      </c>
    </row>
    <row r="587" spans="15:17" x14ac:dyDescent="0.3">
      <c r="O587">
        <v>586</v>
      </c>
      <c r="P587">
        <v>58920</v>
      </c>
      <c r="Q587">
        <v>34055</v>
      </c>
    </row>
    <row r="588" spans="15:17" x14ac:dyDescent="0.3">
      <c r="O588">
        <v>587</v>
      </c>
      <c r="P588">
        <v>79500</v>
      </c>
      <c r="Q588">
        <v>53795</v>
      </c>
    </row>
    <row r="589" spans="15:17" x14ac:dyDescent="0.3">
      <c r="O589">
        <v>588</v>
      </c>
      <c r="P589">
        <v>102450</v>
      </c>
      <c r="Q589">
        <v>16765</v>
      </c>
    </row>
    <row r="590" spans="15:17" x14ac:dyDescent="0.3">
      <c r="O590">
        <v>589</v>
      </c>
      <c r="P590">
        <v>45150</v>
      </c>
      <c r="Q590">
        <v>54180</v>
      </c>
    </row>
    <row r="591" spans="15:17" x14ac:dyDescent="0.3">
      <c r="O591">
        <v>590</v>
      </c>
      <c r="P591">
        <v>129210</v>
      </c>
      <c r="Q591">
        <v>99855</v>
      </c>
    </row>
    <row r="592" spans="15:17" x14ac:dyDescent="0.3">
      <c r="O592">
        <v>591</v>
      </c>
      <c r="P592">
        <v>78000</v>
      </c>
      <c r="Q592">
        <v>56700</v>
      </c>
    </row>
    <row r="593" spans="15:17" x14ac:dyDescent="0.3">
      <c r="O593">
        <v>592</v>
      </c>
      <c r="P593">
        <v>27270</v>
      </c>
      <c r="Q593">
        <v>20650</v>
      </c>
    </row>
    <row r="594" spans="15:17" x14ac:dyDescent="0.3">
      <c r="O594">
        <v>593</v>
      </c>
      <c r="P594">
        <v>87090</v>
      </c>
      <c r="Q594">
        <v>31465</v>
      </c>
    </row>
    <row r="595" spans="15:17" x14ac:dyDescent="0.3">
      <c r="O595">
        <v>594</v>
      </c>
      <c r="P595">
        <v>106260</v>
      </c>
      <c r="Q595">
        <v>43890</v>
      </c>
    </row>
    <row r="596" spans="15:17" x14ac:dyDescent="0.3">
      <c r="O596">
        <v>595</v>
      </c>
      <c r="P596">
        <v>95040</v>
      </c>
      <c r="Q596">
        <v>111195</v>
      </c>
    </row>
    <row r="597" spans="15:17" x14ac:dyDescent="0.3">
      <c r="O597">
        <v>596</v>
      </c>
      <c r="P597">
        <v>46950</v>
      </c>
      <c r="Q597">
        <v>91840</v>
      </c>
    </row>
    <row r="598" spans="15:17" x14ac:dyDescent="0.3">
      <c r="O598">
        <v>597</v>
      </c>
      <c r="P598">
        <v>66630</v>
      </c>
      <c r="Q598">
        <v>99120</v>
      </c>
    </row>
    <row r="599" spans="15:17" x14ac:dyDescent="0.3">
      <c r="O599">
        <v>598</v>
      </c>
      <c r="P599">
        <v>120360</v>
      </c>
      <c r="Q599">
        <v>59675</v>
      </c>
    </row>
    <row r="600" spans="15:17" x14ac:dyDescent="0.3">
      <c r="O600">
        <v>599</v>
      </c>
      <c r="P600">
        <v>81780</v>
      </c>
      <c r="Q600">
        <v>82565</v>
      </c>
    </row>
    <row r="601" spans="15:17" x14ac:dyDescent="0.3">
      <c r="O601">
        <v>600</v>
      </c>
      <c r="P601">
        <v>102780</v>
      </c>
      <c r="Q601">
        <v>71610</v>
      </c>
    </row>
    <row r="602" spans="15:17" x14ac:dyDescent="0.3">
      <c r="O602">
        <v>601</v>
      </c>
      <c r="P602">
        <v>113700</v>
      </c>
      <c r="Q602">
        <v>51870</v>
      </c>
    </row>
    <row r="603" spans="15:17" x14ac:dyDescent="0.3">
      <c r="O603">
        <v>602</v>
      </c>
      <c r="P603">
        <v>75330</v>
      </c>
      <c r="Q603">
        <v>70490</v>
      </c>
    </row>
    <row r="604" spans="15:17" x14ac:dyDescent="0.3">
      <c r="O604">
        <v>603</v>
      </c>
      <c r="P604">
        <v>45150</v>
      </c>
      <c r="Q604">
        <v>111020</v>
      </c>
    </row>
    <row r="605" spans="15:17" x14ac:dyDescent="0.3">
      <c r="O605">
        <v>604</v>
      </c>
      <c r="P605">
        <v>98040</v>
      </c>
      <c r="Q605">
        <v>60060</v>
      </c>
    </row>
    <row r="606" spans="15:17" x14ac:dyDescent="0.3">
      <c r="O606">
        <v>605</v>
      </c>
      <c r="P606">
        <v>64140</v>
      </c>
      <c r="Q606">
        <v>16240</v>
      </c>
    </row>
    <row r="607" spans="15:17" x14ac:dyDescent="0.3">
      <c r="O607">
        <v>606</v>
      </c>
      <c r="P607">
        <v>146760</v>
      </c>
      <c r="Q607">
        <v>11410</v>
      </c>
    </row>
    <row r="608" spans="15:17" x14ac:dyDescent="0.3">
      <c r="O608">
        <v>607</v>
      </c>
      <c r="P608">
        <v>38910</v>
      </c>
      <c r="Q608">
        <v>75495</v>
      </c>
    </row>
    <row r="609" spans="15:17" x14ac:dyDescent="0.3">
      <c r="O609">
        <v>608</v>
      </c>
      <c r="P609">
        <v>128850</v>
      </c>
      <c r="Q609">
        <v>121170</v>
      </c>
    </row>
    <row r="610" spans="15:17" x14ac:dyDescent="0.3">
      <c r="O610">
        <v>609</v>
      </c>
      <c r="P610">
        <v>76530</v>
      </c>
      <c r="Q610">
        <v>100275</v>
      </c>
    </row>
    <row r="611" spans="15:17" x14ac:dyDescent="0.3">
      <c r="O611">
        <v>610</v>
      </c>
      <c r="P611">
        <v>103500</v>
      </c>
      <c r="Q611">
        <v>16660</v>
      </c>
    </row>
    <row r="612" spans="15:17" x14ac:dyDescent="0.3">
      <c r="O612">
        <v>611</v>
      </c>
      <c r="P612">
        <v>73080</v>
      </c>
      <c r="Q612">
        <v>62580</v>
      </c>
    </row>
    <row r="613" spans="15:17" x14ac:dyDescent="0.3">
      <c r="O613">
        <v>612</v>
      </c>
      <c r="P613">
        <v>20730</v>
      </c>
      <c r="Q613">
        <v>124845</v>
      </c>
    </row>
    <row r="614" spans="15:17" x14ac:dyDescent="0.3">
      <c r="O614">
        <v>613</v>
      </c>
      <c r="P614">
        <v>72510</v>
      </c>
      <c r="Q614">
        <v>36505</v>
      </c>
    </row>
    <row r="615" spans="15:17" x14ac:dyDescent="0.3">
      <c r="O615">
        <v>614</v>
      </c>
      <c r="P615">
        <v>121830</v>
      </c>
      <c r="Q615">
        <v>14210</v>
      </c>
    </row>
    <row r="616" spans="15:17" x14ac:dyDescent="0.3">
      <c r="O616">
        <v>615</v>
      </c>
      <c r="P616">
        <v>97980</v>
      </c>
      <c r="Q616">
        <v>103460</v>
      </c>
    </row>
    <row r="617" spans="15:17" x14ac:dyDescent="0.3">
      <c r="O617">
        <v>616</v>
      </c>
      <c r="P617">
        <v>40530</v>
      </c>
      <c r="Q617">
        <v>78330</v>
      </c>
    </row>
    <row r="618" spans="15:17" x14ac:dyDescent="0.3">
      <c r="O618">
        <v>617</v>
      </c>
      <c r="P618">
        <v>51000</v>
      </c>
      <c r="Q618">
        <v>101395</v>
      </c>
    </row>
    <row r="619" spans="15:17" x14ac:dyDescent="0.3">
      <c r="O619">
        <v>618</v>
      </c>
      <c r="P619">
        <v>43230</v>
      </c>
      <c r="Q619">
        <v>89705</v>
      </c>
    </row>
    <row r="620" spans="15:17" x14ac:dyDescent="0.3">
      <c r="O620">
        <v>619</v>
      </c>
      <c r="P620">
        <v>75690</v>
      </c>
      <c r="Q620">
        <v>41020</v>
      </c>
    </row>
    <row r="621" spans="15:17" x14ac:dyDescent="0.3">
      <c r="O621">
        <v>620</v>
      </c>
      <c r="P621">
        <v>95370</v>
      </c>
      <c r="Q621">
        <v>72275</v>
      </c>
    </row>
    <row r="622" spans="15:17" x14ac:dyDescent="0.3">
      <c r="O622">
        <v>621</v>
      </c>
      <c r="P622">
        <v>60330</v>
      </c>
      <c r="Q622">
        <v>11340</v>
      </c>
    </row>
    <row r="623" spans="15:17" x14ac:dyDescent="0.3">
      <c r="O623">
        <v>622</v>
      </c>
      <c r="P623">
        <v>105930</v>
      </c>
      <c r="Q623">
        <v>40040</v>
      </c>
    </row>
    <row r="624" spans="15:17" x14ac:dyDescent="0.3">
      <c r="O624">
        <v>623</v>
      </c>
      <c r="P624">
        <v>84660</v>
      </c>
      <c r="Q624">
        <v>123480</v>
      </c>
    </row>
    <row r="625" spans="15:17" x14ac:dyDescent="0.3">
      <c r="O625">
        <v>624</v>
      </c>
      <c r="P625">
        <v>104040</v>
      </c>
      <c r="Q625">
        <v>24710</v>
      </c>
    </row>
    <row r="626" spans="15:17" x14ac:dyDescent="0.3">
      <c r="O626">
        <v>625</v>
      </c>
      <c r="P626">
        <v>113880</v>
      </c>
      <c r="Q626">
        <v>123340</v>
      </c>
    </row>
    <row r="627" spans="15:17" x14ac:dyDescent="0.3">
      <c r="O627">
        <v>626</v>
      </c>
      <c r="P627">
        <v>69060</v>
      </c>
      <c r="Q627">
        <v>36680</v>
      </c>
    </row>
    <row r="628" spans="15:17" x14ac:dyDescent="0.3">
      <c r="O628">
        <v>627</v>
      </c>
      <c r="P628">
        <v>136020</v>
      </c>
      <c r="Q628">
        <v>37345</v>
      </c>
    </row>
    <row r="629" spans="15:17" x14ac:dyDescent="0.3">
      <c r="O629">
        <v>628</v>
      </c>
      <c r="P629">
        <v>52290</v>
      </c>
      <c r="Q629">
        <v>125930</v>
      </c>
    </row>
    <row r="630" spans="15:17" x14ac:dyDescent="0.3">
      <c r="O630">
        <v>629</v>
      </c>
      <c r="P630">
        <v>64650</v>
      </c>
      <c r="Q630">
        <v>27475</v>
      </c>
    </row>
    <row r="631" spans="15:17" x14ac:dyDescent="0.3">
      <c r="O631">
        <v>630</v>
      </c>
      <c r="P631">
        <v>41700</v>
      </c>
      <c r="Q631">
        <v>77525</v>
      </c>
    </row>
    <row r="632" spans="15:17" x14ac:dyDescent="0.3">
      <c r="O632">
        <v>631</v>
      </c>
      <c r="P632">
        <v>89010</v>
      </c>
      <c r="Q632">
        <v>79485</v>
      </c>
    </row>
    <row r="633" spans="15:17" x14ac:dyDescent="0.3">
      <c r="O633">
        <v>632</v>
      </c>
      <c r="P633">
        <v>84930</v>
      </c>
      <c r="Q633">
        <v>89565</v>
      </c>
    </row>
    <row r="634" spans="15:17" x14ac:dyDescent="0.3">
      <c r="O634">
        <v>633</v>
      </c>
      <c r="P634">
        <v>62190</v>
      </c>
      <c r="Q634">
        <v>25235</v>
      </c>
    </row>
    <row r="635" spans="15:17" x14ac:dyDescent="0.3">
      <c r="O635">
        <v>634</v>
      </c>
      <c r="P635">
        <v>108780</v>
      </c>
      <c r="Q635">
        <v>99960</v>
      </c>
    </row>
    <row r="636" spans="15:17" x14ac:dyDescent="0.3">
      <c r="O636">
        <v>635</v>
      </c>
      <c r="P636">
        <v>62520</v>
      </c>
      <c r="Q636">
        <v>90090</v>
      </c>
    </row>
    <row r="637" spans="15:17" x14ac:dyDescent="0.3">
      <c r="O637">
        <v>636</v>
      </c>
      <c r="P637">
        <v>69270</v>
      </c>
      <c r="Q637">
        <v>43400</v>
      </c>
    </row>
    <row r="638" spans="15:17" x14ac:dyDescent="0.3">
      <c r="O638">
        <v>637</v>
      </c>
      <c r="P638">
        <v>93540</v>
      </c>
      <c r="Q638">
        <v>59815</v>
      </c>
    </row>
    <row r="639" spans="15:17" x14ac:dyDescent="0.3">
      <c r="O639">
        <v>638</v>
      </c>
      <c r="P639">
        <v>110040</v>
      </c>
      <c r="Q639">
        <v>49385</v>
      </c>
    </row>
    <row r="640" spans="15:17" x14ac:dyDescent="0.3">
      <c r="O640">
        <v>639</v>
      </c>
      <c r="P640">
        <v>70290</v>
      </c>
      <c r="Q640">
        <v>77245</v>
      </c>
    </row>
    <row r="641" spans="15:17" x14ac:dyDescent="0.3">
      <c r="O641">
        <v>640</v>
      </c>
      <c r="P641">
        <v>104130</v>
      </c>
      <c r="Q641">
        <v>55510</v>
      </c>
    </row>
    <row r="642" spans="15:17" x14ac:dyDescent="0.3">
      <c r="O642">
        <v>641</v>
      </c>
      <c r="P642">
        <v>79800</v>
      </c>
      <c r="Q642">
        <v>16450</v>
      </c>
    </row>
    <row r="643" spans="15:17" x14ac:dyDescent="0.3">
      <c r="O643">
        <v>642</v>
      </c>
      <c r="P643">
        <v>70260</v>
      </c>
      <c r="Q643">
        <v>63175</v>
      </c>
    </row>
    <row r="644" spans="15:17" x14ac:dyDescent="0.3">
      <c r="O644">
        <v>643</v>
      </c>
      <c r="P644">
        <v>21750</v>
      </c>
      <c r="Q644">
        <v>52045</v>
      </c>
    </row>
    <row r="645" spans="15:17" x14ac:dyDescent="0.3">
      <c r="O645">
        <v>644</v>
      </c>
      <c r="P645">
        <v>93360</v>
      </c>
      <c r="Q645">
        <v>15995</v>
      </c>
    </row>
    <row r="646" spans="15:17" x14ac:dyDescent="0.3">
      <c r="O646">
        <v>645</v>
      </c>
      <c r="P646">
        <v>92670</v>
      </c>
      <c r="Q646">
        <v>89845</v>
      </c>
    </row>
    <row r="647" spans="15:17" x14ac:dyDescent="0.3">
      <c r="O647">
        <v>646</v>
      </c>
      <c r="P647">
        <v>92790</v>
      </c>
      <c r="Q647">
        <v>107065</v>
      </c>
    </row>
    <row r="648" spans="15:17" x14ac:dyDescent="0.3">
      <c r="O648">
        <v>647</v>
      </c>
      <c r="P648">
        <v>112020</v>
      </c>
      <c r="Q648">
        <v>96390</v>
      </c>
    </row>
    <row r="649" spans="15:17" x14ac:dyDescent="0.3">
      <c r="O649">
        <v>648</v>
      </c>
      <c r="P649">
        <v>29250</v>
      </c>
      <c r="Q649">
        <v>119455</v>
      </c>
    </row>
    <row r="650" spans="15:17" x14ac:dyDescent="0.3">
      <c r="O650">
        <v>649</v>
      </c>
      <c r="P650">
        <v>64890</v>
      </c>
      <c r="Q650">
        <v>73220</v>
      </c>
    </row>
    <row r="651" spans="15:17" x14ac:dyDescent="0.3">
      <c r="O651">
        <v>650</v>
      </c>
      <c r="P651">
        <v>87270</v>
      </c>
      <c r="Q651">
        <v>17255</v>
      </c>
    </row>
    <row r="652" spans="15:17" x14ac:dyDescent="0.3">
      <c r="O652">
        <v>651</v>
      </c>
      <c r="P652">
        <v>31410</v>
      </c>
      <c r="Q652">
        <v>62265</v>
      </c>
    </row>
    <row r="653" spans="15:17" x14ac:dyDescent="0.3">
      <c r="O653">
        <v>652</v>
      </c>
      <c r="P653">
        <v>85200</v>
      </c>
      <c r="Q653">
        <v>57330</v>
      </c>
    </row>
    <row r="654" spans="15:17" x14ac:dyDescent="0.3">
      <c r="O654">
        <v>653</v>
      </c>
      <c r="P654">
        <v>34890</v>
      </c>
      <c r="Q654">
        <v>58205</v>
      </c>
    </row>
    <row r="655" spans="15:17" x14ac:dyDescent="0.3">
      <c r="O655">
        <v>654</v>
      </c>
      <c r="P655">
        <v>98340</v>
      </c>
      <c r="Q655">
        <v>98875</v>
      </c>
    </row>
    <row r="656" spans="15:17" x14ac:dyDescent="0.3">
      <c r="O656">
        <v>655</v>
      </c>
      <c r="P656">
        <v>33870</v>
      </c>
      <c r="Q656">
        <v>-7735</v>
      </c>
    </row>
    <row r="657" spans="15:17" x14ac:dyDescent="0.3">
      <c r="O657">
        <v>656</v>
      </c>
      <c r="P657">
        <v>22290</v>
      </c>
      <c r="Q657">
        <v>78855</v>
      </c>
    </row>
    <row r="658" spans="15:17" x14ac:dyDescent="0.3">
      <c r="O658">
        <v>657</v>
      </c>
      <c r="P658">
        <v>60540</v>
      </c>
      <c r="Q658">
        <v>76755</v>
      </c>
    </row>
    <row r="659" spans="15:17" x14ac:dyDescent="0.3">
      <c r="O659">
        <v>658</v>
      </c>
      <c r="P659">
        <v>74970</v>
      </c>
      <c r="Q659">
        <v>102410</v>
      </c>
    </row>
    <row r="660" spans="15:17" x14ac:dyDescent="0.3">
      <c r="O660">
        <v>659</v>
      </c>
      <c r="P660">
        <v>105360</v>
      </c>
      <c r="Q660">
        <v>83475</v>
      </c>
    </row>
    <row r="661" spans="15:17" x14ac:dyDescent="0.3">
      <c r="O661">
        <v>660</v>
      </c>
      <c r="P661">
        <v>101220</v>
      </c>
      <c r="Q661">
        <v>78085</v>
      </c>
    </row>
    <row r="662" spans="15:17" x14ac:dyDescent="0.3">
      <c r="O662">
        <v>661</v>
      </c>
      <c r="P662">
        <v>36780</v>
      </c>
      <c r="Q662">
        <v>74375</v>
      </c>
    </row>
    <row r="663" spans="15:17" x14ac:dyDescent="0.3">
      <c r="O663">
        <v>662</v>
      </c>
      <c r="P663">
        <v>121590</v>
      </c>
      <c r="Q663">
        <v>99540</v>
      </c>
    </row>
    <row r="664" spans="15:17" x14ac:dyDescent="0.3">
      <c r="O664">
        <v>663</v>
      </c>
      <c r="P664">
        <v>61470</v>
      </c>
      <c r="Q664">
        <v>92120</v>
      </c>
    </row>
    <row r="665" spans="15:17" x14ac:dyDescent="0.3">
      <c r="O665">
        <v>664</v>
      </c>
      <c r="P665">
        <v>136560</v>
      </c>
      <c r="Q665">
        <v>107835</v>
      </c>
    </row>
    <row r="666" spans="15:17" x14ac:dyDescent="0.3">
      <c r="O666">
        <v>665</v>
      </c>
      <c r="P666">
        <v>110460</v>
      </c>
      <c r="Q666">
        <v>115115</v>
      </c>
    </row>
    <row r="667" spans="15:17" x14ac:dyDescent="0.3">
      <c r="O667">
        <v>666</v>
      </c>
      <c r="P667">
        <v>107040</v>
      </c>
      <c r="Q667">
        <v>82915</v>
      </c>
    </row>
    <row r="668" spans="15:17" x14ac:dyDescent="0.3">
      <c r="O668">
        <v>667</v>
      </c>
      <c r="P668">
        <v>60180</v>
      </c>
      <c r="Q668">
        <v>77385</v>
      </c>
    </row>
    <row r="669" spans="15:17" x14ac:dyDescent="0.3">
      <c r="O669">
        <v>668</v>
      </c>
      <c r="P669">
        <v>70260</v>
      </c>
      <c r="Q669">
        <v>103215</v>
      </c>
    </row>
    <row r="670" spans="15:17" x14ac:dyDescent="0.3">
      <c r="O670">
        <v>669</v>
      </c>
      <c r="P670">
        <v>71460</v>
      </c>
      <c r="Q670">
        <v>80640</v>
      </c>
    </row>
    <row r="671" spans="15:17" x14ac:dyDescent="0.3">
      <c r="O671">
        <v>670</v>
      </c>
      <c r="P671">
        <v>31500</v>
      </c>
      <c r="Q671">
        <v>101150</v>
      </c>
    </row>
    <row r="672" spans="15:17" x14ac:dyDescent="0.3">
      <c r="O672">
        <v>671</v>
      </c>
      <c r="P672">
        <v>26910</v>
      </c>
      <c r="Q672">
        <v>35210</v>
      </c>
    </row>
    <row r="673" spans="15:17" x14ac:dyDescent="0.3">
      <c r="O673">
        <v>672</v>
      </c>
      <c r="P673">
        <v>83640</v>
      </c>
      <c r="Q673">
        <v>61950</v>
      </c>
    </row>
    <row r="674" spans="15:17" x14ac:dyDescent="0.3">
      <c r="O674">
        <v>673</v>
      </c>
      <c r="P674">
        <v>104430</v>
      </c>
      <c r="Q674">
        <v>90055</v>
      </c>
    </row>
    <row r="675" spans="15:17" x14ac:dyDescent="0.3">
      <c r="O675">
        <v>674</v>
      </c>
      <c r="P675">
        <v>78930</v>
      </c>
      <c r="Q675">
        <v>43820</v>
      </c>
    </row>
    <row r="676" spans="15:17" x14ac:dyDescent="0.3">
      <c r="O676">
        <v>675</v>
      </c>
      <c r="P676">
        <v>60630</v>
      </c>
      <c r="Q676">
        <v>35840</v>
      </c>
    </row>
    <row r="677" spans="15:17" x14ac:dyDescent="0.3">
      <c r="O677">
        <v>676</v>
      </c>
      <c r="P677">
        <v>78810</v>
      </c>
      <c r="Q677">
        <v>35630</v>
      </c>
    </row>
    <row r="678" spans="15:17" x14ac:dyDescent="0.3">
      <c r="O678">
        <v>677</v>
      </c>
      <c r="P678">
        <v>126420</v>
      </c>
      <c r="Q678">
        <v>60025</v>
      </c>
    </row>
    <row r="679" spans="15:17" x14ac:dyDescent="0.3">
      <c r="O679">
        <v>678</v>
      </c>
      <c r="P679">
        <v>82680</v>
      </c>
      <c r="Q679">
        <v>107555</v>
      </c>
    </row>
    <row r="680" spans="15:17" x14ac:dyDescent="0.3">
      <c r="O680">
        <v>679</v>
      </c>
      <c r="P680">
        <v>126870</v>
      </c>
      <c r="Q680">
        <v>100905</v>
      </c>
    </row>
    <row r="681" spans="15:17" x14ac:dyDescent="0.3">
      <c r="O681">
        <v>680</v>
      </c>
      <c r="P681">
        <v>107580</v>
      </c>
      <c r="Q681">
        <v>20125</v>
      </c>
    </row>
    <row r="682" spans="15:17" x14ac:dyDescent="0.3">
      <c r="O682">
        <v>681</v>
      </c>
      <c r="P682">
        <v>57840</v>
      </c>
      <c r="Q682">
        <v>5810</v>
      </c>
    </row>
    <row r="683" spans="15:17" x14ac:dyDescent="0.3">
      <c r="O683">
        <v>682</v>
      </c>
      <c r="P683">
        <v>121770</v>
      </c>
      <c r="Q683">
        <v>100835</v>
      </c>
    </row>
    <row r="684" spans="15:17" x14ac:dyDescent="0.3">
      <c r="O684">
        <v>683</v>
      </c>
      <c r="P684">
        <v>117480</v>
      </c>
      <c r="Q684">
        <v>49245</v>
      </c>
    </row>
    <row r="685" spans="15:17" x14ac:dyDescent="0.3">
      <c r="O685">
        <v>684</v>
      </c>
      <c r="P685">
        <v>119790</v>
      </c>
      <c r="Q685">
        <v>33530</v>
      </c>
    </row>
    <row r="686" spans="15:17" x14ac:dyDescent="0.3">
      <c r="O686">
        <v>685</v>
      </c>
      <c r="P686">
        <v>101220</v>
      </c>
      <c r="Q686">
        <v>67550</v>
      </c>
    </row>
    <row r="687" spans="15:17" x14ac:dyDescent="0.3">
      <c r="O687">
        <v>686</v>
      </c>
      <c r="P687">
        <v>50310</v>
      </c>
      <c r="Q687">
        <v>97580</v>
      </c>
    </row>
    <row r="688" spans="15:17" x14ac:dyDescent="0.3">
      <c r="O688">
        <v>687</v>
      </c>
      <c r="P688">
        <v>95880</v>
      </c>
      <c r="Q688">
        <v>68950</v>
      </c>
    </row>
    <row r="689" spans="15:17" x14ac:dyDescent="0.3">
      <c r="O689">
        <v>688</v>
      </c>
      <c r="P689">
        <v>86430</v>
      </c>
      <c r="Q689">
        <v>44590</v>
      </c>
    </row>
    <row r="690" spans="15:17" x14ac:dyDescent="0.3">
      <c r="O690">
        <v>689</v>
      </c>
      <c r="P690">
        <v>72330</v>
      </c>
      <c r="Q690">
        <v>116165</v>
      </c>
    </row>
    <row r="691" spans="15:17" x14ac:dyDescent="0.3">
      <c r="O691">
        <v>690</v>
      </c>
      <c r="P691">
        <v>47730</v>
      </c>
      <c r="Q691">
        <v>99505</v>
      </c>
    </row>
    <row r="692" spans="15:17" x14ac:dyDescent="0.3">
      <c r="O692">
        <v>691</v>
      </c>
      <c r="P692">
        <v>55980</v>
      </c>
      <c r="Q692">
        <v>56980</v>
      </c>
    </row>
    <row r="693" spans="15:17" x14ac:dyDescent="0.3">
      <c r="O693">
        <v>692</v>
      </c>
      <c r="P693">
        <v>28650</v>
      </c>
      <c r="Q693">
        <v>23835</v>
      </c>
    </row>
    <row r="694" spans="15:17" x14ac:dyDescent="0.3">
      <c r="O694">
        <v>693</v>
      </c>
      <c r="P694">
        <v>28560</v>
      </c>
      <c r="Q694">
        <v>25130</v>
      </c>
    </row>
    <row r="695" spans="15:17" x14ac:dyDescent="0.3">
      <c r="O695">
        <v>694</v>
      </c>
      <c r="P695">
        <v>31350</v>
      </c>
      <c r="Q695">
        <v>113505</v>
      </c>
    </row>
    <row r="696" spans="15:17" x14ac:dyDescent="0.3">
      <c r="O696">
        <v>695</v>
      </c>
      <c r="P696">
        <v>113100</v>
      </c>
      <c r="Q696">
        <v>110880</v>
      </c>
    </row>
    <row r="697" spans="15:17" x14ac:dyDescent="0.3">
      <c r="O697">
        <v>696</v>
      </c>
      <c r="P697">
        <v>67290</v>
      </c>
      <c r="Q697">
        <v>14980</v>
      </c>
    </row>
    <row r="698" spans="15:17" x14ac:dyDescent="0.3">
      <c r="O698">
        <v>697</v>
      </c>
      <c r="P698">
        <v>104310</v>
      </c>
      <c r="Q698">
        <v>110950</v>
      </c>
    </row>
    <row r="699" spans="15:17" x14ac:dyDescent="0.3">
      <c r="O699">
        <v>698</v>
      </c>
      <c r="P699">
        <v>82530</v>
      </c>
      <c r="Q699">
        <v>3150</v>
      </c>
    </row>
    <row r="700" spans="15:17" x14ac:dyDescent="0.3">
      <c r="O700">
        <v>699</v>
      </c>
      <c r="P700">
        <v>67530</v>
      </c>
      <c r="Q700">
        <v>118125</v>
      </c>
    </row>
    <row r="701" spans="15:17" x14ac:dyDescent="0.3">
      <c r="O701">
        <v>700</v>
      </c>
      <c r="P701">
        <v>42390</v>
      </c>
      <c r="Q701">
        <v>65975</v>
      </c>
    </row>
    <row r="702" spans="15:17" x14ac:dyDescent="0.3">
      <c r="O702">
        <v>701</v>
      </c>
      <c r="P702">
        <v>122280</v>
      </c>
      <c r="Q702">
        <v>88620</v>
      </c>
    </row>
    <row r="703" spans="15:17" x14ac:dyDescent="0.3">
      <c r="O703">
        <v>702</v>
      </c>
      <c r="P703">
        <v>75780</v>
      </c>
      <c r="Q703">
        <v>126280</v>
      </c>
    </row>
    <row r="704" spans="15:17" x14ac:dyDescent="0.3">
      <c r="O704">
        <v>703</v>
      </c>
      <c r="P704">
        <v>124590</v>
      </c>
      <c r="Q704">
        <v>27720</v>
      </c>
    </row>
    <row r="705" spans="15:17" x14ac:dyDescent="0.3">
      <c r="O705">
        <v>704</v>
      </c>
      <c r="P705">
        <v>120630</v>
      </c>
      <c r="Q705">
        <v>-10290</v>
      </c>
    </row>
    <row r="706" spans="15:17" x14ac:dyDescent="0.3">
      <c r="O706">
        <v>705</v>
      </c>
      <c r="P706">
        <v>61080</v>
      </c>
      <c r="Q706">
        <v>79835</v>
      </c>
    </row>
    <row r="707" spans="15:17" x14ac:dyDescent="0.3">
      <c r="O707">
        <v>706</v>
      </c>
      <c r="P707">
        <v>109620</v>
      </c>
      <c r="Q707">
        <v>93065</v>
      </c>
    </row>
    <row r="708" spans="15:17" x14ac:dyDescent="0.3">
      <c r="O708">
        <v>707</v>
      </c>
      <c r="P708">
        <v>80910</v>
      </c>
      <c r="Q708">
        <v>81165</v>
      </c>
    </row>
    <row r="709" spans="15:17" x14ac:dyDescent="0.3">
      <c r="O709">
        <v>708</v>
      </c>
      <c r="P709">
        <v>86100</v>
      </c>
      <c r="Q709">
        <v>70140</v>
      </c>
    </row>
    <row r="710" spans="15:17" x14ac:dyDescent="0.3">
      <c r="O710">
        <v>709</v>
      </c>
      <c r="P710">
        <v>51060</v>
      </c>
      <c r="Q710">
        <v>63525</v>
      </c>
    </row>
    <row r="711" spans="15:17" x14ac:dyDescent="0.3">
      <c r="O711">
        <v>710</v>
      </c>
      <c r="P711">
        <v>131670</v>
      </c>
      <c r="Q711">
        <v>74725</v>
      </c>
    </row>
    <row r="712" spans="15:17" x14ac:dyDescent="0.3">
      <c r="O712">
        <v>711</v>
      </c>
      <c r="P712">
        <v>106710</v>
      </c>
      <c r="Q712">
        <v>48825</v>
      </c>
    </row>
    <row r="713" spans="15:17" x14ac:dyDescent="0.3">
      <c r="O713">
        <v>712</v>
      </c>
      <c r="P713">
        <v>35310</v>
      </c>
      <c r="Q713">
        <v>40740</v>
      </c>
    </row>
    <row r="714" spans="15:17" x14ac:dyDescent="0.3">
      <c r="O714">
        <v>713</v>
      </c>
      <c r="P714">
        <v>42480</v>
      </c>
      <c r="Q714">
        <v>116375</v>
      </c>
    </row>
    <row r="715" spans="15:17" x14ac:dyDescent="0.3">
      <c r="O715">
        <v>714</v>
      </c>
      <c r="P715">
        <v>74490</v>
      </c>
      <c r="Q715">
        <v>60095</v>
      </c>
    </row>
    <row r="716" spans="15:17" x14ac:dyDescent="0.3">
      <c r="O716">
        <v>715</v>
      </c>
      <c r="P716">
        <v>44790</v>
      </c>
      <c r="Q716">
        <v>79870</v>
      </c>
    </row>
    <row r="717" spans="15:17" x14ac:dyDescent="0.3">
      <c r="O717">
        <v>716</v>
      </c>
      <c r="P717">
        <v>94710</v>
      </c>
      <c r="Q717">
        <v>111965</v>
      </c>
    </row>
    <row r="718" spans="15:17" x14ac:dyDescent="0.3">
      <c r="O718">
        <v>717</v>
      </c>
      <c r="P718">
        <v>90900</v>
      </c>
      <c r="Q718">
        <v>97370</v>
      </c>
    </row>
    <row r="719" spans="15:17" x14ac:dyDescent="0.3">
      <c r="O719">
        <v>718</v>
      </c>
      <c r="P719">
        <v>61680</v>
      </c>
      <c r="Q719">
        <v>35630</v>
      </c>
    </row>
    <row r="720" spans="15:17" x14ac:dyDescent="0.3">
      <c r="O720">
        <v>719</v>
      </c>
      <c r="P720">
        <v>70920</v>
      </c>
      <c r="Q720">
        <v>21350</v>
      </c>
    </row>
    <row r="721" spans="15:17" x14ac:dyDescent="0.3">
      <c r="O721">
        <v>720</v>
      </c>
      <c r="P721">
        <v>74640</v>
      </c>
      <c r="Q721">
        <v>85435</v>
      </c>
    </row>
    <row r="722" spans="15:17" x14ac:dyDescent="0.3">
      <c r="O722">
        <v>721</v>
      </c>
      <c r="P722">
        <v>29730</v>
      </c>
      <c r="Q722">
        <v>41335</v>
      </c>
    </row>
    <row r="723" spans="15:17" x14ac:dyDescent="0.3">
      <c r="O723">
        <v>722</v>
      </c>
      <c r="P723">
        <v>104490</v>
      </c>
      <c r="Q723">
        <v>67095</v>
      </c>
    </row>
    <row r="724" spans="15:17" x14ac:dyDescent="0.3">
      <c r="O724">
        <v>723</v>
      </c>
      <c r="P724">
        <v>139800</v>
      </c>
      <c r="Q724">
        <v>32620</v>
      </c>
    </row>
    <row r="725" spans="15:17" x14ac:dyDescent="0.3">
      <c r="O725">
        <v>724</v>
      </c>
      <c r="P725">
        <v>128730</v>
      </c>
      <c r="Q725">
        <v>44100</v>
      </c>
    </row>
    <row r="726" spans="15:17" x14ac:dyDescent="0.3">
      <c r="O726">
        <v>725</v>
      </c>
      <c r="P726">
        <v>75420</v>
      </c>
      <c r="Q726">
        <v>58590</v>
      </c>
    </row>
    <row r="727" spans="15:17" x14ac:dyDescent="0.3">
      <c r="O727">
        <v>726</v>
      </c>
      <c r="P727">
        <v>123990</v>
      </c>
      <c r="Q727">
        <v>38325</v>
      </c>
    </row>
    <row r="728" spans="15:17" x14ac:dyDescent="0.3">
      <c r="O728">
        <v>727</v>
      </c>
      <c r="P728">
        <v>60510</v>
      </c>
      <c r="Q728">
        <v>45640</v>
      </c>
    </row>
    <row r="729" spans="15:17" x14ac:dyDescent="0.3">
      <c r="O729">
        <v>728</v>
      </c>
      <c r="P729">
        <v>63120</v>
      </c>
      <c r="Q729">
        <v>72170</v>
      </c>
    </row>
    <row r="730" spans="15:17" x14ac:dyDescent="0.3">
      <c r="O730">
        <v>729</v>
      </c>
      <c r="P730">
        <v>68940</v>
      </c>
      <c r="Q730">
        <v>121765</v>
      </c>
    </row>
    <row r="731" spans="15:17" x14ac:dyDescent="0.3">
      <c r="O731">
        <v>730</v>
      </c>
      <c r="P731">
        <v>88530</v>
      </c>
      <c r="Q731">
        <v>60270</v>
      </c>
    </row>
    <row r="732" spans="15:17" x14ac:dyDescent="0.3">
      <c r="O732">
        <v>731</v>
      </c>
      <c r="P732">
        <v>65760</v>
      </c>
      <c r="Q732">
        <v>5845</v>
      </c>
    </row>
    <row r="733" spans="15:17" x14ac:dyDescent="0.3">
      <c r="O733">
        <v>732</v>
      </c>
      <c r="P733">
        <v>86220</v>
      </c>
      <c r="Q733">
        <v>82985</v>
      </c>
    </row>
    <row r="734" spans="15:17" x14ac:dyDescent="0.3">
      <c r="O734">
        <v>733</v>
      </c>
      <c r="P734">
        <v>122310</v>
      </c>
      <c r="Q734">
        <v>58135</v>
      </c>
    </row>
    <row r="735" spans="15:17" x14ac:dyDescent="0.3">
      <c r="O735">
        <v>734</v>
      </c>
      <c r="P735">
        <v>118230</v>
      </c>
      <c r="Q735">
        <v>47425</v>
      </c>
    </row>
    <row r="736" spans="15:17" x14ac:dyDescent="0.3">
      <c r="O736">
        <v>735</v>
      </c>
      <c r="P736">
        <v>125340</v>
      </c>
      <c r="Q736">
        <v>90755</v>
      </c>
    </row>
    <row r="737" spans="15:17" x14ac:dyDescent="0.3">
      <c r="O737">
        <v>736</v>
      </c>
      <c r="P737">
        <v>47880</v>
      </c>
      <c r="Q737">
        <v>18830</v>
      </c>
    </row>
    <row r="738" spans="15:17" x14ac:dyDescent="0.3">
      <c r="O738">
        <v>737</v>
      </c>
      <c r="P738">
        <v>74520</v>
      </c>
      <c r="Q738">
        <v>73325</v>
      </c>
    </row>
    <row r="739" spans="15:17" x14ac:dyDescent="0.3">
      <c r="O739">
        <v>738</v>
      </c>
      <c r="P739">
        <v>113520</v>
      </c>
      <c r="Q739">
        <v>21175</v>
      </c>
    </row>
    <row r="740" spans="15:17" x14ac:dyDescent="0.3">
      <c r="O740">
        <v>739</v>
      </c>
      <c r="P740">
        <v>63420</v>
      </c>
      <c r="Q740">
        <v>31220</v>
      </c>
    </row>
    <row r="741" spans="15:17" x14ac:dyDescent="0.3">
      <c r="O741">
        <v>740</v>
      </c>
      <c r="P741">
        <v>105150</v>
      </c>
      <c r="Q741">
        <v>32095</v>
      </c>
    </row>
    <row r="742" spans="15:17" x14ac:dyDescent="0.3">
      <c r="O742">
        <v>741</v>
      </c>
      <c r="P742">
        <v>79770</v>
      </c>
      <c r="Q742">
        <v>67515</v>
      </c>
    </row>
    <row r="743" spans="15:17" x14ac:dyDescent="0.3">
      <c r="O743">
        <v>742</v>
      </c>
      <c r="P743">
        <v>101550</v>
      </c>
      <c r="Q743">
        <v>9905</v>
      </c>
    </row>
    <row r="744" spans="15:17" x14ac:dyDescent="0.3">
      <c r="O744">
        <v>743</v>
      </c>
      <c r="P744">
        <v>126690</v>
      </c>
      <c r="Q744">
        <v>61950</v>
      </c>
    </row>
    <row r="745" spans="15:17" x14ac:dyDescent="0.3">
      <c r="O745">
        <v>744</v>
      </c>
      <c r="P745">
        <v>54060</v>
      </c>
      <c r="Q745">
        <v>81970</v>
      </c>
    </row>
    <row r="746" spans="15:17" x14ac:dyDescent="0.3">
      <c r="O746">
        <v>745</v>
      </c>
      <c r="P746">
        <v>83760</v>
      </c>
      <c r="Q746">
        <v>88305</v>
      </c>
    </row>
    <row r="747" spans="15:17" x14ac:dyDescent="0.3">
      <c r="O747">
        <v>746</v>
      </c>
      <c r="P747">
        <v>68910</v>
      </c>
      <c r="Q747">
        <v>49070</v>
      </c>
    </row>
    <row r="748" spans="15:17" x14ac:dyDescent="0.3">
      <c r="O748">
        <v>747</v>
      </c>
      <c r="P748">
        <v>69570</v>
      </c>
      <c r="Q748">
        <v>71225</v>
      </c>
    </row>
    <row r="749" spans="15:17" x14ac:dyDescent="0.3">
      <c r="O749">
        <v>748</v>
      </c>
      <c r="P749">
        <v>89880</v>
      </c>
      <c r="Q749">
        <v>36365</v>
      </c>
    </row>
    <row r="750" spans="15:17" x14ac:dyDescent="0.3">
      <c r="O750">
        <v>749</v>
      </c>
      <c r="P750">
        <v>69900</v>
      </c>
      <c r="Q750">
        <v>105595</v>
      </c>
    </row>
    <row r="751" spans="15:17" x14ac:dyDescent="0.3">
      <c r="O751">
        <v>750</v>
      </c>
      <c r="P751">
        <v>62130</v>
      </c>
      <c r="Q751">
        <v>77910</v>
      </c>
    </row>
    <row r="752" spans="15:17" x14ac:dyDescent="0.3">
      <c r="O752">
        <v>751</v>
      </c>
      <c r="P752">
        <v>107640</v>
      </c>
      <c r="Q752">
        <v>81235</v>
      </c>
    </row>
    <row r="753" spans="15:17" x14ac:dyDescent="0.3">
      <c r="O753">
        <v>752</v>
      </c>
      <c r="P753">
        <v>118530</v>
      </c>
      <c r="Q753">
        <v>54950</v>
      </c>
    </row>
    <row r="754" spans="15:17" x14ac:dyDescent="0.3">
      <c r="O754">
        <v>753</v>
      </c>
      <c r="P754">
        <v>111960</v>
      </c>
      <c r="Q754">
        <v>87220</v>
      </c>
    </row>
    <row r="755" spans="15:17" x14ac:dyDescent="0.3">
      <c r="O755">
        <v>754</v>
      </c>
      <c r="P755">
        <v>63330</v>
      </c>
      <c r="Q755">
        <v>85890</v>
      </c>
    </row>
    <row r="756" spans="15:17" x14ac:dyDescent="0.3">
      <c r="O756">
        <v>755</v>
      </c>
      <c r="P756">
        <v>94380</v>
      </c>
      <c r="Q756">
        <v>81235</v>
      </c>
    </row>
    <row r="757" spans="15:17" x14ac:dyDescent="0.3">
      <c r="O757">
        <v>756</v>
      </c>
      <c r="P757">
        <v>110700</v>
      </c>
      <c r="Q757">
        <v>-1680</v>
      </c>
    </row>
    <row r="758" spans="15:17" x14ac:dyDescent="0.3">
      <c r="O758">
        <v>757</v>
      </c>
      <c r="P758">
        <v>69750</v>
      </c>
      <c r="Q758">
        <v>7630</v>
      </c>
    </row>
    <row r="759" spans="15:17" x14ac:dyDescent="0.3">
      <c r="O759">
        <v>758</v>
      </c>
      <c r="P759">
        <v>52050</v>
      </c>
      <c r="Q759">
        <v>-5565</v>
      </c>
    </row>
    <row r="760" spans="15:17" x14ac:dyDescent="0.3">
      <c r="O760">
        <v>759</v>
      </c>
      <c r="P760">
        <v>49410</v>
      </c>
      <c r="Q760">
        <v>32830</v>
      </c>
    </row>
    <row r="761" spans="15:17" x14ac:dyDescent="0.3">
      <c r="O761">
        <v>760</v>
      </c>
      <c r="P761">
        <v>85170</v>
      </c>
      <c r="Q761">
        <v>84105</v>
      </c>
    </row>
    <row r="762" spans="15:17" x14ac:dyDescent="0.3">
      <c r="O762">
        <v>761</v>
      </c>
      <c r="P762">
        <v>138720</v>
      </c>
      <c r="Q762">
        <v>54005</v>
      </c>
    </row>
    <row r="763" spans="15:17" x14ac:dyDescent="0.3">
      <c r="O763">
        <v>762</v>
      </c>
      <c r="P763">
        <v>124830</v>
      </c>
      <c r="Q763">
        <v>15470</v>
      </c>
    </row>
    <row r="764" spans="15:17" x14ac:dyDescent="0.3">
      <c r="O764">
        <v>763</v>
      </c>
      <c r="P764">
        <v>102360</v>
      </c>
      <c r="Q764">
        <v>12425</v>
      </c>
    </row>
    <row r="765" spans="15:17" x14ac:dyDescent="0.3">
      <c r="O765">
        <v>764</v>
      </c>
      <c r="P765">
        <v>83640</v>
      </c>
      <c r="Q765">
        <v>68040</v>
      </c>
    </row>
    <row r="766" spans="15:17" x14ac:dyDescent="0.3">
      <c r="O766">
        <v>765</v>
      </c>
      <c r="P766">
        <v>56670</v>
      </c>
      <c r="Q766">
        <v>78015</v>
      </c>
    </row>
    <row r="767" spans="15:17" x14ac:dyDescent="0.3">
      <c r="O767">
        <v>766</v>
      </c>
      <c r="P767">
        <v>99240</v>
      </c>
      <c r="Q767">
        <v>7665</v>
      </c>
    </row>
    <row r="768" spans="15:17" x14ac:dyDescent="0.3">
      <c r="O768">
        <v>767</v>
      </c>
      <c r="P768">
        <v>129150</v>
      </c>
      <c r="Q768">
        <v>12110</v>
      </c>
    </row>
    <row r="769" spans="15:17" x14ac:dyDescent="0.3">
      <c r="O769">
        <v>768</v>
      </c>
      <c r="P769">
        <v>52770</v>
      </c>
      <c r="Q769">
        <v>53760</v>
      </c>
    </row>
    <row r="770" spans="15:17" x14ac:dyDescent="0.3">
      <c r="O770">
        <v>769</v>
      </c>
      <c r="P770">
        <v>108960</v>
      </c>
      <c r="Q770">
        <v>44345</v>
      </c>
    </row>
    <row r="771" spans="15:17" x14ac:dyDescent="0.3">
      <c r="O771">
        <v>770</v>
      </c>
      <c r="P771">
        <v>114180</v>
      </c>
      <c r="Q771">
        <v>6965</v>
      </c>
    </row>
    <row r="772" spans="15:17" x14ac:dyDescent="0.3">
      <c r="O772">
        <v>771</v>
      </c>
      <c r="P772">
        <v>85860</v>
      </c>
      <c r="Q772">
        <v>115710</v>
      </c>
    </row>
    <row r="773" spans="15:17" x14ac:dyDescent="0.3">
      <c r="O773">
        <v>772</v>
      </c>
      <c r="P773">
        <v>70890</v>
      </c>
      <c r="Q773">
        <v>98000</v>
      </c>
    </row>
    <row r="774" spans="15:17" x14ac:dyDescent="0.3">
      <c r="O774">
        <v>773</v>
      </c>
      <c r="P774">
        <v>50640</v>
      </c>
      <c r="Q774">
        <v>30730</v>
      </c>
    </row>
    <row r="775" spans="15:17" x14ac:dyDescent="0.3">
      <c r="O775">
        <v>774</v>
      </c>
      <c r="P775">
        <v>97320</v>
      </c>
      <c r="Q775">
        <v>69090</v>
      </c>
    </row>
    <row r="776" spans="15:17" x14ac:dyDescent="0.3">
      <c r="O776">
        <v>775</v>
      </c>
      <c r="P776">
        <v>112650</v>
      </c>
      <c r="Q776">
        <v>112840</v>
      </c>
    </row>
    <row r="777" spans="15:17" x14ac:dyDescent="0.3">
      <c r="O777">
        <v>776</v>
      </c>
      <c r="P777">
        <v>78150</v>
      </c>
      <c r="Q777">
        <v>110880</v>
      </c>
    </row>
    <row r="778" spans="15:17" x14ac:dyDescent="0.3">
      <c r="O778">
        <v>777</v>
      </c>
      <c r="P778">
        <v>67770</v>
      </c>
      <c r="Q778">
        <v>105805</v>
      </c>
    </row>
    <row r="779" spans="15:17" x14ac:dyDescent="0.3">
      <c r="O779">
        <v>778</v>
      </c>
      <c r="P779">
        <v>125010</v>
      </c>
      <c r="Q779">
        <v>23310</v>
      </c>
    </row>
    <row r="780" spans="15:17" x14ac:dyDescent="0.3">
      <c r="O780">
        <v>779</v>
      </c>
      <c r="P780">
        <v>86520</v>
      </c>
      <c r="Q780">
        <v>17500</v>
      </c>
    </row>
    <row r="781" spans="15:17" x14ac:dyDescent="0.3">
      <c r="O781">
        <v>780</v>
      </c>
      <c r="P781">
        <v>67110</v>
      </c>
      <c r="Q781">
        <v>38535</v>
      </c>
    </row>
    <row r="782" spans="15:17" x14ac:dyDescent="0.3">
      <c r="O782">
        <v>781</v>
      </c>
      <c r="P782">
        <v>58050</v>
      </c>
      <c r="Q782">
        <v>46900</v>
      </c>
    </row>
    <row r="783" spans="15:17" x14ac:dyDescent="0.3">
      <c r="O783">
        <v>782</v>
      </c>
      <c r="P783">
        <v>57600</v>
      </c>
      <c r="Q783">
        <v>125335</v>
      </c>
    </row>
    <row r="784" spans="15:17" x14ac:dyDescent="0.3">
      <c r="O784">
        <v>783</v>
      </c>
      <c r="P784">
        <v>93690</v>
      </c>
      <c r="Q784">
        <v>88130</v>
      </c>
    </row>
    <row r="785" spans="15:17" x14ac:dyDescent="0.3">
      <c r="O785">
        <v>784</v>
      </c>
      <c r="P785">
        <v>113400</v>
      </c>
      <c r="Q785">
        <v>4970</v>
      </c>
    </row>
    <row r="786" spans="15:17" x14ac:dyDescent="0.3">
      <c r="O786">
        <v>785</v>
      </c>
      <c r="P786">
        <v>108030</v>
      </c>
      <c r="Q786">
        <v>127295</v>
      </c>
    </row>
    <row r="787" spans="15:17" x14ac:dyDescent="0.3">
      <c r="O787">
        <v>786</v>
      </c>
      <c r="P787">
        <v>121860</v>
      </c>
      <c r="Q787">
        <v>28140</v>
      </c>
    </row>
    <row r="788" spans="15:17" x14ac:dyDescent="0.3">
      <c r="O788">
        <v>787</v>
      </c>
      <c r="P788">
        <v>62700</v>
      </c>
      <c r="Q788">
        <v>26705</v>
      </c>
    </row>
    <row r="789" spans="15:17" x14ac:dyDescent="0.3">
      <c r="O789">
        <v>788</v>
      </c>
      <c r="P789">
        <v>41070</v>
      </c>
      <c r="Q789">
        <v>91280</v>
      </c>
    </row>
    <row r="790" spans="15:17" x14ac:dyDescent="0.3">
      <c r="O790">
        <v>789</v>
      </c>
      <c r="P790">
        <v>69240</v>
      </c>
      <c r="Q790">
        <v>-11725</v>
      </c>
    </row>
    <row r="791" spans="15:17" x14ac:dyDescent="0.3">
      <c r="O791">
        <v>790</v>
      </c>
      <c r="P791">
        <v>35760</v>
      </c>
      <c r="Q791">
        <v>58835</v>
      </c>
    </row>
    <row r="792" spans="15:17" x14ac:dyDescent="0.3">
      <c r="O792">
        <v>791</v>
      </c>
      <c r="P792">
        <v>71640</v>
      </c>
      <c r="Q792">
        <v>82390</v>
      </c>
    </row>
    <row r="793" spans="15:17" x14ac:dyDescent="0.3">
      <c r="O793">
        <v>792</v>
      </c>
      <c r="P793">
        <v>120330</v>
      </c>
      <c r="Q793">
        <v>64330</v>
      </c>
    </row>
    <row r="794" spans="15:17" x14ac:dyDescent="0.3">
      <c r="O794">
        <v>793</v>
      </c>
      <c r="P794">
        <v>45870</v>
      </c>
      <c r="Q794">
        <v>69545</v>
      </c>
    </row>
    <row r="795" spans="15:17" x14ac:dyDescent="0.3">
      <c r="O795">
        <v>794</v>
      </c>
      <c r="P795">
        <v>99690</v>
      </c>
      <c r="Q795">
        <v>110985</v>
      </c>
    </row>
    <row r="796" spans="15:17" x14ac:dyDescent="0.3">
      <c r="O796">
        <v>795</v>
      </c>
      <c r="P796">
        <v>62670</v>
      </c>
      <c r="Q796">
        <v>26250</v>
      </c>
    </row>
    <row r="797" spans="15:17" x14ac:dyDescent="0.3">
      <c r="O797">
        <v>796</v>
      </c>
      <c r="P797">
        <v>58920</v>
      </c>
      <c r="Q797">
        <v>33950</v>
      </c>
    </row>
    <row r="798" spans="15:17" x14ac:dyDescent="0.3">
      <c r="O798">
        <v>797</v>
      </c>
      <c r="P798">
        <v>85710</v>
      </c>
      <c r="Q798">
        <v>26215</v>
      </c>
    </row>
    <row r="799" spans="15:17" x14ac:dyDescent="0.3">
      <c r="O799">
        <v>798</v>
      </c>
      <c r="P799">
        <v>100650</v>
      </c>
      <c r="Q799">
        <v>78995</v>
      </c>
    </row>
    <row r="800" spans="15:17" x14ac:dyDescent="0.3">
      <c r="O800">
        <v>799</v>
      </c>
      <c r="P800">
        <v>103260</v>
      </c>
      <c r="Q800">
        <v>77560</v>
      </c>
    </row>
    <row r="801" spans="15:17" x14ac:dyDescent="0.3">
      <c r="O801">
        <v>800</v>
      </c>
      <c r="P801">
        <v>113670</v>
      </c>
      <c r="Q801">
        <v>70420</v>
      </c>
    </row>
    <row r="802" spans="15:17" x14ac:dyDescent="0.3">
      <c r="O802">
        <v>801</v>
      </c>
      <c r="P802">
        <v>56460</v>
      </c>
      <c r="Q802">
        <v>25480</v>
      </c>
    </row>
    <row r="803" spans="15:17" x14ac:dyDescent="0.3">
      <c r="O803">
        <v>802</v>
      </c>
      <c r="P803">
        <v>38820</v>
      </c>
      <c r="Q803">
        <v>91805</v>
      </c>
    </row>
    <row r="804" spans="15:17" x14ac:dyDescent="0.3">
      <c r="O804">
        <v>803</v>
      </c>
      <c r="P804">
        <v>88020</v>
      </c>
      <c r="Q804">
        <v>56665</v>
      </c>
    </row>
    <row r="805" spans="15:17" x14ac:dyDescent="0.3">
      <c r="O805">
        <v>804</v>
      </c>
      <c r="P805">
        <v>133350</v>
      </c>
      <c r="Q805">
        <v>85925</v>
      </c>
    </row>
    <row r="806" spans="15:17" x14ac:dyDescent="0.3">
      <c r="O806">
        <v>805</v>
      </c>
      <c r="P806">
        <v>97440</v>
      </c>
      <c r="Q806">
        <v>124880</v>
      </c>
    </row>
    <row r="807" spans="15:17" x14ac:dyDescent="0.3">
      <c r="O807">
        <v>806</v>
      </c>
      <c r="P807">
        <v>68100</v>
      </c>
      <c r="Q807">
        <v>10850</v>
      </c>
    </row>
    <row r="808" spans="15:17" x14ac:dyDescent="0.3">
      <c r="O808">
        <v>807</v>
      </c>
      <c r="P808">
        <v>114390</v>
      </c>
      <c r="Q808">
        <v>75810</v>
      </c>
    </row>
    <row r="809" spans="15:17" x14ac:dyDescent="0.3">
      <c r="O809">
        <v>808</v>
      </c>
      <c r="P809">
        <v>50790</v>
      </c>
      <c r="Q809">
        <v>128240</v>
      </c>
    </row>
    <row r="810" spans="15:17" x14ac:dyDescent="0.3">
      <c r="O810">
        <v>809</v>
      </c>
      <c r="P810">
        <v>116100</v>
      </c>
      <c r="Q810">
        <v>54040</v>
      </c>
    </row>
    <row r="811" spans="15:17" x14ac:dyDescent="0.3">
      <c r="O811">
        <v>810</v>
      </c>
      <c r="P811">
        <v>46560</v>
      </c>
      <c r="Q811">
        <v>14070</v>
      </c>
    </row>
    <row r="812" spans="15:17" x14ac:dyDescent="0.3">
      <c r="O812">
        <v>811</v>
      </c>
      <c r="P812">
        <v>128700</v>
      </c>
      <c r="Q812">
        <v>8365</v>
      </c>
    </row>
    <row r="813" spans="15:17" x14ac:dyDescent="0.3">
      <c r="O813">
        <v>812</v>
      </c>
      <c r="P813">
        <v>66810</v>
      </c>
      <c r="Q813">
        <v>10465</v>
      </c>
    </row>
    <row r="814" spans="15:17" x14ac:dyDescent="0.3">
      <c r="O814">
        <v>813</v>
      </c>
      <c r="P814">
        <v>46770</v>
      </c>
      <c r="Q814">
        <v>47530</v>
      </c>
    </row>
    <row r="815" spans="15:17" x14ac:dyDescent="0.3">
      <c r="O815">
        <v>814</v>
      </c>
      <c r="P815">
        <v>32640</v>
      </c>
      <c r="Q815">
        <v>74935</v>
      </c>
    </row>
    <row r="816" spans="15:17" x14ac:dyDescent="0.3">
      <c r="O816">
        <v>815</v>
      </c>
      <c r="P816">
        <v>51720</v>
      </c>
      <c r="Q816">
        <v>12530</v>
      </c>
    </row>
    <row r="817" spans="15:17" x14ac:dyDescent="0.3">
      <c r="O817">
        <v>816</v>
      </c>
      <c r="P817">
        <v>131340</v>
      </c>
      <c r="Q817">
        <v>34370</v>
      </c>
    </row>
    <row r="818" spans="15:17" x14ac:dyDescent="0.3">
      <c r="O818">
        <v>817</v>
      </c>
      <c r="P818">
        <v>84270</v>
      </c>
      <c r="Q818">
        <v>24990</v>
      </c>
    </row>
    <row r="819" spans="15:17" x14ac:dyDescent="0.3">
      <c r="O819">
        <v>818</v>
      </c>
      <c r="P819">
        <v>62430</v>
      </c>
      <c r="Q819">
        <v>75390</v>
      </c>
    </row>
    <row r="820" spans="15:17" x14ac:dyDescent="0.3">
      <c r="O820">
        <v>819</v>
      </c>
      <c r="P820">
        <v>79740</v>
      </c>
      <c r="Q820">
        <v>68110</v>
      </c>
    </row>
    <row r="821" spans="15:17" x14ac:dyDescent="0.3">
      <c r="O821">
        <v>820</v>
      </c>
      <c r="P821">
        <v>67380</v>
      </c>
      <c r="Q821">
        <v>-2800</v>
      </c>
    </row>
    <row r="822" spans="15:17" x14ac:dyDescent="0.3">
      <c r="O822">
        <v>821</v>
      </c>
      <c r="P822">
        <v>64080</v>
      </c>
      <c r="Q822">
        <v>98140</v>
      </c>
    </row>
    <row r="823" spans="15:17" x14ac:dyDescent="0.3">
      <c r="O823">
        <v>822</v>
      </c>
      <c r="P823">
        <v>104820</v>
      </c>
      <c r="Q823">
        <v>26635</v>
      </c>
    </row>
    <row r="824" spans="15:17" x14ac:dyDescent="0.3">
      <c r="O824">
        <v>823</v>
      </c>
      <c r="P824">
        <v>55020</v>
      </c>
      <c r="Q824">
        <v>18165</v>
      </c>
    </row>
    <row r="825" spans="15:17" x14ac:dyDescent="0.3">
      <c r="O825">
        <v>824</v>
      </c>
      <c r="P825">
        <v>93480</v>
      </c>
      <c r="Q825">
        <v>22785</v>
      </c>
    </row>
    <row r="826" spans="15:17" x14ac:dyDescent="0.3">
      <c r="O826">
        <v>825</v>
      </c>
      <c r="P826">
        <v>60570</v>
      </c>
      <c r="Q826">
        <v>24325</v>
      </c>
    </row>
    <row r="827" spans="15:17" x14ac:dyDescent="0.3">
      <c r="O827">
        <v>826</v>
      </c>
      <c r="P827">
        <v>82770</v>
      </c>
      <c r="Q827">
        <v>9695</v>
      </c>
    </row>
    <row r="828" spans="15:17" x14ac:dyDescent="0.3">
      <c r="O828">
        <v>827</v>
      </c>
      <c r="P828">
        <v>128310</v>
      </c>
      <c r="Q828">
        <v>86415</v>
      </c>
    </row>
    <row r="829" spans="15:17" x14ac:dyDescent="0.3">
      <c r="O829">
        <v>828</v>
      </c>
      <c r="P829">
        <v>77040</v>
      </c>
      <c r="Q829">
        <v>78400</v>
      </c>
    </row>
    <row r="830" spans="15:17" x14ac:dyDescent="0.3">
      <c r="O830">
        <v>829</v>
      </c>
      <c r="P830">
        <v>68130</v>
      </c>
      <c r="Q830">
        <v>62265</v>
      </c>
    </row>
    <row r="831" spans="15:17" x14ac:dyDescent="0.3">
      <c r="O831">
        <v>830</v>
      </c>
      <c r="P831">
        <v>48540</v>
      </c>
      <c r="Q831">
        <v>66255</v>
      </c>
    </row>
    <row r="832" spans="15:17" x14ac:dyDescent="0.3">
      <c r="O832">
        <v>831</v>
      </c>
      <c r="P832">
        <v>73020</v>
      </c>
      <c r="Q832">
        <v>35000</v>
      </c>
    </row>
    <row r="833" spans="15:17" x14ac:dyDescent="0.3">
      <c r="O833">
        <v>832</v>
      </c>
      <c r="P833">
        <v>86220</v>
      </c>
      <c r="Q833">
        <v>19075</v>
      </c>
    </row>
    <row r="834" spans="15:17" x14ac:dyDescent="0.3">
      <c r="O834">
        <v>833</v>
      </c>
      <c r="P834">
        <v>132270</v>
      </c>
      <c r="Q834">
        <v>97720</v>
      </c>
    </row>
    <row r="835" spans="15:17" x14ac:dyDescent="0.3">
      <c r="O835">
        <v>834</v>
      </c>
      <c r="P835">
        <v>113160</v>
      </c>
      <c r="Q835">
        <v>96880</v>
      </c>
    </row>
    <row r="836" spans="15:17" x14ac:dyDescent="0.3">
      <c r="O836">
        <v>835</v>
      </c>
      <c r="P836">
        <v>75900</v>
      </c>
      <c r="Q836">
        <v>7035</v>
      </c>
    </row>
    <row r="837" spans="15:17" x14ac:dyDescent="0.3">
      <c r="O837">
        <v>836</v>
      </c>
      <c r="P837">
        <v>61620</v>
      </c>
      <c r="Q837">
        <v>73990</v>
      </c>
    </row>
    <row r="838" spans="15:17" x14ac:dyDescent="0.3">
      <c r="O838">
        <v>837</v>
      </c>
      <c r="P838">
        <v>113460</v>
      </c>
      <c r="Q838">
        <v>29610</v>
      </c>
    </row>
    <row r="839" spans="15:17" x14ac:dyDescent="0.3">
      <c r="O839">
        <v>838</v>
      </c>
      <c r="P839">
        <v>105990</v>
      </c>
      <c r="Q839">
        <v>88515</v>
      </c>
    </row>
    <row r="840" spans="15:17" x14ac:dyDescent="0.3">
      <c r="O840">
        <v>839</v>
      </c>
      <c r="P840">
        <v>48600</v>
      </c>
      <c r="Q840">
        <v>28700</v>
      </c>
    </row>
    <row r="841" spans="15:17" x14ac:dyDescent="0.3">
      <c r="O841">
        <v>840</v>
      </c>
      <c r="P841">
        <v>81630</v>
      </c>
      <c r="Q841">
        <v>53445</v>
      </c>
    </row>
    <row r="842" spans="15:17" x14ac:dyDescent="0.3">
      <c r="O842">
        <v>841</v>
      </c>
      <c r="P842">
        <v>46230</v>
      </c>
      <c r="Q842">
        <v>2870</v>
      </c>
    </row>
    <row r="843" spans="15:17" x14ac:dyDescent="0.3">
      <c r="O843">
        <v>842</v>
      </c>
      <c r="P843">
        <v>50220</v>
      </c>
      <c r="Q843">
        <v>111195</v>
      </c>
    </row>
    <row r="844" spans="15:17" x14ac:dyDescent="0.3">
      <c r="O844">
        <v>843</v>
      </c>
      <c r="P844">
        <v>104700</v>
      </c>
      <c r="Q844">
        <v>69300</v>
      </c>
    </row>
    <row r="845" spans="15:17" x14ac:dyDescent="0.3">
      <c r="O845">
        <v>844</v>
      </c>
      <c r="P845">
        <v>99150</v>
      </c>
      <c r="Q845">
        <v>98770</v>
      </c>
    </row>
    <row r="846" spans="15:17" x14ac:dyDescent="0.3">
      <c r="O846">
        <v>845</v>
      </c>
      <c r="P846">
        <v>56940</v>
      </c>
      <c r="Q846">
        <v>88795</v>
      </c>
    </row>
    <row r="847" spans="15:17" x14ac:dyDescent="0.3">
      <c r="O847">
        <v>846</v>
      </c>
      <c r="P847">
        <v>88290</v>
      </c>
      <c r="Q847">
        <v>72485</v>
      </c>
    </row>
    <row r="848" spans="15:17" x14ac:dyDescent="0.3">
      <c r="O848">
        <v>847</v>
      </c>
      <c r="P848">
        <v>142080</v>
      </c>
      <c r="Q848">
        <v>14595</v>
      </c>
    </row>
    <row r="849" spans="15:17" x14ac:dyDescent="0.3">
      <c r="O849">
        <v>848</v>
      </c>
      <c r="P849">
        <v>103020</v>
      </c>
      <c r="Q849">
        <v>16310</v>
      </c>
    </row>
    <row r="850" spans="15:17" x14ac:dyDescent="0.3">
      <c r="O850">
        <v>849</v>
      </c>
      <c r="P850">
        <v>43680</v>
      </c>
      <c r="Q850">
        <v>-770</v>
      </c>
    </row>
    <row r="851" spans="15:17" x14ac:dyDescent="0.3">
      <c r="O851">
        <v>850</v>
      </c>
      <c r="P851">
        <v>111000</v>
      </c>
      <c r="Q851">
        <v>83895</v>
      </c>
    </row>
    <row r="852" spans="15:17" x14ac:dyDescent="0.3">
      <c r="O852">
        <v>851</v>
      </c>
      <c r="P852">
        <v>98010</v>
      </c>
      <c r="Q852">
        <v>-1120</v>
      </c>
    </row>
    <row r="853" spans="15:17" x14ac:dyDescent="0.3">
      <c r="O853">
        <v>852</v>
      </c>
      <c r="P853">
        <v>118620</v>
      </c>
      <c r="Q853">
        <v>81970</v>
      </c>
    </row>
    <row r="854" spans="15:17" x14ac:dyDescent="0.3">
      <c r="O854">
        <v>853</v>
      </c>
      <c r="P854">
        <v>110430</v>
      </c>
      <c r="Q854">
        <v>35700</v>
      </c>
    </row>
    <row r="855" spans="15:17" x14ac:dyDescent="0.3">
      <c r="O855">
        <v>854</v>
      </c>
      <c r="P855">
        <v>83700</v>
      </c>
      <c r="Q855">
        <v>14490</v>
      </c>
    </row>
    <row r="856" spans="15:17" x14ac:dyDescent="0.3">
      <c r="O856">
        <v>855</v>
      </c>
      <c r="P856">
        <v>126270</v>
      </c>
      <c r="Q856">
        <v>93485</v>
      </c>
    </row>
    <row r="857" spans="15:17" x14ac:dyDescent="0.3">
      <c r="O857">
        <v>856</v>
      </c>
      <c r="P857">
        <v>70800</v>
      </c>
      <c r="Q857">
        <v>136290</v>
      </c>
    </row>
    <row r="858" spans="15:17" x14ac:dyDescent="0.3">
      <c r="O858">
        <v>857</v>
      </c>
      <c r="P858">
        <v>117480</v>
      </c>
      <c r="Q858">
        <v>136465</v>
      </c>
    </row>
    <row r="859" spans="15:17" x14ac:dyDescent="0.3">
      <c r="O859">
        <v>858</v>
      </c>
      <c r="P859">
        <v>78840</v>
      </c>
      <c r="Q859">
        <v>23205</v>
      </c>
    </row>
    <row r="860" spans="15:17" x14ac:dyDescent="0.3">
      <c r="O860">
        <v>859</v>
      </c>
      <c r="P860">
        <v>100650</v>
      </c>
      <c r="Q860">
        <v>31395</v>
      </c>
    </row>
    <row r="861" spans="15:17" x14ac:dyDescent="0.3">
      <c r="O861">
        <v>860</v>
      </c>
      <c r="P861">
        <v>96300</v>
      </c>
      <c r="Q861">
        <v>54775</v>
      </c>
    </row>
    <row r="862" spans="15:17" x14ac:dyDescent="0.3">
      <c r="O862">
        <v>861</v>
      </c>
      <c r="P862">
        <v>78630</v>
      </c>
      <c r="Q862">
        <v>-3045</v>
      </c>
    </row>
    <row r="863" spans="15:17" x14ac:dyDescent="0.3">
      <c r="O863">
        <v>862</v>
      </c>
      <c r="P863">
        <v>52050</v>
      </c>
      <c r="Q863">
        <v>58520</v>
      </c>
    </row>
    <row r="864" spans="15:17" x14ac:dyDescent="0.3">
      <c r="O864">
        <v>863</v>
      </c>
      <c r="P864">
        <v>58320</v>
      </c>
      <c r="Q864">
        <v>29540</v>
      </c>
    </row>
    <row r="865" spans="15:17" x14ac:dyDescent="0.3">
      <c r="O865">
        <v>864</v>
      </c>
      <c r="P865">
        <v>47910</v>
      </c>
      <c r="Q865">
        <v>39515</v>
      </c>
    </row>
    <row r="866" spans="15:17" x14ac:dyDescent="0.3">
      <c r="O866">
        <v>865</v>
      </c>
      <c r="P866">
        <v>52380</v>
      </c>
      <c r="Q866">
        <v>74830</v>
      </c>
    </row>
    <row r="867" spans="15:17" x14ac:dyDescent="0.3">
      <c r="O867">
        <v>866</v>
      </c>
      <c r="P867">
        <v>115110</v>
      </c>
      <c r="Q867">
        <v>79310</v>
      </c>
    </row>
    <row r="868" spans="15:17" x14ac:dyDescent="0.3">
      <c r="O868">
        <v>867</v>
      </c>
      <c r="P868">
        <v>116700</v>
      </c>
      <c r="Q868">
        <v>35560</v>
      </c>
    </row>
    <row r="869" spans="15:17" x14ac:dyDescent="0.3">
      <c r="O869">
        <v>868</v>
      </c>
      <c r="P869">
        <v>103320</v>
      </c>
      <c r="Q869">
        <v>74445</v>
      </c>
    </row>
    <row r="870" spans="15:17" x14ac:dyDescent="0.3">
      <c r="O870">
        <v>869</v>
      </c>
      <c r="P870">
        <v>110910</v>
      </c>
      <c r="Q870">
        <v>5600</v>
      </c>
    </row>
    <row r="871" spans="15:17" x14ac:dyDescent="0.3">
      <c r="O871">
        <v>870</v>
      </c>
      <c r="P871">
        <v>47970</v>
      </c>
      <c r="Q871">
        <v>78400</v>
      </c>
    </row>
    <row r="872" spans="15:17" x14ac:dyDescent="0.3">
      <c r="O872">
        <v>871</v>
      </c>
      <c r="P872">
        <v>56340</v>
      </c>
      <c r="Q872">
        <v>104125</v>
      </c>
    </row>
    <row r="873" spans="15:17" x14ac:dyDescent="0.3">
      <c r="O873">
        <v>872</v>
      </c>
      <c r="P873">
        <v>60480</v>
      </c>
      <c r="Q873">
        <v>29540</v>
      </c>
    </row>
    <row r="874" spans="15:17" x14ac:dyDescent="0.3">
      <c r="O874">
        <v>873</v>
      </c>
      <c r="P874">
        <v>67830</v>
      </c>
      <c r="Q874">
        <v>120575</v>
      </c>
    </row>
    <row r="875" spans="15:17" x14ac:dyDescent="0.3">
      <c r="O875">
        <v>874</v>
      </c>
      <c r="P875">
        <v>98220</v>
      </c>
      <c r="Q875">
        <v>68705</v>
      </c>
    </row>
    <row r="876" spans="15:17" x14ac:dyDescent="0.3">
      <c r="O876">
        <v>875</v>
      </c>
      <c r="P876">
        <v>69030</v>
      </c>
      <c r="Q876">
        <v>99155</v>
      </c>
    </row>
    <row r="877" spans="15:17" x14ac:dyDescent="0.3">
      <c r="O877">
        <v>876</v>
      </c>
      <c r="P877">
        <v>96900</v>
      </c>
      <c r="Q877">
        <v>121310</v>
      </c>
    </row>
    <row r="878" spans="15:17" x14ac:dyDescent="0.3">
      <c r="O878">
        <v>877</v>
      </c>
      <c r="P878">
        <v>56250</v>
      </c>
      <c r="Q878">
        <v>35840</v>
      </c>
    </row>
    <row r="879" spans="15:17" x14ac:dyDescent="0.3">
      <c r="O879">
        <v>878</v>
      </c>
      <c r="P879">
        <v>115860</v>
      </c>
      <c r="Q879">
        <v>-10570</v>
      </c>
    </row>
    <row r="880" spans="15:17" x14ac:dyDescent="0.3">
      <c r="O880">
        <v>879</v>
      </c>
      <c r="P880">
        <v>112710</v>
      </c>
      <c r="Q880">
        <v>91420</v>
      </c>
    </row>
    <row r="881" spans="15:17" x14ac:dyDescent="0.3">
      <c r="O881">
        <v>880</v>
      </c>
      <c r="P881">
        <v>100080</v>
      </c>
      <c r="Q881">
        <v>32025</v>
      </c>
    </row>
    <row r="882" spans="15:17" x14ac:dyDescent="0.3">
      <c r="O882">
        <v>881</v>
      </c>
      <c r="P882">
        <v>31410</v>
      </c>
      <c r="Q882">
        <v>63105</v>
      </c>
    </row>
    <row r="883" spans="15:17" x14ac:dyDescent="0.3">
      <c r="O883">
        <v>882</v>
      </c>
      <c r="P883">
        <v>86310</v>
      </c>
      <c r="Q883">
        <v>67410</v>
      </c>
    </row>
    <row r="884" spans="15:17" x14ac:dyDescent="0.3">
      <c r="O884">
        <v>883</v>
      </c>
      <c r="P884">
        <v>47340</v>
      </c>
      <c r="Q884">
        <v>85400</v>
      </c>
    </row>
    <row r="885" spans="15:17" x14ac:dyDescent="0.3">
      <c r="O885">
        <v>884</v>
      </c>
      <c r="P885">
        <v>103710</v>
      </c>
      <c r="Q885">
        <v>104055</v>
      </c>
    </row>
    <row r="886" spans="15:17" x14ac:dyDescent="0.3">
      <c r="O886">
        <v>885</v>
      </c>
      <c r="P886">
        <v>98820</v>
      </c>
      <c r="Q886">
        <v>16870</v>
      </c>
    </row>
    <row r="887" spans="15:17" x14ac:dyDescent="0.3">
      <c r="O887">
        <v>886</v>
      </c>
      <c r="P887">
        <v>107760</v>
      </c>
      <c r="Q887">
        <v>98280</v>
      </c>
    </row>
    <row r="888" spans="15:17" x14ac:dyDescent="0.3">
      <c r="O888">
        <v>887</v>
      </c>
      <c r="P888">
        <v>77130</v>
      </c>
      <c r="Q888">
        <v>33355</v>
      </c>
    </row>
    <row r="889" spans="15:17" x14ac:dyDescent="0.3">
      <c r="O889">
        <v>888</v>
      </c>
      <c r="P889">
        <v>112230</v>
      </c>
      <c r="Q889">
        <v>34300</v>
      </c>
    </row>
    <row r="890" spans="15:17" x14ac:dyDescent="0.3">
      <c r="O890">
        <v>889</v>
      </c>
      <c r="P890">
        <v>87600</v>
      </c>
      <c r="Q890">
        <v>12460</v>
      </c>
    </row>
    <row r="891" spans="15:17" x14ac:dyDescent="0.3">
      <c r="O891">
        <v>890</v>
      </c>
      <c r="P891">
        <v>121560</v>
      </c>
      <c r="Q891">
        <v>60725</v>
      </c>
    </row>
    <row r="892" spans="15:17" x14ac:dyDescent="0.3">
      <c r="O892">
        <v>891</v>
      </c>
      <c r="P892">
        <v>124020</v>
      </c>
      <c r="Q892">
        <v>36575</v>
      </c>
    </row>
    <row r="893" spans="15:17" x14ac:dyDescent="0.3">
      <c r="O893">
        <v>892</v>
      </c>
      <c r="P893">
        <v>82530</v>
      </c>
      <c r="Q893">
        <v>54775</v>
      </c>
    </row>
    <row r="894" spans="15:17" x14ac:dyDescent="0.3">
      <c r="O894">
        <v>893</v>
      </c>
      <c r="P894">
        <v>86910</v>
      </c>
      <c r="Q894">
        <v>79835</v>
      </c>
    </row>
    <row r="895" spans="15:17" x14ac:dyDescent="0.3">
      <c r="O895">
        <v>894</v>
      </c>
      <c r="P895">
        <v>76380</v>
      </c>
      <c r="Q895">
        <v>45710</v>
      </c>
    </row>
    <row r="896" spans="15:17" x14ac:dyDescent="0.3">
      <c r="O896">
        <v>895</v>
      </c>
      <c r="P896">
        <v>54360</v>
      </c>
      <c r="Q896">
        <v>48090</v>
      </c>
    </row>
    <row r="897" spans="15:17" x14ac:dyDescent="0.3">
      <c r="O897">
        <v>896</v>
      </c>
      <c r="P897">
        <v>111930</v>
      </c>
      <c r="Q897">
        <v>36225</v>
      </c>
    </row>
    <row r="898" spans="15:17" x14ac:dyDescent="0.3">
      <c r="O898">
        <v>897</v>
      </c>
      <c r="P898">
        <v>93780</v>
      </c>
      <c r="Q898">
        <v>48265</v>
      </c>
    </row>
    <row r="899" spans="15:17" x14ac:dyDescent="0.3">
      <c r="O899">
        <v>898</v>
      </c>
      <c r="P899">
        <v>113670</v>
      </c>
      <c r="Q899">
        <v>49420</v>
      </c>
    </row>
    <row r="900" spans="15:17" x14ac:dyDescent="0.3">
      <c r="O900">
        <v>899</v>
      </c>
      <c r="P900">
        <v>123510</v>
      </c>
      <c r="Q900">
        <v>86625</v>
      </c>
    </row>
    <row r="901" spans="15:17" x14ac:dyDescent="0.3">
      <c r="O901">
        <v>900</v>
      </c>
      <c r="P901">
        <v>90600</v>
      </c>
      <c r="Q901">
        <v>63630</v>
      </c>
    </row>
    <row r="902" spans="15:17" x14ac:dyDescent="0.3">
      <c r="O902">
        <v>901</v>
      </c>
      <c r="P902">
        <v>46590</v>
      </c>
      <c r="Q902">
        <v>109725</v>
      </c>
    </row>
    <row r="903" spans="15:17" x14ac:dyDescent="0.3">
      <c r="O903">
        <v>902</v>
      </c>
      <c r="P903">
        <v>66000</v>
      </c>
      <c r="Q903">
        <v>40565</v>
      </c>
    </row>
    <row r="904" spans="15:17" x14ac:dyDescent="0.3">
      <c r="O904">
        <v>903</v>
      </c>
      <c r="P904">
        <v>41160</v>
      </c>
      <c r="Q904">
        <v>107170</v>
      </c>
    </row>
    <row r="905" spans="15:17" x14ac:dyDescent="0.3">
      <c r="O905">
        <v>904</v>
      </c>
      <c r="P905">
        <v>85140</v>
      </c>
      <c r="Q905">
        <v>42665</v>
      </c>
    </row>
    <row r="906" spans="15:17" x14ac:dyDescent="0.3">
      <c r="O906">
        <v>905</v>
      </c>
      <c r="P906">
        <v>114810</v>
      </c>
      <c r="Q906">
        <v>24395</v>
      </c>
    </row>
    <row r="907" spans="15:17" x14ac:dyDescent="0.3">
      <c r="O907">
        <v>906</v>
      </c>
      <c r="P907">
        <v>61440</v>
      </c>
      <c r="Q907">
        <v>38885</v>
      </c>
    </row>
    <row r="908" spans="15:17" x14ac:dyDescent="0.3">
      <c r="O908">
        <v>907</v>
      </c>
      <c r="P908">
        <v>54210</v>
      </c>
      <c r="Q908">
        <v>79240</v>
      </c>
    </row>
    <row r="909" spans="15:17" x14ac:dyDescent="0.3">
      <c r="O909">
        <v>908</v>
      </c>
      <c r="P909">
        <v>94080</v>
      </c>
      <c r="Q909">
        <v>24605</v>
      </c>
    </row>
    <row r="910" spans="15:17" x14ac:dyDescent="0.3">
      <c r="O910">
        <v>909</v>
      </c>
      <c r="P910">
        <v>93630</v>
      </c>
      <c r="Q910">
        <v>76195</v>
      </c>
    </row>
    <row r="911" spans="15:17" x14ac:dyDescent="0.3">
      <c r="O911">
        <v>910</v>
      </c>
      <c r="P911">
        <v>68550</v>
      </c>
      <c r="Q911">
        <v>30030</v>
      </c>
    </row>
    <row r="912" spans="15:17" x14ac:dyDescent="0.3">
      <c r="O912">
        <v>911</v>
      </c>
      <c r="P912">
        <v>62400</v>
      </c>
      <c r="Q912">
        <v>108675</v>
      </c>
    </row>
    <row r="913" spans="15:17" x14ac:dyDescent="0.3">
      <c r="O913">
        <v>912</v>
      </c>
      <c r="P913">
        <v>41190</v>
      </c>
      <c r="Q913">
        <v>47180</v>
      </c>
    </row>
    <row r="914" spans="15:17" x14ac:dyDescent="0.3">
      <c r="O914">
        <v>913</v>
      </c>
      <c r="P914">
        <v>76950</v>
      </c>
      <c r="Q914">
        <v>122185</v>
      </c>
    </row>
    <row r="915" spans="15:17" x14ac:dyDescent="0.3">
      <c r="O915">
        <v>914</v>
      </c>
      <c r="P915">
        <v>70740</v>
      </c>
      <c r="Q915">
        <v>46690</v>
      </c>
    </row>
    <row r="916" spans="15:17" x14ac:dyDescent="0.3">
      <c r="O916">
        <v>915</v>
      </c>
      <c r="P916">
        <v>71580</v>
      </c>
      <c r="Q916">
        <v>75880</v>
      </c>
    </row>
    <row r="917" spans="15:17" x14ac:dyDescent="0.3">
      <c r="O917">
        <v>916</v>
      </c>
      <c r="P917">
        <v>97620</v>
      </c>
      <c r="Q917">
        <v>63735</v>
      </c>
    </row>
    <row r="918" spans="15:17" x14ac:dyDescent="0.3">
      <c r="O918">
        <v>917</v>
      </c>
      <c r="P918">
        <v>73800</v>
      </c>
      <c r="Q918">
        <v>24815</v>
      </c>
    </row>
    <row r="919" spans="15:17" x14ac:dyDescent="0.3">
      <c r="O919">
        <v>918</v>
      </c>
      <c r="P919">
        <v>125820</v>
      </c>
      <c r="Q919">
        <v>31570</v>
      </c>
    </row>
    <row r="920" spans="15:17" x14ac:dyDescent="0.3">
      <c r="O920">
        <v>919</v>
      </c>
      <c r="P920">
        <v>107550</v>
      </c>
      <c r="Q920">
        <v>81970</v>
      </c>
    </row>
    <row r="921" spans="15:17" x14ac:dyDescent="0.3">
      <c r="O921">
        <v>920</v>
      </c>
      <c r="P921">
        <v>109800</v>
      </c>
      <c r="Q921">
        <v>19985</v>
      </c>
    </row>
    <row r="922" spans="15:17" x14ac:dyDescent="0.3">
      <c r="O922">
        <v>921</v>
      </c>
      <c r="P922">
        <v>93210</v>
      </c>
      <c r="Q922">
        <v>39725</v>
      </c>
    </row>
    <row r="923" spans="15:17" x14ac:dyDescent="0.3">
      <c r="O923">
        <v>922</v>
      </c>
      <c r="P923">
        <v>83130</v>
      </c>
      <c r="Q923">
        <v>98350</v>
      </c>
    </row>
    <row r="924" spans="15:17" x14ac:dyDescent="0.3">
      <c r="O924">
        <v>923</v>
      </c>
      <c r="P924">
        <v>124050</v>
      </c>
      <c r="Q924">
        <v>131145</v>
      </c>
    </row>
    <row r="925" spans="15:17" x14ac:dyDescent="0.3">
      <c r="O925">
        <v>924</v>
      </c>
      <c r="P925">
        <v>82080</v>
      </c>
      <c r="Q925">
        <v>25445</v>
      </c>
    </row>
    <row r="926" spans="15:17" x14ac:dyDescent="0.3">
      <c r="O926">
        <v>925</v>
      </c>
      <c r="P926">
        <v>97170</v>
      </c>
      <c r="Q926">
        <v>41685</v>
      </c>
    </row>
    <row r="927" spans="15:17" x14ac:dyDescent="0.3">
      <c r="O927">
        <v>926</v>
      </c>
      <c r="P927">
        <v>94410</v>
      </c>
      <c r="Q927">
        <v>19180</v>
      </c>
    </row>
    <row r="928" spans="15:17" x14ac:dyDescent="0.3">
      <c r="O928">
        <v>927</v>
      </c>
      <c r="P928">
        <v>94140</v>
      </c>
      <c r="Q928">
        <v>30240</v>
      </c>
    </row>
    <row r="929" spans="15:17" x14ac:dyDescent="0.3">
      <c r="O929">
        <v>928</v>
      </c>
      <c r="P929">
        <v>103320</v>
      </c>
      <c r="Q929">
        <v>48790</v>
      </c>
    </row>
    <row r="930" spans="15:17" x14ac:dyDescent="0.3">
      <c r="O930">
        <v>929</v>
      </c>
      <c r="P930">
        <v>73530</v>
      </c>
      <c r="Q930">
        <v>8190</v>
      </c>
    </row>
    <row r="931" spans="15:17" x14ac:dyDescent="0.3">
      <c r="O931">
        <v>930</v>
      </c>
      <c r="P931">
        <v>52740</v>
      </c>
      <c r="Q931">
        <v>95165</v>
      </c>
    </row>
    <row r="932" spans="15:17" x14ac:dyDescent="0.3">
      <c r="O932">
        <v>931</v>
      </c>
      <c r="P932">
        <v>104340</v>
      </c>
      <c r="Q932">
        <v>121870</v>
      </c>
    </row>
    <row r="933" spans="15:17" x14ac:dyDescent="0.3">
      <c r="O933">
        <v>932</v>
      </c>
      <c r="P933">
        <v>86760</v>
      </c>
      <c r="Q933">
        <v>60200</v>
      </c>
    </row>
    <row r="934" spans="15:17" x14ac:dyDescent="0.3">
      <c r="O934">
        <v>933</v>
      </c>
      <c r="P934">
        <v>31590</v>
      </c>
      <c r="Q934">
        <v>89040</v>
      </c>
    </row>
    <row r="935" spans="15:17" x14ac:dyDescent="0.3">
      <c r="O935">
        <v>934</v>
      </c>
      <c r="P935">
        <v>100410</v>
      </c>
      <c r="Q935">
        <v>43820</v>
      </c>
    </row>
    <row r="936" spans="15:17" x14ac:dyDescent="0.3">
      <c r="O936">
        <v>935</v>
      </c>
      <c r="P936">
        <v>125430</v>
      </c>
      <c r="Q936">
        <v>89040</v>
      </c>
    </row>
    <row r="937" spans="15:17" x14ac:dyDescent="0.3">
      <c r="O937">
        <v>936</v>
      </c>
      <c r="P937">
        <v>114120</v>
      </c>
      <c r="Q937">
        <v>72590</v>
      </c>
    </row>
    <row r="938" spans="15:17" x14ac:dyDescent="0.3">
      <c r="O938">
        <v>937</v>
      </c>
      <c r="P938">
        <v>121980</v>
      </c>
      <c r="Q938">
        <v>91770</v>
      </c>
    </row>
    <row r="939" spans="15:17" x14ac:dyDescent="0.3">
      <c r="O939">
        <v>938</v>
      </c>
      <c r="P939">
        <v>105360</v>
      </c>
      <c r="Q939">
        <v>128835</v>
      </c>
    </row>
    <row r="940" spans="15:17" x14ac:dyDescent="0.3">
      <c r="O940">
        <v>939</v>
      </c>
      <c r="P940">
        <v>79320</v>
      </c>
      <c r="Q940">
        <v>30135</v>
      </c>
    </row>
    <row r="941" spans="15:17" x14ac:dyDescent="0.3">
      <c r="O941">
        <v>940</v>
      </c>
      <c r="P941">
        <v>65940</v>
      </c>
      <c r="Q941">
        <v>49280</v>
      </c>
    </row>
    <row r="942" spans="15:17" x14ac:dyDescent="0.3">
      <c r="O942">
        <v>941</v>
      </c>
      <c r="P942">
        <v>50880</v>
      </c>
      <c r="Q942">
        <v>60655</v>
      </c>
    </row>
    <row r="943" spans="15:17" x14ac:dyDescent="0.3">
      <c r="O943">
        <v>942</v>
      </c>
      <c r="P943">
        <v>140190</v>
      </c>
      <c r="Q943">
        <v>113260</v>
      </c>
    </row>
    <row r="944" spans="15:17" x14ac:dyDescent="0.3">
      <c r="O944">
        <v>943</v>
      </c>
      <c r="P944">
        <v>78030</v>
      </c>
      <c r="Q944">
        <v>127365</v>
      </c>
    </row>
    <row r="945" spans="15:17" x14ac:dyDescent="0.3">
      <c r="O945">
        <v>944</v>
      </c>
      <c r="P945">
        <v>45510</v>
      </c>
      <c r="Q945">
        <v>105840</v>
      </c>
    </row>
    <row r="946" spans="15:17" x14ac:dyDescent="0.3">
      <c r="O946">
        <v>945</v>
      </c>
      <c r="P946">
        <v>92520</v>
      </c>
      <c r="Q946">
        <v>44205</v>
      </c>
    </row>
    <row r="947" spans="15:17" x14ac:dyDescent="0.3">
      <c r="O947">
        <v>946</v>
      </c>
      <c r="P947">
        <v>35040</v>
      </c>
      <c r="Q947">
        <v>42945</v>
      </c>
    </row>
    <row r="948" spans="15:17" x14ac:dyDescent="0.3">
      <c r="O948">
        <v>947</v>
      </c>
      <c r="P948">
        <v>99840</v>
      </c>
      <c r="Q948">
        <v>18200</v>
      </c>
    </row>
    <row r="949" spans="15:17" x14ac:dyDescent="0.3">
      <c r="O949">
        <v>948</v>
      </c>
      <c r="P949">
        <v>91170</v>
      </c>
      <c r="Q949">
        <v>24325</v>
      </c>
    </row>
    <row r="950" spans="15:17" x14ac:dyDescent="0.3">
      <c r="O950">
        <v>949</v>
      </c>
      <c r="P950">
        <v>103170</v>
      </c>
      <c r="Q950">
        <v>7980</v>
      </c>
    </row>
    <row r="951" spans="15:17" x14ac:dyDescent="0.3">
      <c r="O951">
        <v>950</v>
      </c>
      <c r="P951">
        <v>50280</v>
      </c>
      <c r="Q951">
        <v>57015</v>
      </c>
    </row>
    <row r="952" spans="15:17" x14ac:dyDescent="0.3">
      <c r="O952">
        <v>951</v>
      </c>
      <c r="P952">
        <v>60120</v>
      </c>
      <c r="Q952">
        <v>-4865</v>
      </c>
    </row>
    <row r="953" spans="15:17" x14ac:dyDescent="0.3">
      <c r="O953">
        <v>952</v>
      </c>
      <c r="P953">
        <v>92730</v>
      </c>
      <c r="Q953">
        <v>28560</v>
      </c>
    </row>
    <row r="954" spans="15:17" x14ac:dyDescent="0.3">
      <c r="O954">
        <v>953</v>
      </c>
      <c r="P954">
        <v>88080</v>
      </c>
      <c r="Q954">
        <v>3325</v>
      </c>
    </row>
    <row r="955" spans="15:17" x14ac:dyDescent="0.3">
      <c r="O955">
        <v>954</v>
      </c>
      <c r="P955">
        <v>50730</v>
      </c>
      <c r="Q955">
        <v>41125</v>
      </c>
    </row>
    <row r="956" spans="15:17" x14ac:dyDescent="0.3">
      <c r="O956">
        <v>955</v>
      </c>
      <c r="P956">
        <v>114540</v>
      </c>
      <c r="Q956">
        <v>49735</v>
      </c>
    </row>
    <row r="957" spans="15:17" x14ac:dyDescent="0.3">
      <c r="O957">
        <v>956</v>
      </c>
      <c r="P957">
        <v>107070</v>
      </c>
      <c r="Q957">
        <v>63910</v>
      </c>
    </row>
    <row r="958" spans="15:17" x14ac:dyDescent="0.3">
      <c r="O958">
        <v>957</v>
      </c>
      <c r="P958">
        <v>80910</v>
      </c>
      <c r="Q958">
        <v>72590</v>
      </c>
    </row>
    <row r="959" spans="15:17" x14ac:dyDescent="0.3">
      <c r="O959">
        <v>958</v>
      </c>
      <c r="P959">
        <v>99630</v>
      </c>
      <c r="Q959">
        <v>72030</v>
      </c>
    </row>
    <row r="960" spans="15:17" x14ac:dyDescent="0.3">
      <c r="O960">
        <v>959</v>
      </c>
      <c r="P960">
        <v>42150</v>
      </c>
      <c r="Q960">
        <v>101185</v>
      </c>
    </row>
    <row r="961" spans="15:17" x14ac:dyDescent="0.3">
      <c r="O961">
        <v>960</v>
      </c>
      <c r="P961">
        <v>24120</v>
      </c>
      <c r="Q961">
        <v>111405</v>
      </c>
    </row>
    <row r="962" spans="15:17" x14ac:dyDescent="0.3">
      <c r="O962">
        <v>961</v>
      </c>
      <c r="P962">
        <v>107280</v>
      </c>
      <c r="Q962">
        <v>86765</v>
      </c>
    </row>
    <row r="963" spans="15:17" x14ac:dyDescent="0.3">
      <c r="O963">
        <v>962</v>
      </c>
      <c r="P963">
        <v>104160</v>
      </c>
      <c r="Q963">
        <v>106575</v>
      </c>
    </row>
    <row r="964" spans="15:17" x14ac:dyDescent="0.3">
      <c r="O964">
        <v>963</v>
      </c>
      <c r="P964">
        <v>118740</v>
      </c>
      <c r="Q964">
        <v>19530</v>
      </c>
    </row>
    <row r="965" spans="15:17" x14ac:dyDescent="0.3">
      <c r="O965">
        <v>964</v>
      </c>
      <c r="P965">
        <v>56130</v>
      </c>
      <c r="Q965">
        <v>40005</v>
      </c>
    </row>
    <row r="966" spans="15:17" x14ac:dyDescent="0.3">
      <c r="O966">
        <v>965</v>
      </c>
      <c r="P966">
        <v>42660</v>
      </c>
      <c r="Q966">
        <v>36715</v>
      </c>
    </row>
    <row r="967" spans="15:17" x14ac:dyDescent="0.3">
      <c r="O967">
        <v>966</v>
      </c>
      <c r="P967">
        <v>52260</v>
      </c>
      <c r="Q967">
        <v>62020</v>
      </c>
    </row>
    <row r="968" spans="15:17" x14ac:dyDescent="0.3">
      <c r="O968">
        <v>967</v>
      </c>
      <c r="P968">
        <v>72270</v>
      </c>
      <c r="Q968">
        <v>8540</v>
      </c>
    </row>
    <row r="969" spans="15:17" x14ac:dyDescent="0.3">
      <c r="O969">
        <v>968</v>
      </c>
      <c r="P969">
        <v>65580</v>
      </c>
      <c r="Q969">
        <v>59920</v>
      </c>
    </row>
    <row r="970" spans="15:17" x14ac:dyDescent="0.3">
      <c r="O970">
        <v>969</v>
      </c>
      <c r="P970">
        <v>70830</v>
      </c>
      <c r="Q970">
        <v>69405</v>
      </c>
    </row>
    <row r="971" spans="15:17" x14ac:dyDescent="0.3">
      <c r="O971">
        <v>970</v>
      </c>
      <c r="P971">
        <v>138960</v>
      </c>
      <c r="Q971">
        <v>119105</v>
      </c>
    </row>
    <row r="972" spans="15:17" x14ac:dyDescent="0.3">
      <c r="O972">
        <v>971</v>
      </c>
      <c r="P972">
        <v>123300</v>
      </c>
      <c r="Q972">
        <v>85470</v>
      </c>
    </row>
    <row r="973" spans="15:17" x14ac:dyDescent="0.3">
      <c r="O973">
        <v>972</v>
      </c>
      <c r="P973">
        <v>90240</v>
      </c>
      <c r="Q973">
        <v>58835</v>
      </c>
    </row>
    <row r="974" spans="15:17" x14ac:dyDescent="0.3">
      <c r="O974">
        <v>973</v>
      </c>
      <c r="P974">
        <v>44520</v>
      </c>
      <c r="Q974">
        <v>108150</v>
      </c>
    </row>
    <row r="975" spans="15:17" x14ac:dyDescent="0.3">
      <c r="O975">
        <v>974</v>
      </c>
      <c r="P975">
        <v>43680</v>
      </c>
      <c r="Q975">
        <v>50505</v>
      </c>
    </row>
    <row r="976" spans="15:17" x14ac:dyDescent="0.3">
      <c r="O976">
        <v>975</v>
      </c>
      <c r="P976">
        <v>140070</v>
      </c>
      <c r="Q976">
        <v>92960</v>
      </c>
    </row>
    <row r="977" spans="15:17" x14ac:dyDescent="0.3">
      <c r="O977">
        <v>976</v>
      </c>
      <c r="P977">
        <v>94620</v>
      </c>
      <c r="Q977">
        <v>83720</v>
      </c>
    </row>
    <row r="978" spans="15:17" x14ac:dyDescent="0.3">
      <c r="O978">
        <v>977</v>
      </c>
      <c r="P978">
        <v>102990</v>
      </c>
      <c r="Q978">
        <v>50155</v>
      </c>
    </row>
    <row r="979" spans="15:17" x14ac:dyDescent="0.3">
      <c r="O979">
        <v>978</v>
      </c>
      <c r="P979">
        <v>61710</v>
      </c>
      <c r="Q979">
        <v>64995</v>
      </c>
    </row>
    <row r="980" spans="15:17" x14ac:dyDescent="0.3">
      <c r="O980">
        <v>979</v>
      </c>
      <c r="P980">
        <v>105810</v>
      </c>
      <c r="Q980">
        <v>77000</v>
      </c>
    </row>
    <row r="981" spans="15:17" x14ac:dyDescent="0.3">
      <c r="O981">
        <v>980</v>
      </c>
      <c r="P981">
        <v>64950</v>
      </c>
      <c r="Q981">
        <v>69125</v>
      </c>
    </row>
    <row r="982" spans="15:17" x14ac:dyDescent="0.3">
      <c r="O982">
        <v>981</v>
      </c>
      <c r="P982">
        <v>118530</v>
      </c>
      <c r="Q982">
        <v>90440</v>
      </c>
    </row>
    <row r="983" spans="15:17" x14ac:dyDescent="0.3">
      <c r="O983">
        <v>982</v>
      </c>
      <c r="P983">
        <v>42870</v>
      </c>
      <c r="Q983">
        <v>84630</v>
      </c>
    </row>
    <row r="984" spans="15:17" x14ac:dyDescent="0.3">
      <c r="O984">
        <v>983</v>
      </c>
      <c r="P984">
        <v>40680</v>
      </c>
      <c r="Q984">
        <v>97720</v>
      </c>
    </row>
    <row r="985" spans="15:17" x14ac:dyDescent="0.3">
      <c r="O985">
        <v>984</v>
      </c>
      <c r="P985">
        <v>82470</v>
      </c>
      <c r="Q985">
        <v>54250</v>
      </c>
    </row>
    <row r="986" spans="15:17" x14ac:dyDescent="0.3">
      <c r="O986">
        <v>985</v>
      </c>
      <c r="P986">
        <v>100290</v>
      </c>
      <c r="Q986">
        <v>107170</v>
      </c>
    </row>
    <row r="987" spans="15:17" x14ac:dyDescent="0.3">
      <c r="O987">
        <v>986</v>
      </c>
      <c r="P987">
        <v>114360</v>
      </c>
      <c r="Q987">
        <v>94605</v>
      </c>
    </row>
    <row r="988" spans="15:17" x14ac:dyDescent="0.3">
      <c r="O988">
        <v>987</v>
      </c>
      <c r="P988">
        <v>45300</v>
      </c>
      <c r="Q988">
        <v>67270</v>
      </c>
    </row>
    <row r="989" spans="15:17" x14ac:dyDescent="0.3">
      <c r="O989">
        <v>988</v>
      </c>
      <c r="P989">
        <v>86160</v>
      </c>
      <c r="Q989">
        <v>11655</v>
      </c>
    </row>
    <row r="990" spans="15:17" x14ac:dyDescent="0.3">
      <c r="O990">
        <v>989</v>
      </c>
      <c r="P990">
        <v>88950</v>
      </c>
      <c r="Q990">
        <v>70665</v>
      </c>
    </row>
    <row r="991" spans="15:17" x14ac:dyDescent="0.3">
      <c r="O991">
        <v>990</v>
      </c>
      <c r="P991">
        <v>98490</v>
      </c>
      <c r="Q991">
        <v>63875</v>
      </c>
    </row>
    <row r="992" spans="15:17" x14ac:dyDescent="0.3">
      <c r="O992">
        <v>991</v>
      </c>
      <c r="P992">
        <v>89040</v>
      </c>
      <c r="Q992">
        <v>67830</v>
      </c>
    </row>
    <row r="993" spans="15:17" x14ac:dyDescent="0.3">
      <c r="O993">
        <v>992</v>
      </c>
      <c r="P993">
        <v>84210</v>
      </c>
      <c r="Q993">
        <v>13300</v>
      </c>
    </row>
    <row r="994" spans="15:17" x14ac:dyDescent="0.3">
      <c r="O994">
        <v>993</v>
      </c>
      <c r="P994">
        <v>29250</v>
      </c>
      <c r="Q994">
        <v>72170</v>
      </c>
    </row>
    <row r="995" spans="15:17" x14ac:dyDescent="0.3">
      <c r="O995">
        <v>994</v>
      </c>
      <c r="P995">
        <v>82890</v>
      </c>
      <c r="Q995">
        <v>100275</v>
      </c>
    </row>
    <row r="996" spans="15:17" x14ac:dyDescent="0.3">
      <c r="O996">
        <v>995</v>
      </c>
      <c r="P996">
        <v>44820</v>
      </c>
      <c r="Q996">
        <v>32060</v>
      </c>
    </row>
    <row r="997" spans="15:17" x14ac:dyDescent="0.3">
      <c r="O997">
        <v>996</v>
      </c>
      <c r="P997">
        <v>104700</v>
      </c>
      <c r="Q997">
        <v>88095</v>
      </c>
    </row>
    <row r="998" spans="15:17" x14ac:dyDescent="0.3">
      <c r="O998">
        <v>997</v>
      </c>
      <c r="P998">
        <v>81390</v>
      </c>
      <c r="Q998">
        <v>37765</v>
      </c>
    </row>
    <row r="999" spans="15:17" x14ac:dyDescent="0.3">
      <c r="O999">
        <v>998</v>
      </c>
      <c r="P999">
        <v>101130</v>
      </c>
      <c r="Q999">
        <v>116305</v>
      </c>
    </row>
    <row r="1000" spans="15:17" x14ac:dyDescent="0.3">
      <c r="O1000">
        <v>999</v>
      </c>
      <c r="P1000">
        <v>91380</v>
      </c>
      <c r="Q1000">
        <v>49420</v>
      </c>
    </row>
    <row r="1001" spans="15:17" x14ac:dyDescent="0.3">
      <c r="O1001">
        <v>1000</v>
      </c>
      <c r="P1001">
        <v>125010</v>
      </c>
      <c r="Q1001">
        <v>37030</v>
      </c>
    </row>
  </sheetData>
  <mergeCells count="1">
    <mergeCell ref="B3:F26"/>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A8AC2-3090-4DAF-9E49-70F4ED901703}">
  <dimension ref="B1:Y1001"/>
  <sheetViews>
    <sheetView topLeftCell="N1" workbookViewId="0">
      <selection activeCell="U1" sqref="U1"/>
    </sheetView>
  </sheetViews>
  <sheetFormatPr defaultRowHeight="14.4" x14ac:dyDescent="0.3"/>
  <cols>
    <col min="12" max="12" width="12.88671875" customWidth="1"/>
  </cols>
  <sheetData>
    <row r="1" spans="2:25" x14ac:dyDescent="0.3">
      <c r="Y1" t="s">
        <v>556</v>
      </c>
    </row>
    <row r="2" spans="2:25" ht="14.4" customHeight="1" x14ac:dyDescent="0.3">
      <c r="B2" s="82" t="s">
        <v>553</v>
      </c>
      <c r="C2" s="82"/>
      <c r="D2" s="82"/>
      <c r="E2" s="82"/>
      <c r="F2" s="82"/>
      <c r="G2" s="82"/>
      <c r="H2" s="82"/>
      <c r="X2">
        <v>1</v>
      </c>
      <c r="Y2">
        <v>-4366.7</v>
      </c>
    </row>
    <row r="3" spans="2:25" x14ac:dyDescent="0.3">
      <c r="B3" s="82"/>
      <c r="C3" s="82"/>
      <c r="D3" s="82"/>
      <c r="E3" s="82"/>
      <c r="F3" s="82"/>
      <c r="G3" s="82"/>
      <c r="H3" s="82"/>
      <c r="O3" t="s">
        <v>543</v>
      </c>
      <c r="P3" t="s">
        <v>544</v>
      </c>
      <c r="X3">
        <v>2</v>
      </c>
      <c r="Y3">
        <v>-4213.3399999999992</v>
      </c>
    </row>
    <row r="4" spans="2:25" x14ac:dyDescent="0.3">
      <c r="B4" s="82"/>
      <c r="C4" s="82"/>
      <c r="D4" s="82"/>
      <c r="E4" s="82"/>
      <c r="F4" s="82"/>
      <c r="G4" s="82"/>
      <c r="H4" s="82"/>
      <c r="L4" t="s">
        <v>540</v>
      </c>
      <c r="M4">
        <v>600</v>
      </c>
      <c r="N4" s="45">
        <v>0.05</v>
      </c>
      <c r="O4">
        <f>M4-N4*M4</f>
        <v>570</v>
      </c>
      <c r="P4">
        <f>M4+N4*M4</f>
        <v>630</v>
      </c>
      <c r="R4">
        <f ca="1">RANDBETWEEN(O4,P4)</f>
        <v>570</v>
      </c>
      <c r="T4" t="s">
        <v>550</v>
      </c>
      <c r="V4">
        <f ca="1">SUM(R4:R6)</f>
        <v>1063</v>
      </c>
      <c r="X4">
        <v>3</v>
      </c>
      <c r="Y4">
        <v>-4957.1000000000004</v>
      </c>
    </row>
    <row r="5" spans="2:25" x14ac:dyDescent="0.3">
      <c r="B5" s="82"/>
      <c r="C5" s="82"/>
      <c r="D5" s="82"/>
      <c r="E5" s="82"/>
      <c r="F5" s="82"/>
      <c r="G5" s="82"/>
      <c r="H5" s="82"/>
      <c r="L5" t="s">
        <v>541</v>
      </c>
      <c r="M5">
        <v>350</v>
      </c>
      <c r="N5" s="45">
        <v>0.1</v>
      </c>
      <c r="O5">
        <f t="shared" ref="O5:O6" si="0">M5-N5*M5</f>
        <v>315</v>
      </c>
      <c r="P5">
        <f t="shared" ref="P5:P6" si="1">M5+N5*M5</f>
        <v>385</v>
      </c>
      <c r="R5">
        <f t="shared" ref="R5:R6" ca="1" si="2">RANDBETWEEN(O5,P5)</f>
        <v>362</v>
      </c>
      <c r="T5" t="s">
        <v>549</v>
      </c>
      <c r="V5">
        <f ca="1">V4*R12</f>
        <v>31.89</v>
      </c>
      <c r="X5">
        <v>4</v>
      </c>
      <c r="Y5">
        <v>-4737.26</v>
      </c>
    </row>
    <row r="6" spans="2:25" x14ac:dyDescent="0.3">
      <c r="B6" s="82"/>
      <c r="C6" s="82"/>
      <c r="D6" s="82"/>
      <c r="E6" s="82"/>
      <c r="F6" s="82"/>
      <c r="G6" s="82"/>
      <c r="H6" s="82"/>
      <c r="L6" t="s">
        <v>542</v>
      </c>
      <c r="M6">
        <v>150</v>
      </c>
      <c r="N6" s="45">
        <v>0.15</v>
      </c>
      <c r="O6">
        <f t="shared" si="0"/>
        <v>127.5</v>
      </c>
      <c r="P6">
        <f t="shared" si="1"/>
        <v>172.5</v>
      </c>
      <c r="R6">
        <f t="shared" ca="1" si="2"/>
        <v>131</v>
      </c>
      <c r="T6" t="s">
        <v>551</v>
      </c>
      <c r="V6">
        <f ca="1">P18*V5</f>
        <v>3826.8</v>
      </c>
      <c r="X6">
        <v>5</v>
      </c>
      <c r="Y6">
        <v>5825</v>
      </c>
    </row>
    <row r="7" spans="2:25" x14ac:dyDescent="0.3">
      <c r="B7" s="82"/>
      <c r="C7" s="82"/>
      <c r="D7" s="82"/>
      <c r="E7" s="82"/>
      <c r="F7" s="82"/>
      <c r="G7" s="82"/>
      <c r="H7" s="82"/>
      <c r="T7" t="s">
        <v>552</v>
      </c>
      <c r="V7">
        <f ca="1">R20*V5</f>
        <v>733.47</v>
      </c>
      <c r="X7">
        <v>6</v>
      </c>
      <c r="Y7">
        <v>3363.3999999999996</v>
      </c>
    </row>
    <row r="8" spans="2:25" x14ac:dyDescent="0.3">
      <c r="B8" s="82"/>
      <c r="C8" s="82"/>
      <c r="D8" s="82"/>
      <c r="E8" s="82"/>
      <c r="F8" s="82"/>
      <c r="G8" s="82"/>
      <c r="H8" s="82"/>
      <c r="T8" t="s">
        <v>554</v>
      </c>
      <c r="V8">
        <v>8000</v>
      </c>
      <c r="X8">
        <v>7</v>
      </c>
      <c r="Y8">
        <v>148.47999999999956</v>
      </c>
    </row>
    <row r="9" spans="2:25" x14ac:dyDescent="0.3">
      <c r="B9" s="82"/>
      <c r="C9" s="82"/>
      <c r="D9" s="82"/>
      <c r="E9" s="82"/>
      <c r="F9" s="82"/>
      <c r="G9" s="82"/>
      <c r="H9" s="82"/>
      <c r="L9" t="s">
        <v>545</v>
      </c>
      <c r="X9">
        <v>8</v>
      </c>
      <c r="Y9">
        <v>5131.6000000000004</v>
      </c>
    </row>
    <row r="10" spans="2:25" x14ac:dyDescent="0.3">
      <c r="B10" s="82"/>
      <c r="C10" s="82"/>
      <c r="D10" s="82"/>
      <c r="E10" s="82"/>
      <c r="F10" s="82"/>
      <c r="G10" s="82"/>
      <c r="H10" s="82"/>
      <c r="L10">
        <v>0</v>
      </c>
      <c r="M10">
        <v>0.59999999900000001</v>
      </c>
      <c r="N10" s="45">
        <v>0.03</v>
      </c>
      <c r="P10" s="5">
        <f ca="1">RAND()</f>
        <v>0.48501215893510219</v>
      </c>
      <c r="T10" t="s">
        <v>555</v>
      </c>
      <c r="V10">
        <f ca="1">V6-V7-V8</f>
        <v>-4906.67</v>
      </c>
      <c r="X10">
        <v>9</v>
      </c>
      <c r="Y10">
        <v>2241.0000000000018</v>
      </c>
    </row>
    <row r="11" spans="2:25" x14ac:dyDescent="0.3">
      <c r="B11" s="82"/>
      <c r="C11" s="82"/>
      <c r="D11" s="82"/>
      <c r="E11" s="82"/>
      <c r="F11" s="82"/>
      <c r="G11" s="82"/>
      <c r="H11" s="82"/>
      <c r="L11">
        <v>0.6</v>
      </c>
      <c r="M11">
        <v>0.7</v>
      </c>
      <c r="N11" s="45">
        <v>0.06</v>
      </c>
      <c r="X11">
        <v>10</v>
      </c>
      <c r="Y11">
        <v>-4692.8</v>
      </c>
    </row>
    <row r="12" spans="2:25" x14ac:dyDescent="0.3">
      <c r="B12" s="82"/>
      <c r="C12" s="82"/>
      <c r="D12" s="82"/>
      <c r="E12" s="82"/>
      <c r="F12" s="82"/>
      <c r="G12" s="82"/>
      <c r="H12" s="82"/>
      <c r="L12">
        <v>0.7</v>
      </c>
      <c r="M12">
        <v>1</v>
      </c>
      <c r="N12" s="45">
        <v>0.1</v>
      </c>
      <c r="R12">
        <f ca="1">VLOOKUP(P10,pt,3)</f>
        <v>0.03</v>
      </c>
      <c r="X12">
        <v>11</v>
      </c>
      <c r="Y12">
        <v>-5040.8</v>
      </c>
    </row>
    <row r="13" spans="2:25" x14ac:dyDescent="0.3">
      <c r="B13" s="82"/>
      <c r="C13" s="82"/>
      <c r="D13" s="82"/>
      <c r="E13" s="82"/>
      <c r="F13" s="82"/>
      <c r="G13" s="82"/>
      <c r="H13" s="82"/>
      <c r="X13">
        <v>12</v>
      </c>
      <c r="Y13">
        <v>-4873.55</v>
      </c>
    </row>
    <row r="14" spans="2:25" x14ac:dyDescent="0.3">
      <c r="B14" s="82"/>
      <c r="C14" s="82"/>
      <c r="D14" s="82"/>
      <c r="E14" s="82"/>
      <c r="F14" s="82"/>
      <c r="G14" s="82"/>
      <c r="H14" s="82"/>
      <c r="L14" t="s">
        <v>546</v>
      </c>
      <c r="M14">
        <v>150</v>
      </c>
      <c r="X14">
        <v>13</v>
      </c>
      <c r="Y14">
        <v>-4835.93</v>
      </c>
    </row>
    <row r="15" spans="2:25" x14ac:dyDescent="0.3">
      <c r="B15" s="82"/>
      <c r="C15" s="82"/>
      <c r="D15" s="82"/>
      <c r="E15" s="82"/>
      <c r="F15" s="82"/>
      <c r="G15" s="82"/>
      <c r="H15" s="82"/>
      <c r="X15">
        <v>14</v>
      </c>
      <c r="Y15">
        <v>3639.4000000000015</v>
      </c>
    </row>
    <row r="16" spans="2:25" x14ac:dyDescent="0.3">
      <c r="B16" s="82"/>
      <c r="C16" s="82"/>
      <c r="D16" s="82"/>
      <c r="E16" s="82"/>
      <c r="F16" s="82"/>
      <c r="G16" s="82"/>
      <c r="H16" s="82"/>
      <c r="L16">
        <v>0</v>
      </c>
      <c r="M16">
        <v>0.33</v>
      </c>
      <c r="N16">
        <v>150</v>
      </c>
      <c r="P16">
        <f ca="1">RAND()</f>
        <v>0.75366144304507521</v>
      </c>
      <c r="X16">
        <v>15</v>
      </c>
      <c r="Y16">
        <v>-4169.6000000000004</v>
      </c>
    </row>
    <row r="17" spans="2:25" x14ac:dyDescent="0.3">
      <c r="B17" s="82"/>
      <c r="C17" s="82"/>
      <c r="D17" s="82"/>
      <c r="E17" s="82"/>
      <c r="F17" s="82"/>
      <c r="G17" s="82"/>
      <c r="H17" s="82"/>
      <c r="L17">
        <v>0.33</v>
      </c>
      <c r="M17">
        <v>0.66</v>
      </c>
      <c r="N17">
        <f>M14-0.1*M14</f>
        <v>135</v>
      </c>
      <c r="T17" t="s">
        <v>535</v>
      </c>
      <c r="V17">
        <f>AVERAGE(runs)</f>
        <v>-1354.5823099999993</v>
      </c>
      <c r="X17">
        <v>16</v>
      </c>
      <c r="Y17">
        <v>3368.3999999999996</v>
      </c>
    </row>
    <row r="18" spans="2:25" x14ac:dyDescent="0.3">
      <c r="B18" s="82"/>
      <c r="C18" s="82"/>
      <c r="D18" s="82"/>
      <c r="E18" s="82"/>
      <c r="F18" s="82"/>
      <c r="G18" s="82"/>
      <c r="H18" s="82"/>
      <c r="L18">
        <v>0.66</v>
      </c>
      <c r="M18">
        <v>1</v>
      </c>
      <c r="N18">
        <f>M14-0.2*M14</f>
        <v>120</v>
      </c>
      <c r="P18">
        <f ca="1">VLOOKUP(P16,spt,3)</f>
        <v>120</v>
      </c>
      <c r="T18" t="s">
        <v>557</v>
      </c>
      <c r="V18">
        <f>COUNTIF(runs,"&lt;0")/1000</f>
        <v>0.65600000000000003</v>
      </c>
      <c r="X18">
        <v>17</v>
      </c>
      <c r="Y18">
        <v>-4138.82</v>
      </c>
    </row>
    <row r="19" spans="2:25" x14ac:dyDescent="0.3">
      <c r="B19" s="82"/>
      <c r="C19" s="82"/>
      <c r="D19" s="82"/>
      <c r="E19" s="82"/>
      <c r="F19" s="82"/>
      <c r="G19" s="82"/>
      <c r="H19" s="82"/>
      <c r="T19" t="s">
        <v>434</v>
      </c>
      <c r="V19">
        <f>MAX(runs)</f>
        <v>7184</v>
      </c>
      <c r="X19">
        <v>18</v>
      </c>
      <c r="Y19">
        <v>-4748</v>
      </c>
    </row>
    <row r="20" spans="2:25" x14ac:dyDescent="0.3">
      <c r="B20" s="82"/>
      <c r="C20" s="82"/>
      <c r="D20" s="82"/>
      <c r="E20" s="82"/>
      <c r="F20" s="82"/>
      <c r="G20" s="82"/>
      <c r="H20" s="82"/>
      <c r="L20" t="s">
        <v>547</v>
      </c>
      <c r="O20">
        <v>20</v>
      </c>
      <c r="P20">
        <v>30</v>
      </c>
      <c r="R20">
        <f ca="1">RANDBETWEEN(O20,P20)</f>
        <v>23</v>
      </c>
      <c r="T20" t="s">
        <v>433</v>
      </c>
      <c r="V20">
        <f>MIN(runs)</f>
        <v>-5159.6000000000004</v>
      </c>
      <c r="X20">
        <v>19</v>
      </c>
      <c r="Y20">
        <v>-4704.26</v>
      </c>
    </row>
    <row r="21" spans="2:25" x14ac:dyDescent="0.3">
      <c r="L21" t="s">
        <v>548</v>
      </c>
      <c r="O21">
        <v>8000</v>
      </c>
      <c r="X21">
        <v>20</v>
      </c>
      <c r="Y21">
        <v>-4832</v>
      </c>
    </row>
    <row r="22" spans="2:25" x14ac:dyDescent="0.3">
      <c r="X22">
        <v>21</v>
      </c>
      <c r="Y22">
        <v>-3565.7</v>
      </c>
    </row>
    <row r="23" spans="2:25" x14ac:dyDescent="0.3">
      <c r="X23">
        <v>22</v>
      </c>
      <c r="Y23">
        <v>-4205</v>
      </c>
    </row>
    <row r="24" spans="2:25" x14ac:dyDescent="0.3">
      <c r="X24">
        <v>23</v>
      </c>
      <c r="Y24">
        <v>3638.0000000000018</v>
      </c>
    </row>
    <row r="25" spans="2:25" x14ac:dyDescent="0.3">
      <c r="X25">
        <v>24</v>
      </c>
      <c r="Y25">
        <v>-4448.78</v>
      </c>
    </row>
    <row r="26" spans="2:25" x14ac:dyDescent="0.3">
      <c r="X26">
        <v>25</v>
      </c>
      <c r="Y26">
        <v>-4697</v>
      </c>
    </row>
    <row r="27" spans="2:25" x14ac:dyDescent="0.3">
      <c r="X27">
        <v>26</v>
      </c>
      <c r="Y27">
        <v>-4094</v>
      </c>
    </row>
    <row r="28" spans="2:25" x14ac:dyDescent="0.3">
      <c r="X28">
        <v>27</v>
      </c>
      <c r="Y28">
        <v>4716.0000000000018</v>
      </c>
    </row>
    <row r="29" spans="2:25" x14ac:dyDescent="0.3">
      <c r="X29">
        <v>28</v>
      </c>
      <c r="Y29">
        <v>2188</v>
      </c>
    </row>
    <row r="30" spans="2:25" x14ac:dyDescent="0.3">
      <c r="X30">
        <v>29</v>
      </c>
      <c r="Y30">
        <v>-4935.68</v>
      </c>
    </row>
    <row r="31" spans="2:25" x14ac:dyDescent="0.3">
      <c r="X31">
        <v>30</v>
      </c>
      <c r="Y31">
        <v>-4594.8500000000004</v>
      </c>
    </row>
    <row r="32" spans="2:25" x14ac:dyDescent="0.3">
      <c r="X32">
        <v>31</v>
      </c>
      <c r="Y32">
        <v>-4747.8500000000004</v>
      </c>
    </row>
    <row r="33" spans="24:25" x14ac:dyDescent="0.3">
      <c r="X33">
        <v>32</v>
      </c>
      <c r="Y33">
        <v>6254.5</v>
      </c>
    </row>
    <row r="34" spans="24:25" x14ac:dyDescent="0.3">
      <c r="X34">
        <v>33</v>
      </c>
      <c r="Y34">
        <v>-3967.0699999999997</v>
      </c>
    </row>
    <row r="35" spans="24:25" x14ac:dyDescent="0.3">
      <c r="X35">
        <v>34</v>
      </c>
      <c r="Y35">
        <v>1450</v>
      </c>
    </row>
    <row r="36" spans="24:25" x14ac:dyDescent="0.3">
      <c r="X36">
        <v>35</v>
      </c>
      <c r="Y36">
        <v>-4300.6399999999994</v>
      </c>
    </row>
    <row r="37" spans="24:25" x14ac:dyDescent="0.3">
      <c r="X37">
        <v>36</v>
      </c>
      <c r="Y37">
        <v>-564.91999999999916</v>
      </c>
    </row>
    <row r="38" spans="24:25" x14ac:dyDescent="0.3">
      <c r="X38">
        <v>37</v>
      </c>
      <c r="Y38">
        <v>-4721.1200000000008</v>
      </c>
    </row>
    <row r="39" spans="24:25" x14ac:dyDescent="0.3">
      <c r="X39">
        <v>38</v>
      </c>
      <c r="Y39">
        <v>-4919.1499999999996</v>
      </c>
    </row>
    <row r="40" spans="24:25" x14ac:dyDescent="0.3">
      <c r="X40">
        <v>39</v>
      </c>
      <c r="Y40">
        <v>-897.92000000000098</v>
      </c>
    </row>
    <row r="41" spans="24:25" x14ac:dyDescent="0.3">
      <c r="X41">
        <v>40</v>
      </c>
      <c r="Y41">
        <v>3780.7000000000007</v>
      </c>
    </row>
    <row r="42" spans="24:25" x14ac:dyDescent="0.3">
      <c r="X42">
        <v>41</v>
      </c>
      <c r="Y42">
        <v>-4893.5</v>
      </c>
    </row>
    <row r="43" spans="24:25" x14ac:dyDescent="0.3">
      <c r="X43">
        <v>42</v>
      </c>
      <c r="Y43">
        <v>-4487.7500000000009</v>
      </c>
    </row>
    <row r="44" spans="24:25" x14ac:dyDescent="0.3">
      <c r="X44">
        <v>43</v>
      </c>
      <c r="Y44">
        <v>-4682.51</v>
      </c>
    </row>
    <row r="45" spans="24:25" x14ac:dyDescent="0.3">
      <c r="X45">
        <v>44</v>
      </c>
      <c r="Y45">
        <v>4163.2000000000007</v>
      </c>
    </row>
    <row r="46" spans="24:25" x14ac:dyDescent="0.3">
      <c r="X46">
        <v>45</v>
      </c>
      <c r="Y46">
        <v>-4393.25</v>
      </c>
    </row>
    <row r="47" spans="24:25" x14ac:dyDescent="0.3">
      <c r="X47">
        <v>46</v>
      </c>
      <c r="Y47">
        <v>-3673.34</v>
      </c>
    </row>
    <row r="48" spans="24:25" x14ac:dyDescent="0.3">
      <c r="X48">
        <v>47</v>
      </c>
      <c r="Y48">
        <v>1837.0000000000018</v>
      </c>
    </row>
    <row r="49" spans="24:25" x14ac:dyDescent="0.3">
      <c r="X49">
        <v>48</v>
      </c>
      <c r="Y49">
        <v>-4414.43</v>
      </c>
    </row>
    <row r="50" spans="24:25" x14ac:dyDescent="0.3">
      <c r="X50">
        <v>49</v>
      </c>
      <c r="Y50">
        <v>2936.8000000000011</v>
      </c>
    </row>
    <row r="51" spans="24:25" x14ac:dyDescent="0.3">
      <c r="X51">
        <v>50</v>
      </c>
      <c r="Y51">
        <v>-4453.1000000000004</v>
      </c>
    </row>
    <row r="52" spans="24:25" x14ac:dyDescent="0.3">
      <c r="X52">
        <v>51</v>
      </c>
      <c r="Y52">
        <v>6254.5</v>
      </c>
    </row>
    <row r="53" spans="24:25" x14ac:dyDescent="0.3">
      <c r="X53">
        <v>52</v>
      </c>
      <c r="Y53">
        <v>-4979</v>
      </c>
    </row>
    <row r="54" spans="24:25" x14ac:dyDescent="0.3">
      <c r="X54">
        <v>53</v>
      </c>
      <c r="Y54">
        <v>-4472.3</v>
      </c>
    </row>
    <row r="55" spans="24:25" x14ac:dyDescent="0.3">
      <c r="X55">
        <v>54</v>
      </c>
      <c r="Y55">
        <v>-4391.96</v>
      </c>
    </row>
    <row r="56" spans="24:25" x14ac:dyDescent="0.3">
      <c r="X56">
        <v>55</v>
      </c>
      <c r="Y56">
        <v>5431</v>
      </c>
    </row>
    <row r="57" spans="24:25" x14ac:dyDescent="0.3">
      <c r="X57">
        <v>56</v>
      </c>
      <c r="Y57">
        <v>4387.2000000000007</v>
      </c>
    </row>
    <row r="58" spans="24:25" x14ac:dyDescent="0.3">
      <c r="X58">
        <v>57</v>
      </c>
      <c r="Y58">
        <v>4118.3999999999996</v>
      </c>
    </row>
    <row r="59" spans="24:25" x14ac:dyDescent="0.3">
      <c r="X59">
        <v>58</v>
      </c>
      <c r="Y59">
        <v>-4175.84</v>
      </c>
    </row>
    <row r="60" spans="24:25" x14ac:dyDescent="0.3">
      <c r="X60">
        <v>59</v>
      </c>
      <c r="Y60">
        <v>-3604.7</v>
      </c>
    </row>
    <row r="61" spans="24:25" x14ac:dyDescent="0.3">
      <c r="X61">
        <v>60</v>
      </c>
      <c r="Y61">
        <v>-4827.95</v>
      </c>
    </row>
    <row r="62" spans="24:25" x14ac:dyDescent="0.3">
      <c r="X62">
        <v>61</v>
      </c>
      <c r="Y62">
        <v>-3745.1000000000004</v>
      </c>
    </row>
    <row r="63" spans="24:25" x14ac:dyDescent="0.3">
      <c r="X63">
        <v>62</v>
      </c>
      <c r="Y63">
        <v>-4329.2000000000007</v>
      </c>
    </row>
    <row r="64" spans="24:25" x14ac:dyDescent="0.3">
      <c r="X64">
        <v>63</v>
      </c>
      <c r="Y64">
        <v>-3885.6800000000003</v>
      </c>
    </row>
    <row r="65" spans="24:25" x14ac:dyDescent="0.3">
      <c r="X65">
        <v>64</v>
      </c>
      <c r="Y65">
        <v>-899.47999999999956</v>
      </c>
    </row>
    <row r="66" spans="24:25" x14ac:dyDescent="0.3">
      <c r="X66">
        <v>65</v>
      </c>
      <c r="Y66">
        <v>-4868.6900000000005</v>
      </c>
    </row>
    <row r="67" spans="24:25" x14ac:dyDescent="0.3">
      <c r="X67">
        <v>66</v>
      </c>
      <c r="Y67">
        <v>1774.0000000000018</v>
      </c>
    </row>
    <row r="68" spans="24:25" x14ac:dyDescent="0.3">
      <c r="X68">
        <v>67</v>
      </c>
      <c r="Y68">
        <v>-2174.4799999999996</v>
      </c>
    </row>
    <row r="69" spans="24:25" x14ac:dyDescent="0.3">
      <c r="X69">
        <v>68</v>
      </c>
      <c r="Y69">
        <v>5737.2000000000007</v>
      </c>
    </row>
    <row r="70" spans="24:25" x14ac:dyDescent="0.3">
      <c r="X70">
        <v>69</v>
      </c>
      <c r="Y70">
        <v>-4338.8</v>
      </c>
    </row>
    <row r="71" spans="24:25" x14ac:dyDescent="0.3">
      <c r="X71">
        <v>70</v>
      </c>
      <c r="Y71">
        <v>-3758.8400000000011</v>
      </c>
    </row>
    <row r="72" spans="24:25" x14ac:dyDescent="0.3">
      <c r="X72">
        <v>71</v>
      </c>
      <c r="Y72">
        <v>4176.7000000000007</v>
      </c>
    </row>
    <row r="73" spans="24:25" x14ac:dyDescent="0.3">
      <c r="X73">
        <v>72</v>
      </c>
      <c r="Y73">
        <v>-3830.6600000000008</v>
      </c>
    </row>
    <row r="74" spans="24:25" x14ac:dyDescent="0.3">
      <c r="X74">
        <v>73</v>
      </c>
      <c r="Y74">
        <v>-4394.75</v>
      </c>
    </row>
    <row r="75" spans="24:25" x14ac:dyDescent="0.3">
      <c r="X75">
        <v>74</v>
      </c>
      <c r="Y75">
        <v>-4811.84</v>
      </c>
    </row>
    <row r="76" spans="24:25" x14ac:dyDescent="0.3">
      <c r="X76">
        <v>75</v>
      </c>
      <c r="Y76">
        <v>-4462.4000000000005</v>
      </c>
    </row>
    <row r="77" spans="24:25" x14ac:dyDescent="0.3">
      <c r="X77">
        <v>76</v>
      </c>
      <c r="Y77">
        <v>-4662.2299999999996</v>
      </c>
    </row>
    <row r="78" spans="24:25" x14ac:dyDescent="0.3">
      <c r="X78">
        <v>77</v>
      </c>
      <c r="Y78">
        <v>-3682.7</v>
      </c>
    </row>
    <row r="79" spans="24:25" x14ac:dyDescent="0.3">
      <c r="X79">
        <v>78</v>
      </c>
      <c r="Y79">
        <v>-4569.6499999999996</v>
      </c>
    </row>
    <row r="80" spans="24:25" x14ac:dyDescent="0.3">
      <c r="X80">
        <v>79</v>
      </c>
      <c r="Y80">
        <v>338.67999999999847</v>
      </c>
    </row>
    <row r="81" spans="24:25" x14ac:dyDescent="0.3">
      <c r="X81">
        <v>80</v>
      </c>
      <c r="Y81">
        <v>-4878.5300000000007</v>
      </c>
    </row>
    <row r="82" spans="24:25" x14ac:dyDescent="0.3">
      <c r="X82">
        <v>81</v>
      </c>
      <c r="Y82">
        <v>4032.3999999999996</v>
      </c>
    </row>
    <row r="83" spans="24:25" x14ac:dyDescent="0.3">
      <c r="X83">
        <v>82</v>
      </c>
      <c r="Y83">
        <v>3270</v>
      </c>
    </row>
    <row r="84" spans="24:25" x14ac:dyDescent="0.3">
      <c r="X84">
        <v>83</v>
      </c>
      <c r="Y84">
        <v>-4037.12</v>
      </c>
    </row>
    <row r="85" spans="24:25" x14ac:dyDescent="0.3">
      <c r="X85">
        <v>84</v>
      </c>
      <c r="Y85">
        <v>-3937.3999999999996</v>
      </c>
    </row>
    <row r="86" spans="24:25" x14ac:dyDescent="0.3">
      <c r="X86">
        <v>85</v>
      </c>
      <c r="Y86">
        <v>5379.6</v>
      </c>
    </row>
    <row r="87" spans="24:25" x14ac:dyDescent="0.3">
      <c r="X87">
        <v>86</v>
      </c>
      <c r="Y87">
        <v>-691.16000000000076</v>
      </c>
    </row>
    <row r="88" spans="24:25" x14ac:dyDescent="0.3">
      <c r="X88">
        <v>87</v>
      </c>
      <c r="Y88">
        <v>2584.4000000000015</v>
      </c>
    </row>
    <row r="89" spans="24:25" x14ac:dyDescent="0.3">
      <c r="X89">
        <v>88</v>
      </c>
      <c r="Y89">
        <v>-3945.2000000000007</v>
      </c>
    </row>
    <row r="90" spans="24:25" x14ac:dyDescent="0.3">
      <c r="X90">
        <v>89</v>
      </c>
      <c r="Y90">
        <v>5944.5999999999985</v>
      </c>
    </row>
    <row r="91" spans="24:25" x14ac:dyDescent="0.3">
      <c r="X91">
        <v>90</v>
      </c>
      <c r="Y91">
        <v>2820.5</v>
      </c>
    </row>
    <row r="92" spans="24:25" x14ac:dyDescent="0.3">
      <c r="X92">
        <v>91</v>
      </c>
      <c r="Y92">
        <v>4454.3999999999996</v>
      </c>
    </row>
    <row r="93" spans="24:25" x14ac:dyDescent="0.3">
      <c r="X93">
        <v>92</v>
      </c>
      <c r="Y93">
        <v>-1393.9999999999991</v>
      </c>
    </row>
    <row r="94" spans="24:25" x14ac:dyDescent="0.3">
      <c r="X94">
        <v>93</v>
      </c>
      <c r="Y94">
        <v>-3815</v>
      </c>
    </row>
    <row r="95" spans="24:25" x14ac:dyDescent="0.3">
      <c r="X95">
        <v>94</v>
      </c>
      <c r="Y95">
        <v>-4086.8600000000006</v>
      </c>
    </row>
    <row r="96" spans="24:25" x14ac:dyDescent="0.3">
      <c r="X96">
        <v>95</v>
      </c>
      <c r="Y96">
        <v>-4682</v>
      </c>
    </row>
    <row r="97" spans="24:25" x14ac:dyDescent="0.3">
      <c r="X97">
        <v>96</v>
      </c>
      <c r="Y97">
        <v>-1761.92</v>
      </c>
    </row>
    <row r="98" spans="24:25" x14ac:dyDescent="0.3">
      <c r="X98">
        <v>97</v>
      </c>
      <c r="Y98">
        <v>-4720.43</v>
      </c>
    </row>
    <row r="99" spans="24:25" x14ac:dyDescent="0.3">
      <c r="X99">
        <v>98</v>
      </c>
      <c r="Y99">
        <v>-339.19999999999982</v>
      </c>
    </row>
    <row r="100" spans="24:25" x14ac:dyDescent="0.3">
      <c r="X100">
        <v>99</v>
      </c>
      <c r="Y100">
        <v>-4911.4699999999993</v>
      </c>
    </row>
    <row r="101" spans="24:25" x14ac:dyDescent="0.3">
      <c r="X101">
        <v>100</v>
      </c>
      <c r="Y101">
        <v>-4769</v>
      </c>
    </row>
    <row r="102" spans="24:25" x14ac:dyDescent="0.3">
      <c r="X102">
        <v>101</v>
      </c>
      <c r="Y102">
        <v>2233.6000000000022</v>
      </c>
    </row>
    <row r="103" spans="24:25" x14ac:dyDescent="0.3">
      <c r="X103">
        <v>102</v>
      </c>
      <c r="Y103">
        <v>-4196.9599999999991</v>
      </c>
    </row>
    <row r="104" spans="24:25" x14ac:dyDescent="0.3">
      <c r="X104">
        <v>103</v>
      </c>
      <c r="Y104">
        <v>4665.4000000000015</v>
      </c>
    </row>
    <row r="105" spans="24:25" x14ac:dyDescent="0.3">
      <c r="X105">
        <v>104</v>
      </c>
      <c r="Y105">
        <v>-988.10000000000036</v>
      </c>
    </row>
    <row r="106" spans="24:25" x14ac:dyDescent="0.3">
      <c r="X106">
        <v>105</v>
      </c>
      <c r="Y106">
        <v>-43.159999999999854</v>
      </c>
    </row>
    <row r="107" spans="24:25" x14ac:dyDescent="0.3">
      <c r="X107">
        <v>106</v>
      </c>
      <c r="Y107">
        <v>-4043.6</v>
      </c>
    </row>
    <row r="108" spans="24:25" x14ac:dyDescent="0.3">
      <c r="X108">
        <v>107</v>
      </c>
      <c r="Y108">
        <v>-4793.75</v>
      </c>
    </row>
    <row r="109" spans="24:25" x14ac:dyDescent="0.3">
      <c r="X109">
        <v>108</v>
      </c>
      <c r="Y109">
        <v>348.15999999999985</v>
      </c>
    </row>
    <row r="110" spans="24:25" x14ac:dyDescent="0.3">
      <c r="X110">
        <v>109</v>
      </c>
      <c r="Y110">
        <v>-3998.75</v>
      </c>
    </row>
    <row r="111" spans="24:25" x14ac:dyDescent="0.3">
      <c r="X111">
        <v>110</v>
      </c>
      <c r="Y111">
        <v>305.79999999999927</v>
      </c>
    </row>
    <row r="112" spans="24:25" x14ac:dyDescent="0.3">
      <c r="X112">
        <v>111</v>
      </c>
      <c r="Y112">
        <v>6615.7000000000007</v>
      </c>
    </row>
    <row r="113" spans="24:25" x14ac:dyDescent="0.3">
      <c r="X113">
        <v>112</v>
      </c>
      <c r="Y113">
        <v>-4661.72</v>
      </c>
    </row>
    <row r="114" spans="24:25" x14ac:dyDescent="0.3">
      <c r="X114">
        <v>113</v>
      </c>
      <c r="Y114">
        <v>4600.4000000000015</v>
      </c>
    </row>
    <row r="115" spans="24:25" x14ac:dyDescent="0.3">
      <c r="X115">
        <v>114</v>
      </c>
      <c r="Y115">
        <v>5168.7999999999993</v>
      </c>
    </row>
    <row r="116" spans="24:25" x14ac:dyDescent="0.3">
      <c r="X116">
        <v>115</v>
      </c>
      <c r="Y116">
        <v>4925</v>
      </c>
    </row>
    <row r="117" spans="24:25" x14ac:dyDescent="0.3">
      <c r="X117">
        <v>116</v>
      </c>
      <c r="Y117">
        <v>-4568.7800000000007</v>
      </c>
    </row>
    <row r="118" spans="24:25" x14ac:dyDescent="0.3">
      <c r="X118">
        <v>117</v>
      </c>
      <c r="Y118">
        <v>-1400.6599999999999</v>
      </c>
    </row>
    <row r="119" spans="24:25" x14ac:dyDescent="0.3">
      <c r="X119">
        <v>118</v>
      </c>
      <c r="Y119">
        <v>-3729.5</v>
      </c>
    </row>
    <row r="120" spans="24:25" x14ac:dyDescent="0.3">
      <c r="X120">
        <v>119</v>
      </c>
      <c r="Y120">
        <v>6236.7000000000007</v>
      </c>
    </row>
    <row r="121" spans="24:25" x14ac:dyDescent="0.3">
      <c r="X121">
        <v>120</v>
      </c>
      <c r="Y121">
        <v>-5068.88</v>
      </c>
    </row>
    <row r="122" spans="24:25" x14ac:dyDescent="0.3">
      <c r="X122">
        <v>121</v>
      </c>
      <c r="Y122">
        <v>-4764.08</v>
      </c>
    </row>
    <row r="123" spans="24:25" x14ac:dyDescent="0.3">
      <c r="X123">
        <v>122</v>
      </c>
      <c r="Y123">
        <v>-1040.7200000000003</v>
      </c>
    </row>
    <row r="124" spans="24:25" x14ac:dyDescent="0.3">
      <c r="X124">
        <v>123</v>
      </c>
      <c r="Y124">
        <v>-3947.9</v>
      </c>
    </row>
    <row r="125" spans="24:25" x14ac:dyDescent="0.3">
      <c r="X125">
        <v>124</v>
      </c>
      <c r="Y125">
        <v>-4471.6400000000003</v>
      </c>
    </row>
    <row r="126" spans="24:25" x14ac:dyDescent="0.3">
      <c r="X126">
        <v>125</v>
      </c>
      <c r="Y126">
        <v>-4903.1000000000004</v>
      </c>
    </row>
    <row r="127" spans="24:25" x14ac:dyDescent="0.3">
      <c r="X127">
        <v>126</v>
      </c>
      <c r="Y127">
        <v>2809.4000000000015</v>
      </c>
    </row>
    <row r="128" spans="24:25" x14ac:dyDescent="0.3">
      <c r="X128">
        <v>127</v>
      </c>
      <c r="Y128">
        <v>-3944.7200000000003</v>
      </c>
    </row>
    <row r="129" spans="24:25" x14ac:dyDescent="0.3">
      <c r="X129">
        <v>128</v>
      </c>
      <c r="Y129">
        <v>5627.4</v>
      </c>
    </row>
    <row r="130" spans="24:25" x14ac:dyDescent="0.3">
      <c r="X130">
        <v>129</v>
      </c>
      <c r="Y130">
        <v>5628.4</v>
      </c>
    </row>
    <row r="131" spans="24:25" x14ac:dyDescent="0.3">
      <c r="X131">
        <v>130</v>
      </c>
      <c r="Y131">
        <v>-3729.5</v>
      </c>
    </row>
    <row r="132" spans="24:25" x14ac:dyDescent="0.3">
      <c r="X132">
        <v>131</v>
      </c>
      <c r="Y132">
        <v>-4879.25</v>
      </c>
    </row>
    <row r="133" spans="24:25" x14ac:dyDescent="0.3">
      <c r="X133">
        <v>132</v>
      </c>
      <c r="Y133">
        <v>-4912.1000000000004</v>
      </c>
    </row>
    <row r="134" spans="24:25" x14ac:dyDescent="0.3">
      <c r="X134">
        <v>133</v>
      </c>
      <c r="Y134">
        <v>3151.2000000000007</v>
      </c>
    </row>
    <row r="135" spans="24:25" x14ac:dyDescent="0.3">
      <c r="X135">
        <v>134</v>
      </c>
      <c r="Y135">
        <v>-3664.2200000000003</v>
      </c>
    </row>
    <row r="136" spans="24:25" x14ac:dyDescent="0.3">
      <c r="X136">
        <v>135</v>
      </c>
      <c r="Y136">
        <v>-4280.9000000000005</v>
      </c>
    </row>
    <row r="137" spans="24:25" x14ac:dyDescent="0.3">
      <c r="X137">
        <v>136</v>
      </c>
      <c r="Y137">
        <v>-4461.92</v>
      </c>
    </row>
    <row r="138" spans="24:25" x14ac:dyDescent="0.3">
      <c r="X138">
        <v>137</v>
      </c>
      <c r="Y138">
        <v>-4442.6000000000004</v>
      </c>
    </row>
    <row r="139" spans="24:25" x14ac:dyDescent="0.3">
      <c r="X139">
        <v>138</v>
      </c>
      <c r="Y139">
        <v>5440</v>
      </c>
    </row>
    <row r="140" spans="24:25" x14ac:dyDescent="0.3">
      <c r="X140">
        <v>139</v>
      </c>
      <c r="Y140">
        <v>5500</v>
      </c>
    </row>
    <row r="141" spans="24:25" x14ac:dyDescent="0.3">
      <c r="X141">
        <v>140</v>
      </c>
      <c r="Y141">
        <v>-3989.42</v>
      </c>
    </row>
    <row r="142" spans="24:25" x14ac:dyDescent="0.3">
      <c r="X142">
        <v>141</v>
      </c>
      <c r="Y142">
        <v>5512.7999999999993</v>
      </c>
    </row>
    <row r="143" spans="24:25" x14ac:dyDescent="0.3">
      <c r="X143">
        <v>142</v>
      </c>
      <c r="Y143">
        <v>-4892.1200000000008</v>
      </c>
    </row>
    <row r="144" spans="24:25" x14ac:dyDescent="0.3">
      <c r="X144">
        <v>143</v>
      </c>
      <c r="Y144">
        <v>4633.4000000000015</v>
      </c>
    </row>
    <row r="145" spans="24:25" x14ac:dyDescent="0.3">
      <c r="X145">
        <v>144</v>
      </c>
      <c r="Y145">
        <v>-4745.6000000000004</v>
      </c>
    </row>
    <row r="146" spans="24:25" x14ac:dyDescent="0.3">
      <c r="X146">
        <v>145</v>
      </c>
      <c r="Y146">
        <v>-5027.2999999999993</v>
      </c>
    </row>
    <row r="147" spans="24:25" x14ac:dyDescent="0.3">
      <c r="X147">
        <v>146</v>
      </c>
      <c r="Y147">
        <v>-4882.1000000000004</v>
      </c>
    </row>
    <row r="148" spans="24:25" x14ac:dyDescent="0.3">
      <c r="X148">
        <v>147</v>
      </c>
      <c r="Y148">
        <v>-4530.53</v>
      </c>
    </row>
    <row r="149" spans="24:25" x14ac:dyDescent="0.3">
      <c r="X149">
        <v>148</v>
      </c>
      <c r="Y149">
        <v>-3946.16</v>
      </c>
    </row>
    <row r="150" spans="24:25" x14ac:dyDescent="0.3">
      <c r="X150">
        <v>149</v>
      </c>
      <c r="Y150">
        <v>-4194.6500000000005</v>
      </c>
    </row>
    <row r="151" spans="24:25" x14ac:dyDescent="0.3">
      <c r="X151">
        <v>150</v>
      </c>
      <c r="Y151">
        <v>2341.6000000000004</v>
      </c>
    </row>
    <row r="152" spans="24:25" x14ac:dyDescent="0.3">
      <c r="X152">
        <v>151</v>
      </c>
      <c r="Y152">
        <v>-3706.88</v>
      </c>
    </row>
    <row r="153" spans="24:25" x14ac:dyDescent="0.3">
      <c r="X153">
        <v>152</v>
      </c>
      <c r="Y153">
        <v>2136.5</v>
      </c>
    </row>
    <row r="154" spans="24:25" x14ac:dyDescent="0.3">
      <c r="X154">
        <v>153</v>
      </c>
      <c r="Y154">
        <v>-3989.6</v>
      </c>
    </row>
    <row r="155" spans="24:25" x14ac:dyDescent="0.3">
      <c r="X155">
        <v>154</v>
      </c>
      <c r="Y155">
        <v>-4753.7900000000009</v>
      </c>
    </row>
    <row r="156" spans="24:25" x14ac:dyDescent="0.3">
      <c r="X156">
        <v>155</v>
      </c>
      <c r="Y156">
        <v>4984.6000000000004</v>
      </c>
    </row>
    <row r="157" spans="24:25" x14ac:dyDescent="0.3">
      <c r="X157">
        <v>156</v>
      </c>
      <c r="Y157">
        <v>-416.47999999999956</v>
      </c>
    </row>
    <row r="158" spans="24:25" x14ac:dyDescent="0.3">
      <c r="X158">
        <v>157</v>
      </c>
      <c r="Y158">
        <v>2830</v>
      </c>
    </row>
    <row r="159" spans="24:25" x14ac:dyDescent="0.3">
      <c r="X159">
        <v>158</v>
      </c>
      <c r="Y159">
        <v>-3653.99</v>
      </c>
    </row>
    <row r="160" spans="24:25" x14ac:dyDescent="0.3">
      <c r="X160">
        <v>159</v>
      </c>
      <c r="Y160">
        <v>4001.0000000000018</v>
      </c>
    </row>
    <row r="161" spans="24:25" x14ac:dyDescent="0.3">
      <c r="X161">
        <v>160</v>
      </c>
      <c r="Y161">
        <v>467.55999999999949</v>
      </c>
    </row>
    <row r="162" spans="24:25" x14ac:dyDescent="0.3">
      <c r="X162">
        <v>161</v>
      </c>
      <c r="Y162">
        <v>-746.60000000000036</v>
      </c>
    </row>
    <row r="163" spans="24:25" x14ac:dyDescent="0.3">
      <c r="X163">
        <v>162</v>
      </c>
      <c r="Y163">
        <v>2165</v>
      </c>
    </row>
    <row r="164" spans="24:25" x14ac:dyDescent="0.3">
      <c r="X164">
        <v>163</v>
      </c>
      <c r="Y164">
        <v>-1802.4800000000005</v>
      </c>
    </row>
    <row r="165" spans="24:25" x14ac:dyDescent="0.3">
      <c r="X165">
        <v>164</v>
      </c>
      <c r="Y165">
        <v>40.960000000000036</v>
      </c>
    </row>
    <row r="166" spans="24:25" x14ac:dyDescent="0.3">
      <c r="X166">
        <v>165</v>
      </c>
      <c r="Y166">
        <v>-3892.4000000000005</v>
      </c>
    </row>
    <row r="167" spans="24:25" x14ac:dyDescent="0.3">
      <c r="X167">
        <v>166</v>
      </c>
      <c r="Y167">
        <v>-574.39999999999964</v>
      </c>
    </row>
    <row r="168" spans="24:25" x14ac:dyDescent="0.3">
      <c r="X168">
        <v>167</v>
      </c>
      <c r="Y168">
        <v>-1609.6400000000003</v>
      </c>
    </row>
    <row r="169" spans="24:25" x14ac:dyDescent="0.3">
      <c r="X169">
        <v>168</v>
      </c>
      <c r="Y169">
        <v>1981</v>
      </c>
    </row>
    <row r="170" spans="24:25" x14ac:dyDescent="0.3">
      <c r="X170">
        <v>169</v>
      </c>
      <c r="Y170">
        <v>-3916.25</v>
      </c>
    </row>
    <row r="171" spans="24:25" x14ac:dyDescent="0.3">
      <c r="X171">
        <v>170</v>
      </c>
      <c r="Y171">
        <v>-4856.4500000000007</v>
      </c>
    </row>
    <row r="172" spans="24:25" x14ac:dyDescent="0.3">
      <c r="X172">
        <v>171</v>
      </c>
      <c r="Y172">
        <v>-4823.3600000000006</v>
      </c>
    </row>
    <row r="173" spans="24:25" x14ac:dyDescent="0.3">
      <c r="X173">
        <v>172</v>
      </c>
      <c r="Y173">
        <v>5224</v>
      </c>
    </row>
    <row r="174" spans="24:25" x14ac:dyDescent="0.3">
      <c r="X174">
        <v>173</v>
      </c>
      <c r="Y174">
        <v>-4362.08</v>
      </c>
    </row>
    <row r="175" spans="24:25" x14ac:dyDescent="0.3">
      <c r="X175">
        <v>174</v>
      </c>
      <c r="Y175">
        <v>3560.5000000000018</v>
      </c>
    </row>
    <row r="176" spans="24:25" x14ac:dyDescent="0.3">
      <c r="X176">
        <v>175</v>
      </c>
      <c r="Y176">
        <v>5587.5</v>
      </c>
    </row>
    <row r="177" spans="24:25" x14ac:dyDescent="0.3">
      <c r="X177">
        <v>176</v>
      </c>
      <c r="Y177">
        <v>-4182.8599999999997</v>
      </c>
    </row>
    <row r="178" spans="24:25" x14ac:dyDescent="0.3">
      <c r="X178">
        <v>177</v>
      </c>
      <c r="Y178">
        <v>-564.91999999999916</v>
      </c>
    </row>
    <row r="179" spans="24:25" x14ac:dyDescent="0.3">
      <c r="X179">
        <v>178</v>
      </c>
      <c r="Y179">
        <v>5813.6</v>
      </c>
    </row>
    <row r="180" spans="24:25" x14ac:dyDescent="0.3">
      <c r="X180">
        <v>179</v>
      </c>
      <c r="Y180">
        <v>-3909.41</v>
      </c>
    </row>
    <row r="181" spans="24:25" x14ac:dyDescent="0.3">
      <c r="X181">
        <v>180</v>
      </c>
      <c r="Y181">
        <v>-534.07999999999993</v>
      </c>
    </row>
    <row r="182" spans="24:25" x14ac:dyDescent="0.3">
      <c r="X182">
        <v>181</v>
      </c>
      <c r="Y182">
        <v>2062.6000000000004</v>
      </c>
    </row>
    <row r="183" spans="24:25" x14ac:dyDescent="0.3">
      <c r="X183">
        <v>182</v>
      </c>
      <c r="Y183">
        <v>2713.6000000000022</v>
      </c>
    </row>
    <row r="184" spans="24:25" x14ac:dyDescent="0.3">
      <c r="X184">
        <v>183</v>
      </c>
      <c r="Y184">
        <v>5482</v>
      </c>
    </row>
    <row r="185" spans="24:25" x14ac:dyDescent="0.3">
      <c r="X185">
        <v>184</v>
      </c>
      <c r="Y185">
        <v>-4240.43</v>
      </c>
    </row>
    <row r="186" spans="24:25" x14ac:dyDescent="0.3">
      <c r="X186">
        <v>185</v>
      </c>
      <c r="Y186">
        <v>-4398.08</v>
      </c>
    </row>
    <row r="187" spans="24:25" x14ac:dyDescent="0.3">
      <c r="X187">
        <v>186</v>
      </c>
      <c r="Y187">
        <v>-4608.26</v>
      </c>
    </row>
    <row r="188" spans="24:25" x14ac:dyDescent="0.3">
      <c r="X188">
        <v>187</v>
      </c>
      <c r="Y188">
        <v>-4753.8499999999995</v>
      </c>
    </row>
    <row r="189" spans="24:25" x14ac:dyDescent="0.3">
      <c r="X189">
        <v>188</v>
      </c>
      <c r="Y189">
        <v>3181.8000000000011</v>
      </c>
    </row>
    <row r="190" spans="24:25" x14ac:dyDescent="0.3">
      <c r="X190">
        <v>189</v>
      </c>
      <c r="Y190">
        <v>5418.9</v>
      </c>
    </row>
    <row r="191" spans="24:25" x14ac:dyDescent="0.3">
      <c r="X191">
        <v>190</v>
      </c>
      <c r="Y191">
        <v>-4992.2</v>
      </c>
    </row>
    <row r="192" spans="24:25" x14ac:dyDescent="0.3">
      <c r="X192">
        <v>191</v>
      </c>
      <c r="Y192">
        <v>271.60000000000036</v>
      </c>
    </row>
    <row r="193" spans="24:25" x14ac:dyDescent="0.3">
      <c r="X193">
        <v>192</v>
      </c>
      <c r="Y193">
        <v>2109.1000000000004</v>
      </c>
    </row>
    <row r="194" spans="24:25" x14ac:dyDescent="0.3">
      <c r="X194">
        <v>193</v>
      </c>
      <c r="Y194">
        <v>-4911.4699999999993</v>
      </c>
    </row>
    <row r="195" spans="24:25" x14ac:dyDescent="0.3">
      <c r="X195">
        <v>194</v>
      </c>
      <c r="Y195">
        <v>-4360.49</v>
      </c>
    </row>
    <row r="196" spans="24:25" x14ac:dyDescent="0.3">
      <c r="X196">
        <v>195</v>
      </c>
      <c r="Y196">
        <v>-3608.6000000000004</v>
      </c>
    </row>
    <row r="197" spans="24:25" x14ac:dyDescent="0.3">
      <c r="X197">
        <v>196</v>
      </c>
      <c r="Y197">
        <v>-195.5</v>
      </c>
    </row>
    <row r="198" spans="24:25" x14ac:dyDescent="0.3">
      <c r="X198">
        <v>197</v>
      </c>
      <c r="Y198">
        <v>6210.4</v>
      </c>
    </row>
    <row r="199" spans="24:25" x14ac:dyDescent="0.3">
      <c r="X199">
        <v>198</v>
      </c>
      <c r="Y199">
        <v>-4975.6400000000003</v>
      </c>
    </row>
    <row r="200" spans="24:25" x14ac:dyDescent="0.3">
      <c r="X200">
        <v>199</v>
      </c>
      <c r="Y200">
        <v>-3768.5</v>
      </c>
    </row>
    <row r="201" spans="24:25" x14ac:dyDescent="0.3">
      <c r="X201">
        <v>200</v>
      </c>
      <c r="Y201">
        <v>-4796</v>
      </c>
    </row>
    <row r="202" spans="24:25" x14ac:dyDescent="0.3">
      <c r="X202">
        <v>201</v>
      </c>
      <c r="Y202">
        <v>-5121.8</v>
      </c>
    </row>
    <row r="203" spans="24:25" x14ac:dyDescent="0.3">
      <c r="X203">
        <v>202</v>
      </c>
      <c r="Y203">
        <v>3373.8000000000011</v>
      </c>
    </row>
    <row r="204" spans="24:25" x14ac:dyDescent="0.3">
      <c r="X204">
        <v>203</v>
      </c>
      <c r="Y204">
        <v>-4733.66</v>
      </c>
    </row>
    <row r="205" spans="24:25" x14ac:dyDescent="0.3">
      <c r="X205">
        <v>204</v>
      </c>
      <c r="Y205">
        <v>4551.0000000000018</v>
      </c>
    </row>
    <row r="206" spans="24:25" x14ac:dyDescent="0.3">
      <c r="X206">
        <v>205</v>
      </c>
      <c r="Y206">
        <v>-3572.7200000000003</v>
      </c>
    </row>
    <row r="207" spans="24:25" x14ac:dyDescent="0.3">
      <c r="X207">
        <v>206</v>
      </c>
      <c r="Y207">
        <v>6100</v>
      </c>
    </row>
    <row r="208" spans="24:25" x14ac:dyDescent="0.3">
      <c r="X208">
        <v>207</v>
      </c>
      <c r="Y208">
        <v>6144</v>
      </c>
    </row>
    <row r="209" spans="24:25" x14ac:dyDescent="0.3">
      <c r="X209">
        <v>208</v>
      </c>
      <c r="Y209">
        <v>-1430.3600000000006</v>
      </c>
    </row>
    <row r="210" spans="24:25" x14ac:dyDescent="0.3">
      <c r="X210">
        <v>209</v>
      </c>
      <c r="Y210">
        <v>-4705.2800000000007</v>
      </c>
    </row>
    <row r="211" spans="24:25" x14ac:dyDescent="0.3">
      <c r="X211">
        <v>210</v>
      </c>
      <c r="Y211">
        <v>-5046.1399999999994</v>
      </c>
    </row>
    <row r="212" spans="24:25" x14ac:dyDescent="0.3">
      <c r="X212">
        <v>211</v>
      </c>
      <c r="Y212">
        <v>6344.7999999999993</v>
      </c>
    </row>
    <row r="213" spans="24:25" x14ac:dyDescent="0.3">
      <c r="X213">
        <v>212</v>
      </c>
      <c r="Y213">
        <v>5983.6</v>
      </c>
    </row>
    <row r="214" spans="24:25" x14ac:dyDescent="0.3">
      <c r="X214">
        <v>213</v>
      </c>
      <c r="Y214">
        <v>-4772.8100000000004</v>
      </c>
    </row>
    <row r="215" spans="24:25" x14ac:dyDescent="0.3">
      <c r="X215">
        <v>214</v>
      </c>
      <c r="Y215">
        <v>6716</v>
      </c>
    </row>
    <row r="216" spans="24:25" x14ac:dyDescent="0.3">
      <c r="X216">
        <v>215</v>
      </c>
      <c r="Y216">
        <v>-4371.6200000000008</v>
      </c>
    </row>
    <row r="217" spans="24:25" x14ac:dyDescent="0.3">
      <c r="X217">
        <v>216</v>
      </c>
      <c r="Y217">
        <v>2509.2000000000007</v>
      </c>
    </row>
    <row r="218" spans="24:25" x14ac:dyDescent="0.3">
      <c r="X218">
        <v>217</v>
      </c>
      <c r="Y218">
        <v>-4727.0599999999995</v>
      </c>
    </row>
    <row r="219" spans="24:25" x14ac:dyDescent="0.3">
      <c r="X219">
        <v>218</v>
      </c>
      <c r="Y219">
        <v>-4119.2000000000007</v>
      </c>
    </row>
    <row r="220" spans="24:25" x14ac:dyDescent="0.3">
      <c r="X220">
        <v>219</v>
      </c>
      <c r="Y220">
        <v>-2043.92</v>
      </c>
    </row>
    <row r="221" spans="24:25" x14ac:dyDescent="0.3">
      <c r="X221">
        <v>220</v>
      </c>
      <c r="Y221">
        <v>-4566.5000000000009</v>
      </c>
    </row>
    <row r="222" spans="24:25" x14ac:dyDescent="0.3">
      <c r="X222">
        <v>221</v>
      </c>
      <c r="Y222">
        <v>-4899.32</v>
      </c>
    </row>
    <row r="223" spans="24:25" x14ac:dyDescent="0.3">
      <c r="X223">
        <v>222</v>
      </c>
      <c r="Y223">
        <v>-4878.4400000000005</v>
      </c>
    </row>
    <row r="224" spans="24:25" x14ac:dyDescent="0.3">
      <c r="X224">
        <v>223</v>
      </c>
      <c r="Y224">
        <v>-4448.9600000000009</v>
      </c>
    </row>
    <row r="225" spans="24:25" x14ac:dyDescent="0.3">
      <c r="X225">
        <v>224</v>
      </c>
      <c r="Y225">
        <v>4915.9000000000015</v>
      </c>
    </row>
    <row r="226" spans="24:25" x14ac:dyDescent="0.3">
      <c r="X226">
        <v>225</v>
      </c>
      <c r="Y226">
        <v>-3833.75</v>
      </c>
    </row>
    <row r="227" spans="24:25" x14ac:dyDescent="0.3">
      <c r="X227">
        <v>226</v>
      </c>
      <c r="Y227">
        <v>-4634</v>
      </c>
    </row>
    <row r="228" spans="24:25" x14ac:dyDescent="0.3">
      <c r="X228">
        <v>227</v>
      </c>
      <c r="Y228">
        <v>-4208.3</v>
      </c>
    </row>
    <row r="229" spans="24:25" x14ac:dyDescent="0.3">
      <c r="X229">
        <v>228</v>
      </c>
      <c r="Y229">
        <v>5392</v>
      </c>
    </row>
    <row r="230" spans="24:25" x14ac:dyDescent="0.3">
      <c r="X230">
        <v>229</v>
      </c>
      <c r="Y230">
        <v>5616.1</v>
      </c>
    </row>
    <row r="231" spans="24:25" x14ac:dyDescent="0.3">
      <c r="X231">
        <v>230</v>
      </c>
      <c r="Y231">
        <v>-4292.72</v>
      </c>
    </row>
    <row r="232" spans="24:25" x14ac:dyDescent="0.3">
      <c r="X232">
        <v>231</v>
      </c>
      <c r="Y232">
        <v>-3668.4800000000005</v>
      </c>
    </row>
    <row r="233" spans="24:25" x14ac:dyDescent="0.3">
      <c r="X233">
        <v>232</v>
      </c>
      <c r="Y233">
        <v>-3970.34</v>
      </c>
    </row>
    <row r="234" spans="24:25" x14ac:dyDescent="0.3">
      <c r="X234">
        <v>233</v>
      </c>
      <c r="Y234">
        <v>-4497.2</v>
      </c>
    </row>
    <row r="235" spans="24:25" x14ac:dyDescent="0.3">
      <c r="X235">
        <v>234</v>
      </c>
      <c r="Y235">
        <v>-4964.8700000000008</v>
      </c>
    </row>
    <row r="236" spans="24:25" x14ac:dyDescent="0.3">
      <c r="X236">
        <v>235</v>
      </c>
      <c r="Y236">
        <v>5897.7999999999993</v>
      </c>
    </row>
    <row r="237" spans="24:25" x14ac:dyDescent="0.3">
      <c r="X237">
        <v>236</v>
      </c>
      <c r="Y237">
        <v>4756.0000000000018</v>
      </c>
    </row>
    <row r="238" spans="24:25" x14ac:dyDescent="0.3">
      <c r="X238">
        <v>237</v>
      </c>
      <c r="Y238">
        <v>-3584.2100000000009</v>
      </c>
    </row>
    <row r="239" spans="24:25" x14ac:dyDescent="0.3">
      <c r="X239">
        <v>238</v>
      </c>
      <c r="Y239">
        <v>-4133.6000000000004</v>
      </c>
    </row>
    <row r="240" spans="24:25" x14ac:dyDescent="0.3">
      <c r="X240">
        <v>239</v>
      </c>
      <c r="Y240">
        <v>-4907.75</v>
      </c>
    </row>
    <row r="241" spans="24:25" x14ac:dyDescent="0.3">
      <c r="X241">
        <v>240</v>
      </c>
      <c r="Y241">
        <v>642.39999999999964</v>
      </c>
    </row>
    <row r="242" spans="24:25" x14ac:dyDescent="0.3">
      <c r="X242">
        <v>241</v>
      </c>
      <c r="Y242">
        <v>-4860.08</v>
      </c>
    </row>
    <row r="243" spans="24:25" x14ac:dyDescent="0.3">
      <c r="X243">
        <v>242</v>
      </c>
      <c r="Y243">
        <v>-3869.8999999999996</v>
      </c>
    </row>
    <row r="244" spans="24:25" x14ac:dyDescent="0.3">
      <c r="X244">
        <v>243</v>
      </c>
      <c r="Y244">
        <v>5454</v>
      </c>
    </row>
    <row r="245" spans="24:25" x14ac:dyDescent="0.3">
      <c r="X245">
        <v>244</v>
      </c>
      <c r="Y245">
        <v>-3885.6500000000005</v>
      </c>
    </row>
    <row r="246" spans="24:25" x14ac:dyDescent="0.3">
      <c r="X246">
        <v>245</v>
      </c>
      <c r="Y246">
        <v>-4397.0599999999995</v>
      </c>
    </row>
    <row r="247" spans="24:25" x14ac:dyDescent="0.3">
      <c r="X247">
        <v>246</v>
      </c>
      <c r="Y247">
        <v>3501</v>
      </c>
    </row>
    <row r="248" spans="24:25" x14ac:dyDescent="0.3">
      <c r="X248">
        <v>247</v>
      </c>
      <c r="Y248">
        <v>1954.0000000000018</v>
      </c>
    </row>
    <row r="249" spans="24:25" x14ac:dyDescent="0.3">
      <c r="X249">
        <v>248</v>
      </c>
      <c r="Y249">
        <v>-4921.28</v>
      </c>
    </row>
    <row r="250" spans="24:25" x14ac:dyDescent="0.3">
      <c r="X250">
        <v>249</v>
      </c>
      <c r="Y250">
        <v>-4246.880000000001</v>
      </c>
    </row>
    <row r="251" spans="24:25" x14ac:dyDescent="0.3">
      <c r="X251">
        <v>250</v>
      </c>
      <c r="Y251">
        <v>-3706.88</v>
      </c>
    </row>
    <row r="252" spans="24:25" x14ac:dyDescent="0.3">
      <c r="X252">
        <v>251</v>
      </c>
      <c r="Y252">
        <v>-4114.43</v>
      </c>
    </row>
    <row r="253" spans="24:25" x14ac:dyDescent="0.3">
      <c r="X253">
        <v>252</v>
      </c>
      <c r="Y253">
        <v>-4853.6000000000004</v>
      </c>
    </row>
    <row r="254" spans="24:25" x14ac:dyDescent="0.3">
      <c r="X254">
        <v>253</v>
      </c>
      <c r="Y254">
        <v>2864</v>
      </c>
    </row>
    <row r="255" spans="24:25" x14ac:dyDescent="0.3">
      <c r="X255">
        <v>254</v>
      </c>
      <c r="Y255">
        <v>-4112</v>
      </c>
    </row>
    <row r="256" spans="24:25" x14ac:dyDescent="0.3">
      <c r="X256">
        <v>255</v>
      </c>
      <c r="Y256">
        <v>3782.8000000000011</v>
      </c>
    </row>
    <row r="257" spans="24:25" x14ac:dyDescent="0.3">
      <c r="X257">
        <v>256</v>
      </c>
      <c r="Y257">
        <v>-5005.7000000000007</v>
      </c>
    </row>
    <row r="258" spans="24:25" x14ac:dyDescent="0.3">
      <c r="X258">
        <v>257</v>
      </c>
      <c r="Y258">
        <v>-4467.0199999999995</v>
      </c>
    </row>
    <row r="259" spans="24:25" x14ac:dyDescent="0.3">
      <c r="X259">
        <v>258</v>
      </c>
      <c r="Y259">
        <v>-5138.96</v>
      </c>
    </row>
    <row r="260" spans="24:25" x14ac:dyDescent="0.3">
      <c r="X260">
        <v>259</v>
      </c>
      <c r="Y260">
        <v>41.860000000000582</v>
      </c>
    </row>
    <row r="261" spans="24:25" x14ac:dyDescent="0.3">
      <c r="X261">
        <v>260</v>
      </c>
      <c r="Y261">
        <v>-3735.26</v>
      </c>
    </row>
    <row r="262" spans="24:25" x14ac:dyDescent="0.3">
      <c r="X262">
        <v>261</v>
      </c>
      <c r="Y262">
        <v>2481</v>
      </c>
    </row>
    <row r="263" spans="24:25" x14ac:dyDescent="0.3">
      <c r="X263">
        <v>262</v>
      </c>
      <c r="Y263">
        <v>-3951.6200000000008</v>
      </c>
    </row>
    <row r="264" spans="24:25" x14ac:dyDescent="0.3">
      <c r="X264">
        <v>263</v>
      </c>
      <c r="Y264">
        <v>232.84000000000015</v>
      </c>
    </row>
    <row r="265" spans="24:25" x14ac:dyDescent="0.3">
      <c r="X265">
        <v>264</v>
      </c>
      <c r="Y265">
        <v>-4459.3999999999996</v>
      </c>
    </row>
    <row r="266" spans="24:25" x14ac:dyDescent="0.3">
      <c r="X266">
        <v>265</v>
      </c>
      <c r="Y266">
        <v>-4716.7999999999993</v>
      </c>
    </row>
    <row r="267" spans="24:25" x14ac:dyDescent="0.3">
      <c r="X267">
        <v>266</v>
      </c>
      <c r="Y267">
        <v>-5019.2</v>
      </c>
    </row>
    <row r="268" spans="24:25" x14ac:dyDescent="0.3">
      <c r="X268">
        <v>267</v>
      </c>
      <c r="Y268">
        <v>-4710.1399999999994</v>
      </c>
    </row>
    <row r="269" spans="24:25" x14ac:dyDescent="0.3">
      <c r="X269">
        <v>268</v>
      </c>
      <c r="Y269">
        <v>-4673.6000000000004</v>
      </c>
    </row>
    <row r="270" spans="24:25" x14ac:dyDescent="0.3">
      <c r="X270">
        <v>269</v>
      </c>
      <c r="Y270">
        <v>4756.6000000000004</v>
      </c>
    </row>
    <row r="271" spans="24:25" x14ac:dyDescent="0.3">
      <c r="X271">
        <v>270</v>
      </c>
      <c r="Y271">
        <v>-4584.5</v>
      </c>
    </row>
    <row r="272" spans="24:25" x14ac:dyDescent="0.3">
      <c r="X272">
        <v>271</v>
      </c>
      <c r="Y272">
        <v>4543</v>
      </c>
    </row>
    <row r="273" spans="24:25" x14ac:dyDescent="0.3">
      <c r="X273">
        <v>272</v>
      </c>
      <c r="Y273">
        <v>-5061.5600000000004</v>
      </c>
    </row>
    <row r="274" spans="24:25" x14ac:dyDescent="0.3">
      <c r="X274">
        <v>273</v>
      </c>
      <c r="Y274">
        <v>2440</v>
      </c>
    </row>
    <row r="275" spans="24:25" x14ac:dyDescent="0.3">
      <c r="X275">
        <v>274</v>
      </c>
      <c r="Y275">
        <v>-4733</v>
      </c>
    </row>
    <row r="276" spans="24:25" x14ac:dyDescent="0.3">
      <c r="X276">
        <v>275</v>
      </c>
      <c r="Y276">
        <v>-3825.92</v>
      </c>
    </row>
    <row r="277" spans="24:25" x14ac:dyDescent="0.3">
      <c r="X277">
        <v>276</v>
      </c>
      <c r="Y277">
        <v>-5086.7000000000007</v>
      </c>
    </row>
    <row r="278" spans="24:25" x14ac:dyDescent="0.3">
      <c r="X278">
        <v>277</v>
      </c>
      <c r="Y278">
        <v>3610.0000000000018</v>
      </c>
    </row>
    <row r="279" spans="24:25" x14ac:dyDescent="0.3">
      <c r="X279">
        <v>278</v>
      </c>
      <c r="Y279">
        <v>-3743.7200000000003</v>
      </c>
    </row>
    <row r="280" spans="24:25" x14ac:dyDescent="0.3">
      <c r="X280">
        <v>279</v>
      </c>
      <c r="Y280">
        <v>-4778.6299999999992</v>
      </c>
    </row>
    <row r="281" spans="24:25" x14ac:dyDescent="0.3">
      <c r="X281">
        <v>280</v>
      </c>
      <c r="Y281">
        <v>3685.6000000000004</v>
      </c>
    </row>
    <row r="282" spans="24:25" x14ac:dyDescent="0.3">
      <c r="X282">
        <v>281</v>
      </c>
      <c r="Y282">
        <v>-4852.880000000001</v>
      </c>
    </row>
    <row r="283" spans="24:25" x14ac:dyDescent="0.3">
      <c r="X283">
        <v>282</v>
      </c>
      <c r="Y283">
        <v>-4645.1000000000004</v>
      </c>
    </row>
    <row r="284" spans="24:25" x14ac:dyDescent="0.3">
      <c r="X284">
        <v>283</v>
      </c>
      <c r="Y284">
        <v>-3811.25</v>
      </c>
    </row>
    <row r="285" spans="24:25" x14ac:dyDescent="0.3">
      <c r="X285">
        <v>284</v>
      </c>
      <c r="Y285">
        <v>4298.8000000000011</v>
      </c>
    </row>
    <row r="286" spans="24:25" x14ac:dyDescent="0.3">
      <c r="X286">
        <v>285</v>
      </c>
      <c r="Y286">
        <v>-4859</v>
      </c>
    </row>
    <row r="287" spans="24:25" x14ac:dyDescent="0.3">
      <c r="X287">
        <v>286</v>
      </c>
      <c r="Y287">
        <v>5127.2000000000007</v>
      </c>
    </row>
    <row r="288" spans="24:25" x14ac:dyDescent="0.3">
      <c r="X288">
        <v>287</v>
      </c>
      <c r="Y288">
        <v>-4846.3999999999996</v>
      </c>
    </row>
    <row r="289" spans="24:25" x14ac:dyDescent="0.3">
      <c r="X289">
        <v>288</v>
      </c>
      <c r="Y289">
        <v>-1900.1599999999999</v>
      </c>
    </row>
    <row r="290" spans="24:25" x14ac:dyDescent="0.3">
      <c r="X290">
        <v>289</v>
      </c>
      <c r="Y290">
        <v>-4208.4500000000007</v>
      </c>
    </row>
    <row r="291" spans="24:25" x14ac:dyDescent="0.3">
      <c r="X291">
        <v>290</v>
      </c>
      <c r="Y291">
        <v>1509.5</v>
      </c>
    </row>
    <row r="292" spans="24:25" x14ac:dyDescent="0.3">
      <c r="X292">
        <v>291</v>
      </c>
      <c r="Y292">
        <v>-4395.32</v>
      </c>
    </row>
    <row r="293" spans="24:25" x14ac:dyDescent="0.3">
      <c r="X293">
        <v>292</v>
      </c>
      <c r="Y293">
        <v>5249.5</v>
      </c>
    </row>
    <row r="294" spans="24:25" x14ac:dyDescent="0.3">
      <c r="X294">
        <v>293</v>
      </c>
      <c r="Y294">
        <v>486.39999999999964</v>
      </c>
    </row>
    <row r="295" spans="24:25" x14ac:dyDescent="0.3">
      <c r="X295">
        <v>294</v>
      </c>
      <c r="Y295">
        <v>-4510.16</v>
      </c>
    </row>
    <row r="296" spans="24:25" x14ac:dyDescent="0.3">
      <c r="X296">
        <v>295</v>
      </c>
      <c r="Y296">
        <v>6241.7000000000007</v>
      </c>
    </row>
    <row r="297" spans="24:25" x14ac:dyDescent="0.3">
      <c r="X297">
        <v>296</v>
      </c>
      <c r="Y297">
        <v>4722.4000000000015</v>
      </c>
    </row>
    <row r="298" spans="24:25" x14ac:dyDescent="0.3">
      <c r="X298">
        <v>297</v>
      </c>
      <c r="Y298">
        <v>-4801.3099999999995</v>
      </c>
    </row>
    <row r="299" spans="24:25" x14ac:dyDescent="0.3">
      <c r="X299">
        <v>298</v>
      </c>
      <c r="Y299">
        <v>-4768.9400000000005</v>
      </c>
    </row>
    <row r="300" spans="24:25" x14ac:dyDescent="0.3">
      <c r="X300">
        <v>299</v>
      </c>
      <c r="Y300">
        <v>2026</v>
      </c>
    </row>
    <row r="301" spans="24:25" x14ac:dyDescent="0.3">
      <c r="X301">
        <v>300</v>
      </c>
      <c r="Y301">
        <v>-4377.92</v>
      </c>
    </row>
    <row r="302" spans="24:25" x14ac:dyDescent="0.3">
      <c r="X302">
        <v>301</v>
      </c>
      <c r="Y302">
        <v>-3872.24</v>
      </c>
    </row>
    <row r="303" spans="24:25" x14ac:dyDescent="0.3">
      <c r="X303">
        <v>302</v>
      </c>
      <c r="Y303">
        <v>-3673.34</v>
      </c>
    </row>
    <row r="304" spans="24:25" x14ac:dyDescent="0.3">
      <c r="X304">
        <v>303</v>
      </c>
      <c r="Y304">
        <v>4012</v>
      </c>
    </row>
    <row r="305" spans="24:25" x14ac:dyDescent="0.3">
      <c r="X305">
        <v>304</v>
      </c>
      <c r="Y305">
        <v>4960</v>
      </c>
    </row>
    <row r="306" spans="24:25" x14ac:dyDescent="0.3">
      <c r="X306">
        <v>305</v>
      </c>
      <c r="Y306">
        <v>3630.8999999999996</v>
      </c>
    </row>
    <row r="307" spans="24:25" x14ac:dyDescent="0.3">
      <c r="X307">
        <v>306</v>
      </c>
      <c r="Y307">
        <v>-4784.45</v>
      </c>
    </row>
    <row r="308" spans="24:25" x14ac:dyDescent="0.3">
      <c r="X308">
        <v>307</v>
      </c>
      <c r="Y308">
        <v>-4123.88</v>
      </c>
    </row>
    <row r="309" spans="24:25" x14ac:dyDescent="0.3">
      <c r="X309">
        <v>308</v>
      </c>
      <c r="Y309">
        <v>4001.0000000000018</v>
      </c>
    </row>
    <row r="310" spans="24:25" x14ac:dyDescent="0.3">
      <c r="X310">
        <v>309</v>
      </c>
      <c r="Y310">
        <v>478.60000000000036</v>
      </c>
    </row>
    <row r="311" spans="24:25" x14ac:dyDescent="0.3">
      <c r="X311">
        <v>310</v>
      </c>
      <c r="Y311">
        <v>-3778.6400000000003</v>
      </c>
    </row>
    <row r="312" spans="24:25" x14ac:dyDescent="0.3">
      <c r="X312">
        <v>311</v>
      </c>
      <c r="Y312">
        <v>2428.6000000000022</v>
      </c>
    </row>
    <row r="313" spans="24:25" x14ac:dyDescent="0.3">
      <c r="X313">
        <v>312</v>
      </c>
      <c r="Y313">
        <v>-4227.74</v>
      </c>
    </row>
    <row r="314" spans="24:25" x14ac:dyDescent="0.3">
      <c r="X314">
        <v>313</v>
      </c>
      <c r="Y314">
        <v>-4931.84</v>
      </c>
    </row>
    <row r="315" spans="24:25" x14ac:dyDescent="0.3">
      <c r="X315">
        <v>314</v>
      </c>
      <c r="Y315">
        <v>-4539.6200000000008</v>
      </c>
    </row>
    <row r="316" spans="24:25" x14ac:dyDescent="0.3">
      <c r="X316">
        <v>315</v>
      </c>
      <c r="Y316">
        <v>-4465.1600000000008</v>
      </c>
    </row>
    <row r="317" spans="24:25" x14ac:dyDescent="0.3">
      <c r="X317">
        <v>316</v>
      </c>
      <c r="Y317">
        <v>-4360.49</v>
      </c>
    </row>
    <row r="318" spans="24:25" x14ac:dyDescent="0.3">
      <c r="X318">
        <v>317</v>
      </c>
      <c r="Y318">
        <v>-3648.9799999999996</v>
      </c>
    </row>
    <row r="319" spans="24:25" x14ac:dyDescent="0.3">
      <c r="X319">
        <v>318</v>
      </c>
      <c r="Y319">
        <v>2706.5</v>
      </c>
    </row>
    <row r="320" spans="24:25" x14ac:dyDescent="0.3">
      <c r="X320">
        <v>319</v>
      </c>
      <c r="Y320">
        <v>-4461.92</v>
      </c>
    </row>
    <row r="321" spans="24:25" x14ac:dyDescent="0.3">
      <c r="X321">
        <v>320</v>
      </c>
      <c r="Y321">
        <v>-4887.8</v>
      </c>
    </row>
    <row r="322" spans="24:25" x14ac:dyDescent="0.3">
      <c r="X322">
        <v>321</v>
      </c>
      <c r="Y322">
        <v>-3930.7700000000009</v>
      </c>
    </row>
    <row r="323" spans="24:25" x14ac:dyDescent="0.3">
      <c r="X323">
        <v>322</v>
      </c>
      <c r="Y323">
        <v>6370.6</v>
      </c>
    </row>
    <row r="324" spans="24:25" x14ac:dyDescent="0.3">
      <c r="X324">
        <v>323</v>
      </c>
      <c r="Y324">
        <v>5407.7999999999993</v>
      </c>
    </row>
    <row r="325" spans="24:25" x14ac:dyDescent="0.3">
      <c r="X325">
        <v>324</v>
      </c>
      <c r="Y325">
        <v>-3988.9700000000003</v>
      </c>
    </row>
    <row r="326" spans="24:25" x14ac:dyDescent="0.3">
      <c r="X326">
        <v>325</v>
      </c>
      <c r="Y326">
        <v>-4396.43</v>
      </c>
    </row>
    <row r="327" spans="24:25" x14ac:dyDescent="0.3">
      <c r="X327">
        <v>326</v>
      </c>
      <c r="Y327">
        <v>-4928.12</v>
      </c>
    </row>
    <row r="328" spans="24:25" x14ac:dyDescent="0.3">
      <c r="X328">
        <v>327</v>
      </c>
      <c r="Y328">
        <v>-4280.9000000000005</v>
      </c>
    </row>
    <row r="329" spans="24:25" x14ac:dyDescent="0.3">
      <c r="X329">
        <v>328</v>
      </c>
      <c r="Y329">
        <v>-3944.69</v>
      </c>
    </row>
    <row r="330" spans="24:25" x14ac:dyDescent="0.3">
      <c r="X330">
        <v>329</v>
      </c>
      <c r="Y330">
        <v>3193.7999999999993</v>
      </c>
    </row>
    <row r="331" spans="24:25" x14ac:dyDescent="0.3">
      <c r="X331">
        <v>330</v>
      </c>
      <c r="Y331">
        <v>-5035.76</v>
      </c>
    </row>
    <row r="332" spans="24:25" x14ac:dyDescent="0.3">
      <c r="X332">
        <v>331</v>
      </c>
      <c r="Y332">
        <v>-3827</v>
      </c>
    </row>
    <row r="333" spans="24:25" x14ac:dyDescent="0.3">
      <c r="X333">
        <v>332</v>
      </c>
      <c r="Y333">
        <v>-4841.7199999999993</v>
      </c>
    </row>
    <row r="334" spans="24:25" x14ac:dyDescent="0.3">
      <c r="X334">
        <v>333</v>
      </c>
      <c r="Y334">
        <v>5581.5000000000018</v>
      </c>
    </row>
    <row r="335" spans="24:25" x14ac:dyDescent="0.3">
      <c r="X335">
        <v>334</v>
      </c>
      <c r="Y335">
        <v>-3992.48</v>
      </c>
    </row>
    <row r="336" spans="24:25" x14ac:dyDescent="0.3">
      <c r="X336">
        <v>335</v>
      </c>
      <c r="Y336">
        <v>-3886.2500000000009</v>
      </c>
    </row>
    <row r="337" spans="24:25" x14ac:dyDescent="0.3">
      <c r="X337">
        <v>336</v>
      </c>
      <c r="Y337">
        <v>4520.4000000000015</v>
      </c>
    </row>
    <row r="338" spans="24:25" x14ac:dyDescent="0.3">
      <c r="X338">
        <v>337</v>
      </c>
      <c r="Y338">
        <v>2708.7999999999993</v>
      </c>
    </row>
    <row r="339" spans="24:25" x14ac:dyDescent="0.3">
      <c r="X339">
        <v>338</v>
      </c>
      <c r="Y339">
        <v>-4649</v>
      </c>
    </row>
    <row r="340" spans="24:25" x14ac:dyDescent="0.3">
      <c r="X340">
        <v>339</v>
      </c>
      <c r="Y340">
        <v>4756.0000000000018</v>
      </c>
    </row>
    <row r="341" spans="24:25" x14ac:dyDescent="0.3">
      <c r="X341">
        <v>340</v>
      </c>
      <c r="Y341">
        <v>-4327.1000000000004</v>
      </c>
    </row>
    <row r="342" spans="24:25" x14ac:dyDescent="0.3">
      <c r="X342">
        <v>341</v>
      </c>
      <c r="Y342">
        <v>-4050.8000000000011</v>
      </c>
    </row>
    <row r="343" spans="24:25" x14ac:dyDescent="0.3">
      <c r="X343">
        <v>342</v>
      </c>
      <c r="Y343">
        <v>-4825.07</v>
      </c>
    </row>
    <row r="344" spans="24:25" x14ac:dyDescent="0.3">
      <c r="X344">
        <v>343</v>
      </c>
      <c r="Y344">
        <v>3634.0000000000018</v>
      </c>
    </row>
    <row r="345" spans="24:25" x14ac:dyDescent="0.3">
      <c r="X345">
        <v>344</v>
      </c>
      <c r="Y345">
        <v>4346.2000000000007</v>
      </c>
    </row>
    <row r="346" spans="24:25" x14ac:dyDescent="0.3">
      <c r="X346">
        <v>345</v>
      </c>
      <c r="Y346">
        <v>2650</v>
      </c>
    </row>
    <row r="347" spans="24:25" x14ac:dyDescent="0.3">
      <c r="X347">
        <v>346</v>
      </c>
      <c r="Y347">
        <v>4006.3999999999996</v>
      </c>
    </row>
    <row r="348" spans="24:25" x14ac:dyDescent="0.3">
      <c r="X348">
        <v>347</v>
      </c>
      <c r="Y348">
        <v>-3928.76</v>
      </c>
    </row>
    <row r="349" spans="24:25" x14ac:dyDescent="0.3">
      <c r="X349">
        <v>348</v>
      </c>
      <c r="Y349">
        <v>1807.2000000000007</v>
      </c>
    </row>
    <row r="350" spans="24:25" x14ac:dyDescent="0.3">
      <c r="X350">
        <v>349</v>
      </c>
      <c r="Y350">
        <v>-4025.87</v>
      </c>
    </row>
    <row r="351" spans="24:25" x14ac:dyDescent="0.3">
      <c r="X351">
        <v>350</v>
      </c>
      <c r="Y351">
        <v>-5033</v>
      </c>
    </row>
    <row r="352" spans="24:25" x14ac:dyDescent="0.3">
      <c r="X352">
        <v>351</v>
      </c>
      <c r="Y352">
        <v>-3786.1400000000003</v>
      </c>
    </row>
    <row r="353" spans="24:25" x14ac:dyDescent="0.3">
      <c r="X353">
        <v>352</v>
      </c>
      <c r="Y353">
        <v>6138.4</v>
      </c>
    </row>
    <row r="354" spans="24:25" x14ac:dyDescent="0.3">
      <c r="X354">
        <v>353</v>
      </c>
      <c r="Y354">
        <v>3673.7000000000007</v>
      </c>
    </row>
    <row r="355" spans="24:25" x14ac:dyDescent="0.3">
      <c r="X355">
        <v>354</v>
      </c>
      <c r="Y355">
        <v>-4357.22</v>
      </c>
    </row>
    <row r="356" spans="24:25" x14ac:dyDescent="0.3">
      <c r="X356">
        <v>355</v>
      </c>
      <c r="Y356">
        <v>-3715.91</v>
      </c>
    </row>
    <row r="357" spans="24:25" x14ac:dyDescent="0.3">
      <c r="X357">
        <v>356</v>
      </c>
      <c r="Y357">
        <v>-3805.1900000000005</v>
      </c>
    </row>
    <row r="358" spans="24:25" x14ac:dyDescent="0.3">
      <c r="X358">
        <v>357</v>
      </c>
      <c r="Y358">
        <v>-4762.3999999999996</v>
      </c>
    </row>
    <row r="359" spans="24:25" x14ac:dyDescent="0.3">
      <c r="X359">
        <v>358</v>
      </c>
      <c r="Y359">
        <v>6625</v>
      </c>
    </row>
    <row r="360" spans="24:25" x14ac:dyDescent="0.3">
      <c r="X360">
        <v>359</v>
      </c>
      <c r="Y360">
        <v>-5089.3999999999996</v>
      </c>
    </row>
    <row r="361" spans="24:25" x14ac:dyDescent="0.3">
      <c r="X361">
        <v>360</v>
      </c>
      <c r="Y361">
        <v>4139.2000000000007</v>
      </c>
    </row>
    <row r="362" spans="24:25" x14ac:dyDescent="0.3">
      <c r="X362">
        <v>361</v>
      </c>
      <c r="Y362">
        <v>-4616.4799999999996</v>
      </c>
    </row>
    <row r="363" spans="24:25" x14ac:dyDescent="0.3">
      <c r="X363">
        <v>362</v>
      </c>
      <c r="Y363">
        <v>-4102.1000000000004</v>
      </c>
    </row>
    <row r="364" spans="24:25" x14ac:dyDescent="0.3">
      <c r="X364">
        <v>363</v>
      </c>
      <c r="Y364">
        <v>2412.0000000000018</v>
      </c>
    </row>
    <row r="365" spans="24:25" x14ac:dyDescent="0.3">
      <c r="X365">
        <v>364</v>
      </c>
      <c r="Y365">
        <v>4622.1000000000004</v>
      </c>
    </row>
    <row r="366" spans="24:25" x14ac:dyDescent="0.3">
      <c r="X366">
        <v>365</v>
      </c>
      <c r="Y366">
        <v>-4875.2</v>
      </c>
    </row>
    <row r="367" spans="24:25" x14ac:dyDescent="0.3">
      <c r="X367">
        <v>366</v>
      </c>
      <c r="Y367">
        <v>-4878.08</v>
      </c>
    </row>
    <row r="368" spans="24:25" x14ac:dyDescent="0.3">
      <c r="X368">
        <v>367</v>
      </c>
      <c r="Y368">
        <v>5548</v>
      </c>
    </row>
    <row r="369" spans="24:25" x14ac:dyDescent="0.3">
      <c r="X369">
        <v>368</v>
      </c>
      <c r="Y369">
        <v>-4830.8</v>
      </c>
    </row>
    <row r="370" spans="24:25" x14ac:dyDescent="0.3">
      <c r="X370">
        <v>369</v>
      </c>
      <c r="Y370">
        <v>-4287.7999999999993</v>
      </c>
    </row>
    <row r="371" spans="24:25" x14ac:dyDescent="0.3">
      <c r="X371">
        <v>370</v>
      </c>
      <c r="Y371">
        <v>6190</v>
      </c>
    </row>
    <row r="372" spans="24:25" x14ac:dyDescent="0.3">
      <c r="X372">
        <v>371</v>
      </c>
      <c r="Y372">
        <v>-4898</v>
      </c>
    </row>
    <row r="373" spans="24:25" x14ac:dyDescent="0.3">
      <c r="X373">
        <v>372</v>
      </c>
      <c r="Y373">
        <v>-4945.9399999999996</v>
      </c>
    </row>
    <row r="374" spans="24:25" x14ac:dyDescent="0.3">
      <c r="X374">
        <v>373</v>
      </c>
      <c r="Y374">
        <v>2751.4000000000015</v>
      </c>
    </row>
    <row r="375" spans="24:25" x14ac:dyDescent="0.3">
      <c r="X375">
        <v>374</v>
      </c>
      <c r="Y375">
        <v>1917</v>
      </c>
    </row>
    <row r="376" spans="24:25" x14ac:dyDescent="0.3">
      <c r="X376">
        <v>375</v>
      </c>
      <c r="Y376">
        <v>-4690.49</v>
      </c>
    </row>
    <row r="377" spans="24:25" x14ac:dyDescent="0.3">
      <c r="X377">
        <v>376</v>
      </c>
      <c r="Y377">
        <v>-3965</v>
      </c>
    </row>
    <row r="378" spans="24:25" x14ac:dyDescent="0.3">
      <c r="X378">
        <v>377</v>
      </c>
      <c r="Y378">
        <v>-4179.6799999999994</v>
      </c>
    </row>
    <row r="379" spans="24:25" x14ac:dyDescent="0.3">
      <c r="X379">
        <v>378</v>
      </c>
      <c r="Y379">
        <v>-4866.6499999999996</v>
      </c>
    </row>
    <row r="380" spans="24:25" x14ac:dyDescent="0.3">
      <c r="X380">
        <v>379</v>
      </c>
      <c r="Y380">
        <v>-4461.92</v>
      </c>
    </row>
    <row r="381" spans="24:25" x14ac:dyDescent="0.3">
      <c r="X381">
        <v>380</v>
      </c>
      <c r="Y381">
        <v>-4784</v>
      </c>
    </row>
    <row r="382" spans="24:25" x14ac:dyDescent="0.3">
      <c r="X382">
        <v>381</v>
      </c>
      <c r="Y382">
        <v>-4667.66</v>
      </c>
    </row>
    <row r="383" spans="24:25" x14ac:dyDescent="0.3">
      <c r="X383">
        <v>382</v>
      </c>
      <c r="Y383">
        <v>-3789.95</v>
      </c>
    </row>
    <row r="384" spans="24:25" x14ac:dyDescent="0.3">
      <c r="X384">
        <v>383</v>
      </c>
      <c r="Y384">
        <v>-5059.7</v>
      </c>
    </row>
    <row r="385" spans="24:25" x14ac:dyDescent="0.3">
      <c r="X385">
        <v>384</v>
      </c>
      <c r="Y385">
        <v>-4872.59</v>
      </c>
    </row>
    <row r="386" spans="24:25" x14ac:dyDescent="0.3">
      <c r="X386">
        <v>385</v>
      </c>
      <c r="Y386">
        <v>-4927.7000000000007</v>
      </c>
    </row>
    <row r="387" spans="24:25" x14ac:dyDescent="0.3">
      <c r="X387">
        <v>386</v>
      </c>
      <c r="Y387">
        <v>4117.6000000000004</v>
      </c>
    </row>
    <row r="388" spans="24:25" x14ac:dyDescent="0.3">
      <c r="X388">
        <v>387</v>
      </c>
      <c r="Y388">
        <v>-4230.32</v>
      </c>
    </row>
    <row r="389" spans="24:25" x14ac:dyDescent="0.3">
      <c r="X389">
        <v>388</v>
      </c>
      <c r="Y389">
        <v>-3985.2799999999997</v>
      </c>
    </row>
    <row r="390" spans="24:25" x14ac:dyDescent="0.3">
      <c r="X390">
        <v>389</v>
      </c>
      <c r="Y390">
        <v>5208</v>
      </c>
    </row>
    <row r="391" spans="24:25" x14ac:dyDescent="0.3">
      <c r="X391">
        <v>390</v>
      </c>
      <c r="Y391">
        <v>-4855.7000000000007</v>
      </c>
    </row>
    <row r="392" spans="24:25" x14ac:dyDescent="0.3">
      <c r="X392">
        <v>391</v>
      </c>
      <c r="Y392">
        <v>2886.2000000000007</v>
      </c>
    </row>
    <row r="393" spans="24:25" x14ac:dyDescent="0.3">
      <c r="X393">
        <v>392</v>
      </c>
      <c r="Y393">
        <v>4654</v>
      </c>
    </row>
    <row r="394" spans="24:25" x14ac:dyDescent="0.3">
      <c r="X394">
        <v>393</v>
      </c>
      <c r="Y394">
        <v>-3912.8</v>
      </c>
    </row>
    <row r="395" spans="24:25" x14ac:dyDescent="0.3">
      <c r="X395">
        <v>394</v>
      </c>
      <c r="Y395">
        <v>-4409.5400000000009</v>
      </c>
    </row>
    <row r="396" spans="24:25" x14ac:dyDescent="0.3">
      <c r="X396">
        <v>395</v>
      </c>
      <c r="Y396">
        <v>5133</v>
      </c>
    </row>
    <row r="397" spans="24:25" x14ac:dyDescent="0.3">
      <c r="X397">
        <v>396</v>
      </c>
      <c r="Y397">
        <v>-4241.42</v>
      </c>
    </row>
    <row r="398" spans="24:25" x14ac:dyDescent="0.3">
      <c r="X398">
        <v>397</v>
      </c>
      <c r="Y398">
        <v>-4440.5</v>
      </c>
    </row>
    <row r="399" spans="24:25" x14ac:dyDescent="0.3">
      <c r="X399">
        <v>398</v>
      </c>
      <c r="Y399">
        <v>-4393.6099999999997</v>
      </c>
    </row>
    <row r="400" spans="24:25" x14ac:dyDescent="0.3">
      <c r="X400">
        <v>399</v>
      </c>
      <c r="Y400">
        <v>-4177.3700000000008</v>
      </c>
    </row>
    <row r="401" spans="24:25" x14ac:dyDescent="0.3">
      <c r="X401">
        <v>400</v>
      </c>
      <c r="Y401">
        <v>-527.35999999999876</v>
      </c>
    </row>
    <row r="402" spans="24:25" x14ac:dyDescent="0.3">
      <c r="X402">
        <v>401</v>
      </c>
      <c r="Y402">
        <v>-3812.96</v>
      </c>
    </row>
    <row r="403" spans="24:25" x14ac:dyDescent="0.3">
      <c r="X403">
        <v>402</v>
      </c>
      <c r="Y403">
        <v>2398.3999999999996</v>
      </c>
    </row>
    <row r="404" spans="24:25" x14ac:dyDescent="0.3">
      <c r="X404">
        <v>403</v>
      </c>
      <c r="Y404">
        <v>-4873.55</v>
      </c>
    </row>
    <row r="405" spans="24:25" x14ac:dyDescent="0.3">
      <c r="X405">
        <v>404</v>
      </c>
      <c r="Y405">
        <v>3226.6000000000004</v>
      </c>
    </row>
    <row r="406" spans="24:25" x14ac:dyDescent="0.3">
      <c r="X406">
        <v>405</v>
      </c>
      <c r="Y406">
        <v>540.15999999999985</v>
      </c>
    </row>
    <row r="407" spans="24:25" x14ac:dyDescent="0.3">
      <c r="X407">
        <v>406</v>
      </c>
      <c r="Y407">
        <v>-4389.6499999999996</v>
      </c>
    </row>
    <row r="408" spans="24:25" x14ac:dyDescent="0.3">
      <c r="X408">
        <v>407</v>
      </c>
      <c r="Y408">
        <v>-3875.1800000000003</v>
      </c>
    </row>
    <row r="409" spans="24:25" x14ac:dyDescent="0.3">
      <c r="X409">
        <v>408</v>
      </c>
      <c r="Y409">
        <v>-2162.6000000000004</v>
      </c>
    </row>
    <row r="410" spans="24:25" x14ac:dyDescent="0.3">
      <c r="X410">
        <v>409</v>
      </c>
      <c r="Y410">
        <v>5465.6</v>
      </c>
    </row>
    <row r="411" spans="24:25" x14ac:dyDescent="0.3">
      <c r="X411">
        <v>410</v>
      </c>
      <c r="Y411">
        <v>-1021.0399999999991</v>
      </c>
    </row>
    <row r="412" spans="24:25" x14ac:dyDescent="0.3">
      <c r="X412">
        <v>411</v>
      </c>
      <c r="Y412">
        <v>2791</v>
      </c>
    </row>
    <row r="413" spans="24:25" x14ac:dyDescent="0.3">
      <c r="X413">
        <v>412</v>
      </c>
      <c r="Y413">
        <v>-4028.8999999999996</v>
      </c>
    </row>
    <row r="414" spans="24:25" x14ac:dyDescent="0.3">
      <c r="X414">
        <v>413</v>
      </c>
      <c r="Y414">
        <v>-4749.5300000000007</v>
      </c>
    </row>
    <row r="415" spans="24:25" x14ac:dyDescent="0.3">
      <c r="X415">
        <v>414</v>
      </c>
      <c r="Y415">
        <v>3914.0000000000018</v>
      </c>
    </row>
    <row r="416" spans="24:25" x14ac:dyDescent="0.3">
      <c r="X416">
        <v>415</v>
      </c>
      <c r="Y416">
        <v>-3854.54</v>
      </c>
    </row>
    <row r="417" spans="24:25" x14ac:dyDescent="0.3">
      <c r="X417">
        <v>416</v>
      </c>
      <c r="Y417">
        <v>-4021.58</v>
      </c>
    </row>
    <row r="418" spans="24:25" x14ac:dyDescent="0.3">
      <c r="X418">
        <v>417</v>
      </c>
      <c r="Y418">
        <v>-4766.99</v>
      </c>
    </row>
    <row r="419" spans="24:25" x14ac:dyDescent="0.3">
      <c r="X419">
        <v>418</v>
      </c>
      <c r="Y419">
        <v>2513.7999999999993</v>
      </c>
    </row>
    <row r="420" spans="24:25" x14ac:dyDescent="0.3">
      <c r="X420">
        <v>419</v>
      </c>
      <c r="Y420">
        <v>4230.3999999999996</v>
      </c>
    </row>
    <row r="421" spans="24:25" x14ac:dyDescent="0.3">
      <c r="X421">
        <v>420</v>
      </c>
      <c r="Y421">
        <v>5970.7000000000007</v>
      </c>
    </row>
    <row r="422" spans="24:25" x14ac:dyDescent="0.3">
      <c r="X422">
        <v>421</v>
      </c>
      <c r="Y422">
        <v>2780.8000000000011</v>
      </c>
    </row>
    <row r="423" spans="24:25" x14ac:dyDescent="0.3">
      <c r="X423">
        <v>422</v>
      </c>
      <c r="Y423">
        <v>2416</v>
      </c>
    </row>
    <row r="424" spans="24:25" x14ac:dyDescent="0.3">
      <c r="X424">
        <v>423</v>
      </c>
      <c r="Y424">
        <v>-4133.6000000000004</v>
      </c>
    </row>
    <row r="425" spans="24:25" x14ac:dyDescent="0.3">
      <c r="X425">
        <v>424</v>
      </c>
      <c r="Y425">
        <v>1855.3000000000011</v>
      </c>
    </row>
    <row r="426" spans="24:25" x14ac:dyDescent="0.3">
      <c r="X426">
        <v>425</v>
      </c>
      <c r="Y426">
        <v>3910.2000000000007</v>
      </c>
    </row>
    <row r="427" spans="24:25" x14ac:dyDescent="0.3">
      <c r="X427">
        <v>426</v>
      </c>
      <c r="Y427">
        <v>-1691.7200000000003</v>
      </c>
    </row>
    <row r="428" spans="24:25" x14ac:dyDescent="0.3">
      <c r="X428">
        <v>427</v>
      </c>
      <c r="Y428">
        <v>4078.0000000000018</v>
      </c>
    </row>
    <row r="429" spans="24:25" x14ac:dyDescent="0.3">
      <c r="X429">
        <v>428</v>
      </c>
      <c r="Y429">
        <v>4320</v>
      </c>
    </row>
    <row r="430" spans="24:25" x14ac:dyDescent="0.3">
      <c r="X430">
        <v>429</v>
      </c>
      <c r="Y430">
        <v>-1973.6000000000004</v>
      </c>
    </row>
    <row r="431" spans="24:25" x14ac:dyDescent="0.3">
      <c r="X431">
        <v>430</v>
      </c>
      <c r="Y431">
        <v>-883.52000000000044</v>
      </c>
    </row>
    <row r="432" spans="24:25" x14ac:dyDescent="0.3">
      <c r="X432">
        <v>431</v>
      </c>
      <c r="Y432">
        <v>2800.9000000000015</v>
      </c>
    </row>
    <row r="433" spans="24:25" x14ac:dyDescent="0.3">
      <c r="X433">
        <v>432</v>
      </c>
      <c r="Y433">
        <v>-4700</v>
      </c>
    </row>
    <row r="434" spans="24:25" x14ac:dyDescent="0.3">
      <c r="X434">
        <v>433</v>
      </c>
      <c r="Y434">
        <v>-3886.16</v>
      </c>
    </row>
    <row r="435" spans="24:25" x14ac:dyDescent="0.3">
      <c r="X435">
        <v>434</v>
      </c>
      <c r="Y435">
        <v>3748.0000000000018</v>
      </c>
    </row>
    <row r="436" spans="24:25" x14ac:dyDescent="0.3">
      <c r="X436">
        <v>435</v>
      </c>
      <c r="Y436">
        <v>2355</v>
      </c>
    </row>
    <row r="437" spans="24:25" x14ac:dyDescent="0.3">
      <c r="X437">
        <v>436</v>
      </c>
      <c r="Y437">
        <v>-4390.2800000000007</v>
      </c>
    </row>
    <row r="438" spans="24:25" x14ac:dyDescent="0.3">
      <c r="X438">
        <v>437</v>
      </c>
      <c r="Y438">
        <v>-4886.3600000000006</v>
      </c>
    </row>
    <row r="439" spans="24:25" x14ac:dyDescent="0.3">
      <c r="X439">
        <v>438</v>
      </c>
      <c r="Y439">
        <v>2998.9000000000015</v>
      </c>
    </row>
    <row r="440" spans="24:25" x14ac:dyDescent="0.3">
      <c r="X440">
        <v>439</v>
      </c>
      <c r="Y440">
        <v>-3595.6400000000003</v>
      </c>
    </row>
    <row r="441" spans="24:25" x14ac:dyDescent="0.3">
      <c r="X441">
        <v>440</v>
      </c>
      <c r="Y441">
        <v>-982.94000000000051</v>
      </c>
    </row>
    <row r="442" spans="24:25" x14ac:dyDescent="0.3">
      <c r="X442">
        <v>441</v>
      </c>
      <c r="Y442">
        <v>-4099.67</v>
      </c>
    </row>
    <row r="443" spans="24:25" x14ac:dyDescent="0.3">
      <c r="X443">
        <v>442</v>
      </c>
      <c r="Y443">
        <v>-4824.9799999999996</v>
      </c>
    </row>
    <row r="444" spans="24:25" x14ac:dyDescent="0.3">
      <c r="X444">
        <v>443</v>
      </c>
      <c r="Y444">
        <v>3140</v>
      </c>
    </row>
    <row r="445" spans="24:25" x14ac:dyDescent="0.3">
      <c r="X445">
        <v>444</v>
      </c>
      <c r="Y445">
        <v>2440</v>
      </c>
    </row>
    <row r="446" spans="24:25" x14ac:dyDescent="0.3">
      <c r="X446">
        <v>445</v>
      </c>
      <c r="Y446">
        <v>325</v>
      </c>
    </row>
    <row r="447" spans="24:25" x14ac:dyDescent="0.3">
      <c r="X447">
        <v>446</v>
      </c>
      <c r="Y447">
        <v>-4097.6000000000004</v>
      </c>
    </row>
    <row r="448" spans="24:25" x14ac:dyDescent="0.3">
      <c r="X448">
        <v>447</v>
      </c>
      <c r="Y448">
        <v>6287</v>
      </c>
    </row>
    <row r="449" spans="24:25" x14ac:dyDescent="0.3">
      <c r="X449">
        <v>448</v>
      </c>
      <c r="Y449">
        <v>-1182.0800000000008</v>
      </c>
    </row>
    <row r="450" spans="24:25" x14ac:dyDescent="0.3">
      <c r="X450">
        <v>449</v>
      </c>
      <c r="Y450">
        <v>-4944.5</v>
      </c>
    </row>
    <row r="451" spans="24:25" x14ac:dyDescent="0.3">
      <c r="X451">
        <v>450</v>
      </c>
      <c r="Y451">
        <v>-4421.6000000000004</v>
      </c>
    </row>
    <row r="452" spans="24:25" x14ac:dyDescent="0.3">
      <c r="X452">
        <v>451</v>
      </c>
      <c r="Y452">
        <v>-4730.72</v>
      </c>
    </row>
    <row r="453" spans="24:25" x14ac:dyDescent="0.3">
      <c r="X453">
        <v>452</v>
      </c>
      <c r="Y453">
        <v>-3996.35</v>
      </c>
    </row>
    <row r="454" spans="24:25" x14ac:dyDescent="0.3">
      <c r="X454">
        <v>453</v>
      </c>
      <c r="Y454">
        <v>-4661</v>
      </c>
    </row>
    <row r="455" spans="24:25" x14ac:dyDescent="0.3">
      <c r="X455">
        <v>454</v>
      </c>
      <c r="Y455">
        <v>-4825.1000000000004</v>
      </c>
    </row>
    <row r="456" spans="24:25" x14ac:dyDescent="0.3">
      <c r="X456">
        <v>455</v>
      </c>
      <c r="Y456">
        <v>-4697.1500000000005</v>
      </c>
    </row>
    <row r="457" spans="24:25" x14ac:dyDescent="0.3">
      <c r="X457">
        <v>456</v>
      </c>
      <c r="Y457">
        <v>-4263.6499999999996</v>
      </c>
    </row>
    <row r="458" spans="24:25" x14ac:dyDescent="0.3">
      <c r="X458">
        <v>457</v>
      </c>
      <c r="Y458">
        <v>-3799.7</v>
      </c>
    </row>
    <row r="459" spans="24:25" x14ac:dyDescent="0.3">
      <c r="X459">
        <v>458</v>
      </c>
      <c r="Y459">
        <v>4004.2000000000007</v>
      </c>
    </row>
    <row r="460" spans="24:25" x14ac:dyDescent="0.3">
      <c r="X460">
        <v>459</v>
      </c>
      <c r="Y460">
        <v>-4972.8500000000004</v>
      </c>
    </row>
    <row r="461" spans="24:25" x14ac:dyDescent="0.3">
      <c r="X461">
        <v>460</v>
      </c>
      <c r="Y461">
        <v>6080</v>
      </c>
    </row>
    <row r="462" spans="24:25" x14ac:dyDescent="0.3">
      <c r="X462">
        <v>461</v>
      </c>
      <c r="Y462">
        <v>-4706.2700000000004</v>
      </c>
    </row>
    <row r="463" spans="24:25" x14ac:dyDescent="0.3">
      <c r="X463">
        <v>462</v>
      </c>
      <c r="Y463">
        <v>-406.39999999999964</v>
      </c>
    </row>
    <row r="464" spans="24:25" x14ac:dyDescent="0.3">
      <c r="X464">
        <v>463</v>
      </c>
      <c r="Y464">
        <v>-3965</v>
      </c>
    </row>
    <row r="465" spans="24:25" x14ac:dyDescent="0.3">
      <c r="X465">
        <v>464</v>
      </c>
      <c r="Y465">
        <v>-694.88000000000102</v>
      </c>
    </row>
    <row r="466" spans="24:25" x14ac:dyDescent="0.3">
      <c r="X466">
        <v>465</v>
      </c>
      <c r="Y466">
        <v>5926.4000000000015</v>
      </c>
    </row>
    <row r="467" spans="24:25" x14ac:dyDescent="0.3">
      <c r="X467">
        <v>466</v>
      </c>
      <c r="Y467">
        <v>-4233.4400000000005</v>
      </c>
    </row>
    <row r="468" spans="24:25" x14ac:dyDescent="0.3">
      <c r="X468">
        <v>467</v>
      </c>
      <c r="Y468">
        <v>2838.8000000000011</v>
      </c>
    </row>
    <row r="469" spans="24:25" x14ac:dyDescent="0.3">
      <c r="X469">
        <v>468</v>
      </c>
      <c r="Y469">
        <v>-984.92000000000007</v>
      </c>
    </row>
    <row r="470" spans="24:25" x14ac:dyDescent="0.3">
      <c r="X470">
        <v>469</v>
      </c>
      <c r="Y470">
        <v>-4495.6399999999994</v>
      </c>
    </row>
    <row r="471" spans="24:25" x14ac:dyDescent="0.3">
      <c r="X471">
        <v>470</v>
      </c>
      <c r="Y471">
        <v>-4805.1500000000005</v>
      </c>
    </row>
    <row r="472" spans="24:25" x14ac:dyDescent="0.3">
      <c r="X472">
        <v>471</v>
      </c>
      <c r="Y472">
        <v>-1088.9000000000015</v>
      </c>
    </row>
    <row r="473" spans="24:25" x14ac:dyDescent="0.3">
      <c r="X473">
        <v>472</v>
      </c>
      <c r="Y473">
        <v>-4246.4000000000005</v>
      </c>
    </row>
    <row r="474" spans="24:25" x14ac:dyDescent="0.3">
      <c r="X474">
        <v>473</v>
      </c>
      <c r="Y474">
        <v>-4530.1400000000003</v>
      </c>
    </row>
    <row r="475" spans="24:25" x14ac:dyDescent="0.3">
      <c r="X475">
        <v>474</v>
      </c>
      <c r="Y475">
        <v>-4162.76</v>
      </c>
    </row>
    <row r="476" spans="24:25" x14ac:dyDescent="0.3">
      <c r="X476">
        <v>475</v>
      </c>
      <c r="Y476">
        <v>-4141.3099999999995</v>
      </c>
    </row>
    <row r="477" spans="24:25" x14ac:dyDescent="0.3">
      <c r="X477">
        <v>476</v>
      </c>
      <c r="Y477">
        <v>5644</v>
      </c>
    </row>
    <row r="478" spans="24:25" x14ac:dyDescent="0.3">
      <c r="X478">
        <v>477</v>
      </c>
      <c r="Y478">
        <v>2535.5</v>
      </c>
    </row>
    <row r="479" spans="24:25" x14ac:dyDescent="0.3">
      <c r="X479">
        <v>478</v>
      </c>
      <c r="Y479">
        <v>-4986.08</v>
      </c>
    </row>
    <row r="480" spans="24:25" x14ac:dyDescent="0.3">
      <c r="X480">
        <v>479</v>
      </c>
      <c r="Y480">
        <v>-4271</v>
      </c>
    </row>
    <row r="481" spans="24:25" x14ac:dyDescent="0.3">
      <c r="X481">
        <v>480</v>
      </c>
      <c r="Y481">
        <v>-4311.2</v>
      </c>
    </row>
    <row r="482" spans="24:25" x14ac:dyDescent="0.3">
      <c r="X482">
        <v>481</v>
      </c>
      <c r="Y482">
        <v>5491.2000000000007</v>
      </c>
    </row>
    <row r="483" spans="24:25" x14ac:dyDescent="0.3">
      <c r="X483">
        <v>482</v>
      </c>
      <c r="Y483">
        <v>-3922.76</v>
      </c>
    </row>
    <row r="484" spans="24:25" x14ac:dyDescent="0.3">
      <c r="X484">
        <v>483</v>
      </c>
      <c r="Y484">
        <v>-4456.16</v>
      </c>
    </row>
    <row r="485" spans="24:25" x14ac:dyDescent="0.3">
      <c r="X485">
        <v>484</v>
      </c>
      <c r="Y485">
        <v>2055.6000000000022</v>
      </c>
    </row>
    <row r="486" spans="24:25" x14ac:dyDescent="0.3">
      <c r="X486">
        <v>485</v>
      </c>
      <c r="Y486">
        <v>-3885.2</v>
      </c>
    </row>
    <row r="487" spans="24:25" x14ac:dyDescent="0.3">
      <c r="X487">
        <v>486</v>
      </c>
      <c r="Y487">
        <v>-4682.5999999999995</v>
      </c>
    </row>
    <row r="488" spans="24:25" x14ac:dyDescent="0.3">
      <c r="X488">
        <v>487</v>
      </c>
      <c r="Y488">
        <v>-1708.3999999999996</v>
      </c>
    </row>
    <row r="489" spans="24:25" x14ac:dyDescent="0.3">
      <c r="X489">
        <v>488</v>
      </c>
      <c r="Y489">
        <v>2761.6000000000022</v>
      </c>
    </row>
    <row r="490" spans="24:25" x14ac:dyDescent="0.3">
      <c r="X490">
        <v>489</v>
      </c>
      <c r="Y490">
        <v>2107.3999999999996</v>
      </c>
    </row>
    <row r="491" spans="24:25" x14ac:dyDescent="0.3">
      <c r="X491">
        <v>490</v>
      </c>
      <c r="Y491">
        <v>-4004.7200000000003</v>
      </c>
    </row>
    <row r="492" spans="24:25" x14ac:dyDescent="0.3">
      <c r="X492">
        <v>491</v>
      </c>
      <c r="Y492">
        <v>2143</v>
      </c>
    </row>
    <row r="493" spans="24:25" x14ac:dyDescent="0.3">
      <c r="X493">
        <v>492</v>
      </c>
      <c r="Y493">
        <v>-4547.6000000000004</v>
      </c>
    </row>
    <row r="494" spans="24:25" x14ac:dyDescent="0.3">
      <c r="X494">
        <v>493</v>
      </c>
      <c r="Y494">
        <v>5017.3999999999996</v>
      </c>
    </row>
    <row r="495" spans="24:25" x14ac:dyDescent="0.3">
      <c r="X495">
        <v>494</v>
      </c>
      <c r="Y495">
        <v>-3945.29</v>
      </c>
    </row>
    <row r="496" spans="24:25" x14ac:dyDescent="0.3">
      <c r="X496">
        <v>495</v>
      </c>
      <c r="Y496">
        <v>4040</v>
      </c>
    </row>
    <row r="497" spans="24:25" x14ac:dyDescent="0.3">
      <c r="X497">
        <v>496</v>
      </c>
      <c r="Y497">
        <v>221.20000000000073</v>
      </c>
    </row>
    <row r="498" spans="24:25" x14ac:dyDescent="0.3">
      <c r="X498">
        <v>497</v>
      </c>
      <c r="Y498">
        <v>-3902.7200000000003</v>
      </c>
    </row>
    <row r="499" spans="24:25" x14ac:dyDescent="0.3">
      <c r="X499">
        <v>498</v>
      </c>
      <c r="Y499">
        <v>-4558.880000000001</v>
      </c>
    </row>
    <row r="500" spans="24:25" x14ac:dyDescent="0.3">
      <c r="X500">
        <v>499</v>
      </c>
      <c r="Y500">
        <v>-4383.2000000000007</v>
      </c>
    </row>
    <row r="501" spans="24:25" x14ac:dyDescent="0.3">
      <c r="X501">
        <v>500</v>
      </c>
      <c r="Y501">
        <v>-3883.5200000000004</v>
      </c>
    </row>
    <row r="502" spans="24:25" x14ac:dyDescent="0.3">
      <c r="X502">
        <v>501</v>
      </c>
      <c r="Y502">
        <v>-4299.5599999999995</v>
      </c>
    </row>
    <row r="503" spans="24:25" x14ac:dyDescent="0.3">
      <c r="X503">
        <v>502</v>
      </c>
      <c r="Y503">
        <v>-4931.4800000000005</v>
      </c>
    </row>
    <row r="504" spans="24:25" x14ac:dyDescent="0.3">
      <c r="X504">
        <v>503</v>
      </c>
      <c r="Y504">
        <v>-4481.84</v>
      </c>
    </row>
    <row r="505" spans="24:25" x14ac:dyDescent="0.3">
      <c r="X505">
        <v>504</v>
      </c>
      <c r="Y505">
        <v>4317</v>
      </c>
    </row>
    <row r="506" spans="24:25" x14ac:dyDescent="0.3">
      <c r="X506">
        <v>505</v>
      </c>
      <c r="Y506">
        <v>-4916.2999999999993</v>
      </c>
    </row>
    <row r="507" spans="24:25" x14ac:dyDescent="0.3">
      <c r="X507">
        <v>506</v>
      </c>
      <c r="Y507">
        <v>-3731.3900000000012</v>
      </c>
    </row>
    <row r="508" spans="24:25" x14ac:dyDescent="0.3">
      <c r="X508">
        <v>507</v>
      </c>
      <c r="Y508">
        <v>-3995.96</v>
      </c>
    </row>
    <row r="509" spans="24:25" x14ac:dyDescent="0.3">
      <c r="X509">
        <v>508</v>
      </c>
      <c r="Y509">
        <v>3681.6000000000022</v>
      </c>
    </row>
    <row r="510" spans="24:25" x14ac:dyDescent="0.3">
      <c r="X510">
        <v>509</v>
      </c>
      <c r="Y510">
        <v>3412.2999999999993</v>
      </c>
    </row>
    <row r="511" spans="24:25" x14ac:dyDescent="0.3">
      <c r="X511">
        <v>510</v>
      </c>
      <c r="Y511">
        <v>-988.63999999999942</v>
      </c>
    </row>
    <row r="512" spans="24:25" x14ac:dyDescent="0.3">
      <c r="X512">
        <v>511</v>
      </c>
      <c r="Y512">
        <v>4499.2000000000007</v>
      </c>
    </row>
    <row r="513" spans="24:25" x14ac:dyDescent="0.3">
      <c r="X513">
        <v>512</v>
      </c>
      <c r="Y513">
        <v>-4970.0599999999995</v>
      </c>
    </row>
    <row r="514" spans="24:25" x14ac:dyDescent="0.3">
      <c r="X514">
        <v>513</v>
      </c>
      <c r="Y514">
        <v>-4422.8</v>
      </c>
    </row>
    <row r="515" spans="24:25" x14ac:dyDescent="0.3">
      <c r="X515">
        <v>514</v>
      </c>
      <c r="Y515">
        <v>-741.20000000000073</v>
      </c>
    </row>
    <row r="516" spans="24:25" x14ac:dyDescent="0.3">
      <c r="X516">
        <v>515</v>
      </c>
      <c r="Y516">
        <v>-3746.87</v>
      </c>
    </row>
    <row r="517" spans="24:25" x14ac:dyDescent="0.3">
      <c r="X517">
        <v>516</v>
      </c>
      <c r="Y517">
        <v>-4140.8000000000011</v>
      </c>
    </row>
    <row r="518" spans="24:25" x14ac:dyDescent="0.3">
      <c r="X518">
        <v>517</v>
      </c>
      <c r="Y518">
        <v>-4068.8</v>
      </c>
    </row>
    <row r="519" spans="24:25" x14ac:dyDescent="0.3">
      <c r="X519">
        <v>518</v>
      </c>
      <c r="Y519">
        <v>5505.4</v>
      </c>
    </row>
    <row r="520" spans="24:25" x14ac:dyDescent="0.3">
      <c r="X520">
        <v>519</v>
      </c>
      <c r="Y520">
        <v>6371.6</v>
      </c>
    </row>
    <row r="521" spans="24:25" x14ac:dyDescent="0.3">
      <c r="X521">
        <v>520</v>
      </c>
      <c r="Y521">
        <v>1918</v>
      </c>
    </row>
    <row r="522" spans="24:25" x14ac:dyDescent="0.3">
      <c r="X522">
        <v>521</v>
      </c>
      <c r="Y522">
        <v>4101.7000000000007</v>
      </c>
    </row>
    <row r="523" spans="24:25" x14ac:dyDescent="0.3">
      <c r="X523">
        <v>522</v>
      </c>
      <c r="Y523">
        <v>4022.5</v>
      </c>
    </row>
    <row r="524" spans="24:25" x14ac:dyDescent="0.3">
      <c r="X524">
        <v>523</v>
      </c>
      <c r="Y524">
        <v>-4257.08</v>
      </c>
    </row>
    <row r="525" spans="24:25" x14ac:dyDescent="0.3">
      <c r="X525">
        <v>524</v>
      </c>
      <c r="Y525">
        <v>413.19999999999891</v>
      </c>
    </row>
    <row r="526" spans="24:25" x14ac:dyDescent="0.3">
      <c r="X526">
        <v>525</v>
      </c>
      <c r="Y526">
        <v>-4216.76</v>
      </c>
    </row>
    <row r="527" spans="24:25" x14ac:dyDescent="0.3">
      <c r="X527">
        <v>526</v>
      </c>
      <c r="Y527">
        <v>-4250.66</v>
      </c>
    </row>
    <row r="528" spans="24:25" x14ac:dyDescent="0.3">
      <c r="X528">
        <v>527</v>
      </c>
      <c r="Y528">
        <v>-4975.6400000000003</v>
      </c>
    </row>
    <row r="529" spans="24:25" x14ac:dyDescent="0.3">
      <c r="X529">
        <v>528</v>
      </c>
      <c r="Y529">
        <v>-3781.25</v>
      </c>
    </row>
    <row r="530" spans="24:25" x14ac:dyDescent="0.3">
      <c r="X530">
        <v>529</v>
      </c>
      <c r="Y530">
        <v>6326</v>
      </c>
    </row>
    <row r="531" spans="24:25" x14ac:dyDescent="0.3">
      <c r="X531">
        <v>530</v>
      </c>
      <c r="Y531">
        <v>-3553.37</v>
      </c>
    </row>
    <row r="532" spans="24:25" x14ac:dyDescent="0.3">
      <c r="X532">
        <v>531</v>
      </c>
      <c r="Y532">
        <v>-4132.4000000000005</v>
      </c>
    </row>
    <row r="533" spans="24:25" x14ac:dyDescent="0.3">
      <c r="X533">
        <v>532</v>
      </c>
      <c r="Y533">
        <v>-4509.7999999999993</v>
      </c>
    </row>
    <row r="534" spans="24:25" x14ac:dyDescent="0.3">
      <c r="X534">
        <v>533</v>
      </c>
      <c r="Y534">
        <v>-1690.0999999999995</v>
      </c>
    </row>
    <row r="535" spans="24:25" x14ac:dyDescent="0.3">
      <c r="X535">
        <v>534</v>
      </c>
      <c r="Y535">
        <v>-4203.53</v>
      </c>
    </row>
    <row r="536" spans="24:25" x14ac:dyDescent="0.3">
      <c r="X536">
        <v>535</v>
      </c>
      <c r="Y536">
        <v>6643.1</v>
      </c>
    </row>
    <row r="537" spans="24:25" x14ac:dyDescent="0.3">
      <c r="X537">
        <v>536</v>
      </c>
      <c r="Y537">
        <v>3371.5000000000018</v>
      </c>
    </row>
    <row r="538" spans="24:25" x14ac:dyDescent="0.3">
      <c r="X538">
        <v>537</v>
      </c>
      <c r="Y538">
        <v>-4884.9500000000007</v>
      </c>
    </row>
    <row r="539" spans="24:25" x14ac:dyDescent="0.3">
      <c r="X539">
        <v>538</v>
      </c>
      <c r="Y539">
        <v>-4216.6399999999994</v>
      </c>
    </row>
    <row r="540" spans="24:25" x14ac:dyDescent="0.3">
      <c r="X540">
        <v>539</v>
      </c>
      <c r="Y540">
        <v>-4025.9</v>
      </c>
    </row>
    <row r="541" spans="24:25" x14ac:dyDescent="0.3">
      <c r="X541">
        <v>540</v>
      </c>
      <c r="Y541">
        <v>2583</v>
      </c>
    </row>
    <row r="542" spans="24:25" x14ac:dyDescent="0.3">
      <c r="X542">
        <v>541</v>
      </c>
      <c r="Y542">
        <v>-5067.8</v>
      </c>
    </row>
    <row r="543" spans="24:25" x14ac:dyDescent="0.3">
      <c r="X543">
        <v>542</v>
      </c>
      <c r="Y543">
        <v>-3688.5200000000004</v>
      </c>
    </row>
    <row r="544" spans="24:25" x14ac:dyDescent="0.3">
      <c r="X544">
        <v>543</v>
      </c>
      <c r="Y544">
        <v>2456.6000000000022</v>
      </c>
    </row>
    <row r="545" spans="24:25" x14ac:dyDescent="0.3">
      <c r="X545">
        <v>544</v>
      </c>
      <c r="Y545">
        <v>-4431.6799999999994</v>
      </c>
    </row>
    <row r="546" spans="24:25" x14ac:dyDescent="0.3">
      <c r="X546">
        <v>545</v>
      </c>
      <c r="Y546">
        <v>2623.2000000000007</v>
      </c>
    </row>
    <row r="547" spans="24:25" x14ac:dyDescent="0.3">
      <c r="X547">
        <v>546</v>
      </c>
      <c r="Y547">
        <v>-4935.68</v>
      </c>
    </row>
    <row r="548" spans="24:25" x14ac:dyDescent="0.3">
      <c r="X548">
        <v>547</v>
      </c>
      <c r="Y548">
        <v>-3893.0299999999997</v>
      </c>
    </row>
    <row r="549" spans="24:25" x14ac:dyDescent="0.3">
      <c r="X549">
        <v>548</v>
      </c>
      <c r="Y549">
        <v>-4527.26</v>
      </c>
    </row>
    <row r="550" spans="24:25" x14ac:dyDescent="0.3">
      <c r="X550">
        <v>549</v>
      </c>
      <c r="Y550">
        <v>-3938.75</v>
      </c>
    </row>
    <row r="551" spans="24:25" x14ac:dyDescent="0.3">
      <c r="X551">
        <v>550</v>
      </c>
      <c r="Y551">
        <v>-4094</v>
      </c>
    </row>
    <row r="552" spans="24:25" x14ac:dyDescent="0.3">
      <c r="X552">
        <v>551</v>
      </c>
      <c r="Y552">
        <v>2360.2000000000007</v>
      </c>
    </row>
    <row r="553" spans="24:25" x14ac:dyDescent="0.3">
      <c r="X553">
        <v>552</v>
      </c>
      <c r="Y553">
        <v>-4730.03</v>
      </c>
    </row>
    <row r="554" spans="24:25" x14ac:dyDescent="0.3">
      <c r="X554">
        <v>553</v>
      </c>
      <c r="Y554">
        <v>-4291.34</v>
      </c>
    </row>
    <row r="555" spans="24:25" x14ac:dyDescent="0.3">
      <c r="X555">
        <v>554</v>
      </c>
      <c r="Y555">
        <v>-4199.8100000000004</v>
      </c>
    </row>
    <row r="556" spans="24:25" x14ac:dyDescent="0.3">
      <c r="X556">
        <v>555</v>
      </c>
      <c r="Y556">
        <v>3877</v>
      </c>
    </row>
    <row r="557" spans="24:25" x14ac:dyDescent="0.3">
      <c r="X557">
        <v>556</v>
      </c>
      <c r="Y557">
        <v>2860.0000000000018</v>
      </c>
    </row>
    <row r="558" spans="24:25" x14ac:dyDescent="0.3">
      <c r="X558">
        <v>557</v>
      </c>
      <c r="Y558">
        <v>-3724.8199999999997</v>
      </c>
    </row>
    <row r="559" spans="24:25" x14ac:dyDescent="0.3">
      <c r="X559">
        <v>558</v>
      </c>
      <c r="Y559">
        <v>-4771.6100000000006</v>
      </c>
    </row>
    <row r="560" spans="24:25" x14ac:dyDescent="0.3">
      <c r="X560">
        <v>559</v>
      </c>
      <c r="Y560">
        <v>-5084.12</v>
      </c>
    </row>
    <row r="561" spans="24:25" x14ac:dyDescent="0.3">
      <c r="X561">
        <v>560</v>
      </c>
      <c r="Y561">
        <v>-1775.6000000000004</v>
      </c>
    </row>
    <row r="562" spans="24:25" x14ac:dyDescent="0.3">
      <c r="X562">
        <v>561</v>
      </c>
      <c r="Y562">
        <v>5766.7999999999993</v>
      </c>
    </row>
    <row r="563" spans="24:25" x14ac:dyDescent="0.3">
      <c r="X563">
        <v>562</v>
      </c>
      <c r="Y563">
        <v>-3959.7200000000003</v>
      </c>
    </row>
    <row r="564" spans="24:25" x14ac:dyDescent="0.3">
      <c r="X564">
        <v>563</v>
      </c>
      <c r="Y564">
        <v>-3967.0699999999997</v>
      </c>
    </row>
    <row r="565" spans="24:25" x14ac:dyDescent="0.3">
      <c r="X565">
        <v>564</v>
      </c>
      <c r="Y565">
        <v>-3737.6000000000004</v>
      </c>
    </row>
    <row r="566" spans="24:25" x14ac:dyDescent="0.3">
      <c r="X566">
        <v>565</v>
      </c>
      <c r="Y566">
        <v>3949.0000000000018</v>
      </c>
    </row>
    <row r="567" spans="24:25" x14ac:dyDescent="0.3">
      <c r="X567">
        <v>566</v>
      </c>
      <c r="Y567">
        <v>-4597.3999999999996</v>
      </c>
    </row>
    <row r="568" spans="24:25" x14ac:dyDescent="0.3">
      <c r="X568">
        <v>567</v>
      </c>
      <c r="Y568">
        <v>-3948.38</v>
      </c>
    </row>
    <row r="569" spans="24:25" x14ac:dyDescent="0.3">
      <c r="X569">
        <v>568</v>
      </c>
      <c r="Y569">
        <v>-4366.9700000000012</v>
      </c>
    </row>
    <row r="570" spans="24:25" x14ac:dyDescent="0.3">
      <c r="X570">
        <v>569</v>
      </c>
      <c r="Y570">
        <v>-4412.8100000000004</v>
      </c>
    </row>
    <row r="571" spans="24:25" x14ac:dyDescent="0.3">
      <c r="X571">
        <v>570</v>
      </c>
      <c r="Y571">
        <v>-4766</v>
      </c>
    </row>
    <row r="572" spans="24:25" x14ac:dyDescent="0.3">
      <c r="X572">
        <v>571</v>
      </c>
      <c r="Y572">
        <v>-5007.68</v>
      </c>
    </row>
    <row r="573" spans="24:25" x14ac:dyDescent="0.3">
      <c r="X573">
        <v>572</v>
      </c>
      <c r="Y573">
        <v>351.45999999999913</v>
      </c>
    </row>
    <row r="574" spans="24:25" x14ac:dyDescent="0.3">
      <c r="X574">
        <v>573</v>
      </c>
      <c r="Y574">
        <v>1802.2000000000007</v>
      </c>
    </row>
    <row r="575" spans="24:25" x14ac:dyDescent="0.3">
      <c r="X575">
        <v>574</v>
      </c>
      <c r="Y575">
        <v>-4688.42</v>
      </c>
    </row>
    <row r="576" spans="24:25" x14ac:dyDescent="0.3">
      <c r="X576">
        <v>575</v>
      </c>
      <c r="Y576">
        <v>-4422.5</v>
      </c>
    </row>
    <row r="577" spans="24:25" x14ac:dyDescent="0.3">
      <c r="X577">
        <v>576</v>
      </c>
      <c r="Y577">
        <v>-4065.2</v>
      </c>
    </row>
    <row r="578" spans="24:25" x14ac:dyDescent="0.3">
      <c r="X578">
        <v>577</v>
      </c>
      <c r="Y578">
        <v>-4554.8</v>
      </c>
    </row>
    <row r="579" spans="24:25" x14ac:dyDescent="0.3">
      <c r="X579">
        <v>578</v>
      </c>
      <c r="Y579">
        <v>-4308.5</v>
      </c>
    </row>
    <row r="580" spans="24:25" x14ac:dyDescent="0.3">
      <c r="X580">
        <v>579</v>
      </c>
      <c r="Y580">
        <v>5555.2000000000007</v>
      </c>
    </row>
    <row r="581" spans="24:25" x14ac:dyDescent="0.3">
      <c r="X581">
        <v>580</v>
      </c>
      <c r="Y581">
        <v>3499.5</v>
      </c>
    </row>
    <row r="582" spans="24:25" x14ac:dyDescent="0.3">
      <c r="X582">
        <v>581</v>
      </c>
      <c r="Y582">
        <v>6820</v>
      </c>
    </row>
    <row r="583" spans="24:25" x14ac:dyDescent="0.3">
      <c r="X583">
        <v>582</v>
      </c>
      <c r="Y583">
        <v>-3668.4800000000005</v>
      </c>
    </row>
    <row r="584" spans="24:25" x14ac:dyDescent="0.3">
      <c r="X584">
        <v>583</v>
      </c>
      <c r="Y584">
        <v>-4613</v>
      </c>
    </row>
    <row r="585" spans="24:25" x14ac:dyDescent="0.3">
      <c r="X585">
        <v>584</v>
      </c>
      <c r="Y585">
        <v>-4445.51</v>
      </c>
    </row>
    <row r="586" spans="24:25" x14ac:dyDescent="0.3">
      <c r="X586">
        <v>585</v>
      </c>
      <c r="Y586">
        <v>-4785.2000000000007</v>
      </c>
    </row>
    <row r="587" spans="24:25" x14ac:dyDescent="0.3">
      <c r="X587">
        <v>586</v>
      </c>
      <c r="Y587">
        <v>-4422.5</v>
      </c>
    </row>
    <row r="588" spans="24:25" x14ac:dyDescent="0.3">
      <c r="X588">
        <v>587</v>
      </c>
      <c r="Y588">
        <v>-3756.5</v>
      </c>
    </row>
    <row r="589" spans="24:25" x14ac:dyDescent="0.3">
      <c r="X589">
        <v>588</v>
      </c>
      <c r="Y589">
        <v>-4810.6400000000003</v>
      </c>
    </row>
    <row r="590" spans="24:25" x14ac:dyDescent="0.3">
      <c r="X590">
        <v>589</v>
      </c>
      <c r="Y590">
        <v>-1784.9600000000009</v>
      </c>
    </row>
    <row r="591" spans="24:25" x14ac:dyDescent="0.3">
      <c r="X591">
        <v>590</v>
      </c>
      <c r="Y591">
        <v>-4632.71</v>
      </c>
    </row>
    <row r="592" spans="24:25" x14ac:dyDescent="0.3">
      <c r="X592">
        <v>591</v>
      </c>
      <c r="Y592">
        <v>-4655</v>
      </c>
    </row>
    <row r="593" spans="24:25" x14ac:dyDescent="0.3">
      <c r="X593">
        <v>592</v>
      </c>
      <c r="Y593">
        <v>4339.6000000000004</v>
      </c>
    </row>
    <row r="594" spans="24:25" x14ac:dyDescent="0.3">
      <c r="X594">
        <v>593</v>
      </c>
      <c r="Y594">
        <v>-4581.3500000000004</v>
      </c>
    </row>
    <row r="595" spans="24:25" x14ac:dyDescent="0.3">
      <c r="X595">
        <v>594</v>
      </c>
      <c r="Y595">
        <v>3880</v>
      </c>
    </row>
    <row r="596" spans="24:25" x14ac:dyDescent="0.3">
      <c r="X596">
        <v>595</v>
      </c>
      <c r="Y596">
        <v>5665.2999999999993</v>
      </c>
    </row>
    <row r="597" spans="24:25" x14ac:dyDescent="0.3">
      <c r="X597">
        <v>596</v>
      </c>
      <c r="Y597">
        <v>4009.6000000000004</v>
      </c>
    </row>
    <row r="598" spans="24:25" x14ac:dyDescent="0.3">
      <c r="X598">
        <v>597</v>
      </c>
      <c r="Y598">
        <v>1711</v>
      </c>
    </row>
    <row r="599" spans="24:25" x14ac:dyDescent="0.3">
      <c r="X599">
        <v>598</v>
      </c>
      <c r="Y599">
        <v>-3845.7799999999997</v>
      </c>
    </row>
    <row r="600" spans="24:25" x14ac:dyDescent="0.3">
      <c r="X600">
        <v>599</v>
      </c>
      <c r="Y600">
        <v>-870.07999999999993</v>
      </c>
    </row>
    <row r="601" spans="24:25" x14ac:dyDescent="0.3">
      <c r="X601">
        <v>600</v>
      </c>
      <c r="Y601">
        <v>-4991.6000000000004</v>
      </c>
    </row>
    <row r="602" spans="24:25" x14ac:dyDescent="0.3">
      <c r="X602">
        <v>601</v>
      </c>
      <c r="Y602">
        <v>-4260.83</v>
      </c>
    </row>
    <row r="603" spans="24:25" x14ac:dyDescent="0.3">
      <c r="X603">
        <v>602</v>
      </c>
      <c r="Y603">
        <v>-4911.2000000000007</v>
      </c>
    </row>
    <row r="604" spans="24:25" x14ac:dyDescent="0.3">
      <c r="X604">
        <v>603</v>
      </c>
      <c r="Y604">
        <v>2630.5</v>
      </c>
    </row>
    <row r="605" spans="24:25" x14ac:dyDescent="0.3">
      <c r="X605">
        <v>604</v>
      </c>
      <c r="Y605">
        <v>2770.2000000000007</v>
      </c>
    </row>
    <row r="606" spans="24:25" x14ac:dyDescent="0.3">
      <c r="X606">
        <v>605</v>
      </c>
      <c r="Y606">
        <v>-4764.08</v>
      </c>
    </row>
    <row r="607" spans="24:25" x14ac:dyDescent="0.3">
      <c r="X607">
        <v>606</v>
      </c>
      <c r="Y607">
        <v>-3970.52</v>
      </c>
    </row>
    <row r="608" spans="24:25" x14ac:dyDescent="0.3">
      <c r="X608">
        <v>607</v>
      </c>
      <c r="Y608">
        <v>-4397.12</v>
      </c>
    </row>
    <row r="609" spans="24:25" x14ac:dyDescent="0.3">
      <c r="X609">
        <v>608</v>
      </c>
      <c r="Y609">
        <v>-3830</v>
      </c>
    </row>
    <row r="610" spans="24:25" x14ac:dyDescent="0.3">
      <c r="X610">
        <v>609</v>
      </c>
      <c r="Y610">
        <v>-4981.3999999999996</v>
      </c>
    </row>
    <row r="611" spans="24:25" x14ac:dyDescent="0.3">
      <c r="X611">
        <v>610</v>
      </c>
      <c r="Y611">
        <v>6160.5</v>
      </c>
    </row>
    <row r="612" spans="24:25" x14ac:dyDescent="0.3">
      <c r="X612">
        <v>611</v>
      </c>
      <c r="Y612">
        <v>-4857.2</v>
      </c>
    </row>
    <row r="613" spans="24:25" x14ac:dyDescent="0.3">
      <c r="X613">
        <v>612</v>
      </c>
      <c r="Y613">
        <v>-4727.78</v>
      </c>
    </row>
    <row r="614" spans="24:25" x14ac:dyDescent="0.3">
      <c r="X614">
        <v>613</v>
      </c>
      <c r="Y614">
        <v>3172</v>
      </c>
    </row>
    <row r="615" spans="24:25" x14ac:dyDescent="0.3">
      <c r="X615">
        <v>614</v>
      </c>
      <c r="Y615">
        <v>3342</v>
      </c>
    </row>
    <row r="616" spans="24:25" x14ac:dyDescent="0.3">
      <c r="X616">
        <v>615</v>
      </c>
      <c r="Y616">
        <v>-3833.75</v>
      </c>
    </row>
    <row r="617" spans="24:25" x14ac:dyDescent="0.3">
      <c r="X617">
        <v>616</v>
      </c>
      <c r="Y617">
        <v>-4892.4800000000005</v>
      </c>
    </row>
    <row r="618" spans="24:25" x14ac:dyDescent="0.3">
      <c r="X618">
        <v>617</v>
      </c>
      <c r="Y618">
        <v>-4173.9799999999996</v>
      </c>
    </row>
    <row r="619" spans="24:25" x14ac:dyDescent="0.3">
      <c r="X619">
        <v>618</v>
      </c>
      <c r="Y619">
        <v>-497.60000000000036</v>
      </c>
    </row>
    <row r="620" spans="24:25" x14ac:dyDescent="0.3">
      <c r="X620">
        <v>619</v>
      </c>
      <c r="Y620">
        <v>4118.2000000000007</v>
      </c>
    </row>
    <row r="621" spans="24:25" x14ac:dyDescent="0.3">
      <c r="X621">
        <v>620</v>
      </c>
      <c r="Y621">
        <v>-4946.3</v>
      </c>
    </row>
    <row r="622" spans="24:25" x14ac:dyDescent="0.3">
      <c r="X622">
        <v>621</v>
      </c>
      <c r="Y622">
        <v>-4373.3</v>
      </c>
    </row>
    <row r="623" spans="24:25" x14ac:dyDescent="0.3">
      <c r="X623">
        <v>622</v>
      </c>
      <c r="Y623">
        <v>3256</v>
      </c>
    </row>
    <row r="624" spans="24:25" x14ac:dyDescent="0.3">
      <c r="X624">
        <v>623</v>
      </c>
      <c r="Y624">
        <v>2593.7999999999993</v>
      </c>
    </row>
    <row r="625" spans="24:25" x14ac:dyDescent="0.3">
      <c r="X625">
        <v>624</v>
      </c>
      <c r="Y625">
        <v>-3983.36</v>
      </c>
    </row>
    <row r="626" spans="24:25" x14ac:dyDescent="0.3">
      <c r="X626">
        <v>625</v>
      </c>
      <c r="Y626">
        <v>-3733.76</v>
      </c>
    </row>
    <row r="627" spans="24:25" x14ac:dyDescent="0.3">
      <c r="X627">
        <v>626</v>
      </c>
      <c r="Y627">
        <v>2174.5000000000018</v>
      </c>
    </row>
    <row r="628" spans="24:25" x14ac:dyDescent="0.3">
      <c r="X628">
        <v>627</v>
      </c>
      <c r="Y628">
        <v>2840.5</v>
      </c>
    </row>
    <row r="629" spans="24:25" x14ac:dyDescent="0.3">
      <c r="X629">
        <v>628</v>
      </c>
      <c r="Y629">
        <v>4675.7999999999993</v>
      </c>
    </row>
    <row r="630" spans="24:25" x14ac:dyDescent="0.3">
      <c r="X630">
        <v>629</v>
      </c>
      <c r="Y630">
        <v>-4445.8999999999996</v>
      </c>
    </row>
    <row r="631" spans="24:25" x14ac:dyDescent="0.3">
      <c r="X631">
        <v>630</v>
      </c>
      <c r="Y631">
        <v>-4406.84</v>
      </c>
    </row>
    <row r="632" spans="24:25" x14ac:dyDescent="0.3">
      <c r="X632">
        <v>631</v>
      </c>
      <c r="Y632">
        <v>-1163</v>
      </c>
    </row>
    <row r="633" spans="24:25" x14ac:dyDescent="0.3">
      <c r="X633">
        <v>632</v>
      </c>
      <c r="Y633">
        <v>-4870.16</v>
      </c>
    </row>
    <row r="634" spans="24:25" x14ac:dyDescent="0.3">
      <c r="X634">
        <v>633</v>
      </c>
      <c r="Y634">
        <v>-3643.7</v>
      </c>
    </row>
    <row r="635" spans="24:25" x14ac:dyDescent="0.3">
      <c r="X635">
        <v>634</v>
      </c>
      <c r="Y635">
        <v>-3642.38</v>
      </c>
    </row>
    <row r="636" spans="24:25" x14ac:dyDescent="0.3">
      <c r="X636">
        <v>635</v>
      </c>
      <c r="Y636">
        <v>1788.7999999999993</v>
      </c>
    </row>
    <row r="637" spans="24:25" x14ac:dyDescent="0.3">
      <c r="X637">
        <v>636</v>
      </c>
      <c r="Y637">
        <v>3020</v>
      </c>
    </row>
    <row r="638" spans="24:25" x14ac:dyDescent="0.3">
      <c r="X638">
        <v>637</v>
      </c>
      <c r="Y638">
        <v>5112.5</v>
      </c>
    </row>
    <row r="639" spans="24:25" x14ac:dyDescent="0.3">
      <c r="X639">
        <v>638</v>
      </c>
      <c r="Y639">
        <v>2800.9000000000015</v>
      </c>
    </row>
    <row r="640" spans="24:25" x14ac:dyDescent="0.3">
      <c r="X640">
        <v>639</v>
      </c>
      <c r="Y640">
        <v>-3804.920000000001</v>
      </c>
    </row>
    <row r="641" spans="24:25" x14ac:dyDescent="0.3">
      <c r="X641">
        <v>640</v>
      </c>
      <c r="Y641">
        <v>-3740.42</v>
      </c>
    </row>
    <row r="642" spans="24:25" x14ac:dyDescent="0.3">
      <c r="X642">
        <v>641</v>
      </c>
      <c r="Y642">
        <v>-5013.38</v>
      </c>
    </row>
    <row r="643" spans="24:25" x14ac:dyDescent="0.3">
      <c r="X643">
        <v>642</v>
      </c>
      <c r="Y643">
        <v>-4423.04</v>
      </c>
    </row>
    <row r="644" spans="24:25" x14ac:dyDescent="0.3">
      <c r="X644">
        <v>643</v>
      </c>
      <c r="Y644">
        <v>5334.2000000000007</v>
      </c>
    </row>
    <row r="645" spans="24:25" x14ac:dyDescent="0.3">
      <c r="X645">
        <v>644</v>
      </c>
      <c r="Y645">
        <v>-4268.93</v>
      </c>
    </row>
    <row r="646" spans="24:25" x14ac:dyDescent="0.3">
      <c r="X646">
        <v>645</v>
      </c>
      <c r="Y646">
        <v>2071</v>
      </c>
    </row>
    <row r="647" spans="24:25" x14ac:dyDescent="0.3">
      <c r="X647">
        <v>646</v>
      </c>
      <c r="Y647">
        <v>-3967.5200000000009</v>
      </c>
    </row>
    <row r="648" spans="24:25" x14ac:dyDescent="0.3">
      <c r="X648">
        <v>647</v>
      </c>
      <c r="Y648">
        <v>-4886.72</v>
      </c>
    </row>
    <row r="649" spans="24:25" x14ac:dyDescent="0.3">
      <c r="X649">
        <v>648</v>
      </c>
      <c r="Y649">
        <v>-4517.8999999999996</v>
      </c>
    </row>
    <row r="650" spans="24:25" x14ac:dyDescent="0.3">
      <c r="X650">
        <v>649</v>
      </c>
      <c r="Y650">
        <v>1518.6000000000022</v>
      </c>
    </row>
    <row r="651" spans="24:25" x14ac:dyDescent="0.3">
      <c r="X651">
        <v>650</v>
      </c>
      <c r="Y651">
        <v>-3919.1600000000008</v>
      </c>
    </row>
    <row r="652" spans="24:25" x14ac:dyDescent="0.3">
      <c r="X652">
        <v>651</v>
      </c>
      <c r="Y652">
        <v>2350</v>
      </c>
    </row>
    <row r="653" spans="24:25" x14ac:dyDescent="0.3">
      <c r="X653">
        <v>652</v>
      </c>
      <c r="Y653">
        <v>4032.3999999999996</v>
      </c>
    </row>
    <row r="654" spans="24:25" x14ac:dyDescent="0.3">
      <c r="X654">
        <v>653</v>
      </c>
      <c r="Y654">
        <v>2202.1000000000004</v>
      </c>
    </row>
    <row r="655" spans="24:25" x14ac:dyDescent="0.3">
      <c r="X655">
        <v>654</v>
      </c>
      <c r="Y655">
        <v>4210</v>
      </c>
    </row>
    <row r="656" spans="24:25" x14ac:dyDescent="0.3">
      <c r="X656">
        <v>655</v>
      </c>
      <c r="Y656">
        <v>-4332.32</v>
      </c>
    </row>
    <row r="657" spans="24:25" x14ac:dyDescent="0.3">
      <c r="X657">
        <v>656</v>
      </c>
      <c r="Y657">
        <v>-1994</v>
      </c>
    </row>
    <row r="658" spans="24:25" x14ac:dyDescent="0.3">
      <c r="X658">
        <v>657</v>
      </c>
      <c r="Y658">
        <v>-5159.6000000000004</v>
      </c>
    </row>
    <row r="659" spans="24:25" x14ac:dyDescent="0.3">
      <c r="X659">
        <v>658</v>
      </c>
      <c r="Y659">
        <v>-3565.16</v>
      </c>
    </row>
    <row r="660" spans="24:25" x14ac:dyDescent="0.3">
      <c r="X660">
        <v>659</v>
      </c>
      <c r="Y660">
        <v>-4409.5400000000009</v>
      </c>
    </row>
    <row r="661" spans="24:25" x14ac:dyDescent="0.3">
      <c r="X661">
        <v>660</v>
      </c>
      <c r="Y661">
        <v>-5042.6000000000004</v>
      </c>
    </row>
    <row r="662" spans="24:25" x14ac:dyDescent="0.3">
      <c r="X662">
        <v>661</v>
      </c>
      <c r="Y662">
        <v>-1391.3000000000002</v>
      </c>
    </row>
    <row r="663" spans="24:25" x14ac:dyDescent="0.3">
      <c r="X663">
        <v>662</v>
      </c>
      <c r="Y663">
        <v>-4847.8999999999996</v>
      </c>
    </row>
    <row r="664" spans="24:25" x14ac:dyDescent="0.3">
      <c r="X664">
        <v>663</v>
      </c>
      <c r="Y664">
        <v>-679.39999999999964</v>
      </c>
    </row>
    <row r="665" spans="24:25" x14ac:dyDescent="0.3">
      <c r="X665">
        <v>664</v>
      </c>
      <c r="Y665">
        <v>2505.1000000000022</v>
      </c>
    </row>
    <row r="666" spans="24:25" x14ac:dyDescent="0.3">
      <c r="X666">
        <v>665</v>
      </c>
      <c r="Y666">
        <v>6502.4</v>
      </c>
    </row>
    <row r="667" spans="24:25" x14ac:dyDescent="0.3">
      <c r="X667">
        <v>666</v>
      </c>
      <c r="Y667">
        <v>-4753.7900000000009</v>
      </c>
    </row>
    <row r="668" spans="24:25" x14ac:dyDescent="0.3">
      <c r="X668">
        <v>667</v>
      </c>
      <c r="Y668">
        <v>-4351.04</v>
      </c>
    </row>
    <row r="669" spans="24:25" x14ac:dyDescent="0.3">
      <c r="X669">
        <v>668</v>
      </c>
      <c r="Y669">
        <v>-4148.57</v>
      </c>
    </row>
    <row r="670" spans="24:25" x14ac:dyDescent="0.3">
      <c r="X670">
        <v>669</v>
      </c>
      <c r="Y670">
        <v>-4481.4799999999996</v>
      </c>
    </row>
    <row r="671" spans="24:25" x14ac:dyDescent="0.3">
      <c r="X671">
        <v>670</v>
      </c>
      <c r="Y671">
        <v>5578</v>
      </c>
    </row>
    <row r="672" spans="24:25" x14ac:dyDescent="0.3">
      <c r="X672">
        <v>671</v>
      </c>
      <c r="Y672">
        <v>-3948.920000000001</v>
      </c>
    </row>
    <row r="673" spans="24:25" x14ac:dyDescent="0.3">
      <c r="X673">
        <v>672</v>
      </c>
      <c r="Y673">
        <v>5272</v>
      </c>
    </row>
    <row r="674" spans="24:25" x14ac:dyDescent="0.3">
      <c r="X674">
        <v>673</v>
      </c>
      <c r="Y674">
        <v>-953.72000000000116</v>
      </c>
    </row>
    <row r="675" spans="24:25" x14ac:dyDescent="0.3">
      <c r="X675">
        <v>674</v>
      </c>
      <c r="Y675">
        <v>-4797.4400000000005</v>
      </c>
    </row>
    <row r="676" spans="24:25" x14ac:dyDescent="0.3">
      <c r="X676">
        <v>675</v>
      </c>
      <c r="Y676">
        <v>-1606.4000000000005</v>
      </c>
    </row>
    <row r="677" spans="24:25" x14ac:dyDescent="0.3">
      <c r="X677">
        <v>676</v>
      </c>
      <c r="Y677">
        <v>-3816.5299999999997</v>
      </c>
    </row>
    <row r="678" spans="24:25" x14ac:dyDescent="0.3">
      <c r="X678">
        <v>677</v>
      </c>
      <c r="Y678">
        <v>-5019.2</v>
      </c>
    </row>
    <row r="679" spans="24:25" x14ac:dyDescent="0.3">
      <c r="X679">
        <v>678</v>
      </c>
      <c r="Y679">
        <v>-4708.25</v>
      </c>
    </row>
    <row r="680" spans="24:25" x14ac:dyDescent="0.3">
      <c r="X680">
        <v>679</v>
      </c>
      <c r="Y680">
        <v>2728.2000000000007</v>
      </c>
    </row>
    <row r="681" spans="24:25" x14ac:dyDescent="0.3">
      <c r="X681">
        <v>680</v>
      </c>
      <c r="Y681">
        <v>2340</v>
      </c>
    </row>
    <row r="682" spans="24:25" x14ac:dyDescent="0.3">
      <c r="X682">
        <v>681</v>
      </c>
      <c r="Y682">
        <v>-3981.86</v>
      </c>
    </row>
    <row r="683" spans="24:25" x14ac:dyDescent="0.3">
      <c r="X683">
        <v>682</v>
      </c>
      <c r="Y683">
        <v>-4193.8100000000004</v>
      </c>
    </row>
    <row r="684" spans="24:25" x14ac:dyDescent="0.3">
      <c r="X684">
        <v>683</v>
      </c>
      <c r="Y684">
        <v>3290.7999999999993</v>
      </c>
    </row>
    <row r="685" spans="24:25" x14ac:dyDescent="0.3">
      <c r="X685">
        <v>684</v>
      </c>
      <c r="Y685">
        <v>-4957.22</v>
      </c>
    </row>
    <row r="686" spans="24:25" x14ac:dyDescent="0.3">
      <c r="X686">
        <v>685</v>
      </c>
      <c r="Y686">
        <v>2790.3999999999996</v>
      </c>
    </row>
    <row r="687" spans="24:25" x14ac:dyDescent="0.3">
      <c r="X687">
        <v>686</v>
      </c>
      <c r="Y687">
        <v>-4633.6400000000003</v>
      </c>
    </row>
    <row r="688" spans="24:25" x14ac:dyDescent="0.3">
      <c r="X688">
        <v>687</v>
      </c>
      <c r="Y688">
        <v>-4458.5899999999992</v>
      </c>
    </row>
    <row r="689" spans="24:25" x14ac:dyDescent="0.3">
      <c r="X689">
        <v>688</v>
      </c>
      <c r="Y689">
        <v>-4859.12</v>
      </c>
    </row>
    <row r="690" spans="24:25" x14ac:dyDescent="0.3">
      <c r="X690">
        <v>689</v>
      </c>
      <c r="Y690">
        <v>-4889.4800000000005</v>
      </c>
    </row>
    <row r="691" spans="24:25" x14ac:dyDescent="0.3">
      <c r="X691">
        <v>690</v>
      </c>
      <c r="Y691">
        <v>-4520.3600000000006</v>
      </c>
    </row>
    <row r="692" spans="24:25" x14ac:dyDescent="0.3">
      <c r="X692">
        <v>691</v>
      </c>
      <c r="Y692">
        <v>-4425.8900000000003</v>
      </c>
    </row>
    <row r="693" spans="24:25" x14ac:dyDescent="0.3">
      <c r="X693">
        <v>692</v>
      </c>
      <c r="Y693">
        <v>-4505.18</v>
      </c>
    </row>
    <row r="694" spans="24:25" x14ac:dyDescent="0.3">
      <c r="X694">
        <v>693</v>
      </c>
      <c r="Y694">
        <v>-4760.12</v>
      </c>
    </row>
    <row r="695" spans="24:25" x14ac:dyDescent="0.3">
      <c r="X695">
        <v>694</v>
      </c>
      <c r="Y695">
        <v>-4140.8000000000011</v>
      </c>
    </row>
    <row r="696" spans="24:25" x14ac:dyDescent="0.3">
      <c r="X696">
        <v>695</v>
      </c>
      <c r="Y696">
        <v>2627.2000000000007</v>
      </c>
    </row>
    <row r="697" spans="24:25" x14ac:dyDescent="0.3">
      <c r="X697">
        <v>696</v>
      </c>
      <c r="Y697">
        <v>-5053.1000000000004</v>
      </c>
    </row>
    <row r="698" spans="24:25" x14ac:dyDescent="0.3">
      <c r="X698">
        <v>697</v>
      </c>
      <c r="Y698">
        <v>-4111.67</v>
      </c>
    </row>
    <row r="699" spans="24:25" x14ac:dyDescent="0.3">
      <c r="X699">
        <v>698</v>
      </c>
      <c r="Y699">
        <v>-3916.25</v>
      </c>
    </row>
    <row r="700" spans="24:25" x14ac:dyDescent="0.3">
      <c r="X700">
        <v>699</v>
      </c>
      <c r="Y700">
        <v>-4043.8700000000003</v>
      </c>
    </row>
    <row r="701" spans="24:25" x14ac:dyDescent="0.3">
      <c r="X701">
        <v>700</v>
      </c>
      <c r="Y701">
        <v>-4989.5</v>
      </c>
    </row>
    <row r="702" spans="24:25" x14ac:dyDescent="0.3">
      <c r="X702">
        <v>701</v>
      </c>
      <c r="Y702">
        <v>-4220.1500000000005</v>
      </c>
    </row>
    <row r="703" spans="24:25" x14ac:dyDescent="0.3">
      <c r="X703">
        <v>702</v>
      </c>
      <c r="Y703">
        <v>-4194.6500000000005</v>
      </c>
    </row>
    <row r="704" spans="24:25" x14ac:dyDescent="0.3">
      <c r="X704">
        <v>703</v>
      </c>
      <c r="Y704">
        <v>-4236.8</v>
      </c>
    </row>
    <row r="705" spans="24:25" x14ac:dyDescent="0.3">
      <c r="X705">
        <v>704</v>
      </c>
      <c r="Y705">
        <v>-1088.9000000000015</v>
      </c>
    </row>
    <row r="706" spans="24:25" x14ac:dyDescent="0.3">
      <c r="X706">
        <v>705</v>
      </c>
      <c r="Y706">
        <v>-4651.55</v>
      </c>
    </row>
    <row r="707" spans="24:25" x14ac:dyDescent="0.3">
      <c r="X707">
        <v>706</v>
      </c>
      <c r="Y707">
        <v>-4438.3999999999996</v>
      </c>
    </row>
    <row r="708" spans="24:25" x14ac:dyDescent="0.3">
      <c r="X708">
        <v>707</v>
      </c>
      <c r="Y708">
        <v>5591.5</v>
      </c>
    </row>
    <row r="709" spans="24:25" x14ac:dyDescent="0.3">
      <c r="X709">
        <v>708</v>
      </c>
      <c r="Y709">
        <v>-2079.62</v>
      </c>
    </row>
    <row r="710" spans="24:25" x14ac:dyDescent="0.3">
      <c r="X710">
        <v>709</v>
      </c>
      <c r="Y710">
        <v>348.15999999999985</v>
      </c>
    </row>
    <row r="711" spans="24:25" x14ac:dyDescent="0.3">
      <c r="X711">
        <v>710</v>
      </c>
      <c r="Y711">
        <v>-4699.16</v>
      </c>
    </row>
    <row r="712" spans="24:25" x14ac:dyDescent="0.3">
      <c r="X712">
        <v>711</v>
      </c>
      <c r="Y712">
        <v>5345.5</v>
      </c>
    </row>
    <row r="713" spans="24:25" x14ac:dyDescent="0.3">
      <c r="X713">
        <v>712</v>
      </c>
      <c r="Y713">
        <v>5280.4</v>
      </c>
    </row>
    <row r="714" spans="24:25" x14ac:dyDescent="0.3">
      <c r="X714">
        <v>713</v>
      </c>
      <c r="Y714">
        <v>3989.3000000000011</v>
      </c>
    </row>
    <row r="715" spans="24:25" x14ac:dyDescent="0.3">
      <c r="X715">
        <v>714</v>
      </c>
      <c r="Y715">
        <v>6211.2999999999993</v>
      </c>
    </row>
    <row r="716" spans="24:25" x14ac:dyDescent="0.3">
      <c r="X716">
        <v>715</v>
      </c>
      <c r="Y716">
        <v>3015.2000000000007</v>
      </c>
    </row>
    <row r="717" spans="24:25" x14ac:dyDescent="0.3">
      <c r="X717">
        <v>716</v>
      </c>
      <c r="Y717">
        <v>5764.2999999999993</v>
      </c>
    </row>
    <row r="718" spans="24:25" x14ac:dyDescent="0.3">
      <c r="X718">
        <v>717</v>
      </c>
      <c r="Y718">
        <v>4732.0000000000018</v>
      </c>
    </row>
    <row r="719" spans="24:25" x14ac:dyDescent="0.3">
      <c r="X719">
        <v>718</v>
      </c>
      <c r="Y719">
        <v>4091</v>
      </c>
    </row>
    <row r="720" spans="24:25" x14ac:dyDescent="0.3">
      <c r="X720">
        <v>719</v>
      </c>
      <c r="Y720">
        <v>-727.51999999999953</v>
      </c>
    </row>
    <row r="721" spans="24:25" x14ac:dyDescent="0.3">
      <c r="X721">
        <v>720</v>
      </c>
      <c r="Y721">
        <v>3470.3999999999996</v>
      </c>
    </row>
    <row r="722" spans="24:25" x14ac:dyDescent="0.3">
      <c r="X722">
        <v>721</v>
      </c>
      <c r="Y722">
        <v>4011.7999999999993</v>
      </c>
    </row>
    <row r="723" spans="24:25" x14ac:dyDescent="0.3">
      <c r="X723">
        <v>722</v>
      </c>
      <c r="Y723">
        <v>-4014.8</v>
      </c>
    </row>
    <row r="724" spans="24:25" x14ac:dyDescent="0.3">
      <c r="X724">
        <v>723</v>
      </c>
      <c r="Y724">
        <v>-3829.880000000001</v>
      </c>
    </row>
    <row r="725" spans="24:25" x14ac:dyDescent="0.3">
      <c r="X725">
        <v>724</v>
      </c>
      <c r="Y725">
        <v>-4904.18</v>
      </c>
    </row>
    <row r="726" spans="24:25" x14ac:dyDescent="0.3">
      <c r="X726">
        <v>725</v>
      </c>
      <c r="Y726">
        <v>-4670.9600000000009</v>
      </c>
    </row>
    <row r="727" spans="24:25" x14ac:dyDescent="0.3">
      <c r="X727">
        <v>726</v>
      </c>
      <c r="Y727">
        <v>-3819.3199999999997</v>
      </c>
    </row>
    <row r="728" spans="24:25" x14ac:dyDescent="0.3">
      <c r="X728">
        <v>727</v>
      </c>
      <c r="Y728">
        <v>-1798.6399999999994</v>
      </c>
    </row>
    <row r="729" spans="24:25" x14ac:dyDescent="0.3">
      <c r="X729">
        <v>728</v>
      </c>
      <c r="Y729">
        <v>-270.80000000000018</v>
      </c>
    </row>
    <row r="730" spans="24:25" x14ac:dyDescent="0.3">
      <c r="X730">
        <v>729</v>
      </c>
      <c r="Y730">
        <v>-4193.0300000000007</v>
      </c>
    </row>
    <row r="731" spans="24:25" x14ac:dyDescent="0.3">
      <c r="X731">
        <v>730</v>
      </c>
      <c r="Y731">
        <v>-3875.1800000000003</v>
      </c>
    </row>
    <row r="732" spans="24:25" x14ac:dyDescent="0.3">
      <c r="X732">
        <v>731</v>
      </c>
      <c r="Y732">
        <v>-4947.8600000000006</v>
      </c>
    </row>
    <row r="733" spans="24:25" x14ac:dyDescent="0.3">
      <c r="X733">
        <v>732</v>
      </c>
      <c r="Y733">
        <v>-4855.04</v>
      </c>
    </row>
    <row r="734" spans="24:25" x14ac:dyDescent="0.3">
      <c r="X734">
        <v>733</v>
      </c>
      <c r="Y734">
        <v>-4317.0199999999995</v>
      </c>
    </row>
    <row r="735" spans="24:25" x14ac:dyDescent="0.3">
      <c r="X735">
        <v>734</v>
      </c>
      <c r="Y735">
        <v>-4784</v>
      </c>
    </row>
    <row r="736" spans="24:25" x14ac:dyDescent="0.3">
      <c r="X736">
        <v>735</v>
      </c>
      <c r="Y736">
        <v>4374.0000000000018</v>
      </c>
    </row>
    <row r="737" spans="24:25" x14ac:dyDescent="0.3">
      <c r="X737">
        <v>736</v>
      </c>
      <c r="Y737">
        <v>4192.7000000000007</v>
      </c>
    </row>
    <row r="738" spans="24:25" x14ac:dyDescent="0.3">
      <c r="X738">
        <v>737</v>
      </c>
      <c r="Y738">
        <v>-3863.5100000000011</v>
      </c>
    </row>
    <row r="739" spans="24:25" x14ac:dyDescent="0.3">
      <c r="X739">
        <v>738</v>
      </c>
      <c r="Y739">
        <v>2039.2000000000007</v>
      </c>
    </row>
    <row r="740" spans="24:25" x14ac:dyDescent="0.3">
      <c r="X740">
        <v>739</v>
      </c>
      <c r="Y740">
        <v>4347.7999999999993</v>
      </c>
    </row>
    <row r="741" spans="24:25" x14ac:dyDescent="0.3">
      <c r="X741">
        <v>740</v>
      </c>
      <c r="Y741">
        <v>-4244.84</v>
      </c>
    </row>
    <row r="742" spans="24:25" x14ac:dyDescent="0.3">
      <c r="X742">
        <v>741</v>
      </c>
      <c r="Y742">
        <v>3048.4000000000015</v>
      </c>
    </row>
    <row r="743" spans="24:25" x14ac:dyDescent="0.3">
      <c r="X743">
        <v>742</v>
      </c>
      <c r="Y743">
        <v>7184</v>
      </c>
    </row>
    <row r="744" spans="24:25" x14ac:dyDescent="0.3">
      <c r="X744">
        <v>743</v>
      </c>
      <c r="Y744">
        <v>-3926.24</v>
      </c>
    </row>
    <row r="745" spans="24:25" x14ac:dyDescent="0.3">
      <c r="X745">
        <v>744</v>
      </c>
      <c r="Y745">
        <v>4343.2000000000007</v>
      </c>
    </row>
    <row r="746" spans="24:25" x14ac:dyDescent="0.3">
      <c r="X746">
        <v>745</v>
      </c>
      <c r="Y746">
        <v>548.79999999999927</v>
      </c>
    </row>
    <row r="747" spans="24:25" x14ac:dyDescent="0.3">
      <c r="X747">
        <v>746</v>
      </c>
      <c r="Y747">
        <v>-3812.8099999999995</v>
      </c>
    </row>
    <row r="748" spans="24:25" x14ac:dyDescent="0.3">
      <c r="X748">
        <v>747</v>
      </c>
      <c r="Y748">
        <v>-4813.82</v>
      </c>
    </row>
    <row r="749" spans="24:25" x14ac:dyDescent="0.3">
      <c r="X749">
        <v>748</v>
      </c>
      <c r="Y749">
        <v>-4370.3</v>
      </c>
    </row>
    <row r="750" spans="24:25" x14ac:dyDescent="0.3">
      <c r="X750">
        <v>749</v>
      </c>
      <c r="Y750">
        <v>5932</v>
      </c>
    </row>
    <row r="751" spans="24:25" x14ac:dyDescent="0.3">
      <c r="X751">
        <v>750</v>
      </c>
      <c r="Y751">
        <v>3814</v>
      </c>
    </row>
    <row r="752" spans="24:25" x14ac:dyDescent="0.3">
      <c r="X752">
        <v>751</v>
      </c>
      <c r="Y752">
        <v>-4895.3600000000006</v>
      </c>
    </row>
    <row r="753" spans="24:25" x14ac:dyDescent="0.3">
      <c r="X753">
        <v>752</v>
      </c>
      <c r="Y753">
        <v>3015.2000000000007</v>
      </c>
    </row>
    <row r="754" spans="24:25" x14ac:dyDescent="0.3">
      <c r="X754">
        <v>753</v>
      </c>
      <c r="Y754">
        <v>3663</v>
      </c>
    </row>
    <row r="755" spans="24:25" x14ac:dyDescent="0.3">
      <c r="X755">
        <v>754</v>
      </c>
      <c r="Y755">
        <v>-5054.33</v>
      </c>
    </row>
    <row r="756" spans="24:25" x14ac:dyDescent="0.3">
      <c r="X756">
        <v>755</v>
      </c>
      <c r="Y756">
        <v>-1449.6800000000003</v>
      </c>
    </row>
    <row r="757" spans="24:25" x14ac:dyDescent="0.3">
      <c r="X757">
        <v>756</v>
      </c>
      <c r="Y757">
        <v>-4833.1400000000003</v>
      </c>
    </row>
    <row r="758" spans="24:25" x14ac:dyDescent="0.3">
      <c r="X758">
        <v>757</v>
      </c>
      <c r="Y758">
        <v>5600.4</v>
      </c>
    </row>
    <row r="759" spans="24:25" x14ac:dyDescent="0.3">
      <c r="X759">
        <v>758</v>
      </c>
      <c r="Y759">
        <v>-3788.75</v>
      </c>
    </row>
    <row r="760" spans="24:25" x14ac:dyDescent="0.3">
      <c r="X760">
        <v>759</v>
      </c>
      <c r="Y760">
        <v>-4924.76</v>
      </c>
    </row>
    <row r="761" spans="24:25" x14ac:dyDescent="0.3">
      <c r="X761">
        <v>760</v>
      </c>
      <c r="Y761">
        <v>-5046.2</v>
      </c>
    </row>
    <row r="762" spans="24:25" x14ac:dyDescent="0.3">
      <c r="X762">
        <v>761</v>
      </c>
      <c r="Y762">
        <v>-654.20000000000073</v>
      </c>
    </row>
    <row r="763" spans="24:25" x14ac:dyDescent="0.3">
      <c r="X763">
        <v>762</v>
      </c>
      <c r="Y763">
        <v>2471.6000000000004</v>
      </c>
    </row>
    <row r="764" spans="24:25" x14ac:dyDescent="0.3">
      <c r="X764">
        <v>763</v>
      </c>
      <c r="Y764">
        <v>-4863.0200000000004</v>
      </c>
    </row>
    <row r="765" spans="24:25" x14ac:dyDescent="0.3">
      <c r="X765">
        <v>764</v>
      </c>
      <c r="Y765">
        <v>-807.19999999999982</v>
      </c>
    </row>
    <row r="766" spans="24:25" x14ac:dyDescent="0.3">
      <c r="X766">
        <v>765</v>
      </c>
      <c r="Y766">
        <v>3928</v>
      </c>
    </row>
    <row r="767" spans="24:25" x14ac:dyDescent="0.3">
      <c r="X767">
        <v>766</v>
      </c>
      <c r="Y767">
        <v>2534.2000000000007</v>
      </c>
    </row>
    <row r="768" spans="24:25" x14ac:dyDescent="0.3">
      <c r="X768">
        <v>767</v>
      </c>
      <c r="Y768">
        <v>-3522.41</v>
      </c>
    </row>
    <row r="769" spans="24:25" x14ac:dyDescent="0.3">
      <c r="X769">
        <v>768</v>
      </c>
      <c r="Y769">
        <v>-4424.96</v>
      </c>
    </row>
    <row r="770" spans="24:25" x14ac:dyDescent="0.3">
      <c r="X770">
        <v>769</v>
      </c>
      <c r="Y770">
        <v>2000.8999999999996</v>
      </c>
    </row>
    <row r="771" spans="24:25" x14ac:dyDescent="0.3">
      <c r="X771">
        <v>770</v>
      </c>
      <c r="Y771">
        <v>-4382.33</v>
      </c>
    </row>
    <row r="772" spans="24:25" x14ac:dyDescent="0.3">
      <c r="X772">
        <v>771</v>
      </c>
      <c r="Y772">
        <v>353.79999999999927</v>
      </c>
    </row>
    <row r="773" spans="24:25" x14ac:dyDescent="0.3">
      <c r="X773">
        <v>772</v>
      </c>
      <c r="Y773">
        <v>2485.7000000000007</v>
      </c>
    </row>
    <row r="774" spans="24:25" x14ac:dyDescent="0.3">
      <c r="X774">
        <v>773</v>
      </c>
      <c r="Y774">
        <v>-4556.0599999999995</v>
      </c>
    </row>
    <row r="775" spans="24:25" x14ac:dyDescent="0.3">
      <c r="X775">
        <v>774</v>
      </c>
      <c r="Y775">
        <v>-3585.2</v>
      </c>
    </row>
    <row r="776" spans="24:25" x14ac:dyDescent="0.3">
      <c r="X776">
        <v>775</v>
      </c>
      <c r="Y776">
        <v>-3908.9</v>
      </c>
    </row>
    <row r="777" spans="24:25" x14ac:dyDescent="0.3">
      <c r="X777">
        <v>776</v>
      </c>
      <c r="Y777">
        <v>5739.2000000000007</v>
      </c>
    </row>
    <row r="778" spans="24:25" x14ac:dyDescent="0.3">
      <c r="X778">
        <v>777</v>
      </c>
      <c r="Y778">
        <v>3491.2000000000007</v>
      </c>
    </row>
    <row r="779" spans="24:25" x14ac:dyDescent="0.3">
      <c r="X779">
        <v>778</v>
      </c>
      <c r="Y779">
        <v>2340.7999999999993</v>
      </c>
    </row>
    <row r="780" spans="24:25" x14ac:dyDescent="0.3">
      <c r="X780">
        <v>779</v>
      </c>
      <c r="Y780">
        <v>2502.3999999999996</v>
      </c>
    </row>
    <row r="781" spans="24:25" x14ac:dyDescent="0.3">
      <c r="X781">
        <v>780</v>
      </c>
      <c r="Y781">
        <v>4518.0000000000018</v>
      </c>
    </row>
    <row r="782" spans="24:25" x14ac:dyDescent="0.3">
      <c r="X782">
        <v>781</v>
      </c>
      <c r="Y782">
        <v>6225</v>
      </c>
    </row>
    <row r="783" spans="24:25" x14ac:dyDescent="0.3">
      <c r="X783">
        <v>782</v>
      </c>
      <c r="Y783">
        <v>2639.2000000000007</v>
      </c>
    </row>
    <row r="784" spans="24:25" x14ac:dyDescent="0.3">
      <c r="X784">
        <v>783</v>
      </c>
      <c r="Y784">
        <v>-4224.8</v>
      </c>
    </row>
    <row r="785" spans="24:25" x14ac:dyDescent="0.3">
      <c r="X785">
        <v>784</v>
      </c>
      <c r="Y785">
        <v>-4874.78</v>
      </c>
    </row>
    <row r="786" spans="24:25" x14ac:dyDescent="0.3">
      <c r="X786">
        <v>785</v>
      </c>
      <c r="Y786">
        <v>-4699.16</v>
      </c>
    </row>
    <row r="787" spans="24:25" x14ac:dyDescent="0.3">
      <c r="X787">
        <v>786</v>
      </c>
      <c r="Y787">
        <v>3681.2000000000007</v>
      </c>
    </row>
    <row r="788" spans="24:25" x14ac:dyDescent="0.3">
      <c r="X788">
        <v>787</v>
      </c>
      <c r="Y788">
        <v>-3759.4700000000003</v>
      </c>
    </row>
    <row r="789" spans="24:25" x14ac:dyDescent="0.3">
      <c r="X789">
        <v>788</v>
      </c>
      <c r="Y789">
        <v>2192.8000000000011</v>
      </c>
    </row>
    <row r="790" spans="24:25" x14ac:dyDescent="0.3">
      <c r="X790">
        <v>789</v>
      </c>
      <c r="Y790">
        <v>-4565.6000000000004</v>
      </c>
    </row>
    <row r="791" spans="24:25" x14ac:dyDescent="0.3">
      <c r="X791">
        <v>790</v>
      </c>
      <c r="Y791">
        <v>-4565</v>
      </c>
    </row>
    <row r="792" spans="24:25" x14ac:dyDescent="0.3">
      <c r="X792">
        <v>791</v>
      </c>
      <c r="Y792">
        <v>-3938.75</v>
      </c>
    </row>
    <row r="793" spans="24:25" x14ac:dyDescent="0.3">
      <c r="X793">
        <v>792</v>
      </c>
      <c r="Y793">
        <v>-4133.6000000000004</v>
      </c>
    </row>
    <row r="794" spans="24:25" x14ac:dyDescent="0.3">
      <c r="X794">
        <v>793</v>
      </c>
      <c r="Y794">
        <v>243.52000000000044</v>
      </c>
    </row>
    <row r="795" spans="24:25" x14ac:dyDescent="0.3">
      <c r="X795">
        <v>794</v>
      </c>
      <c r="Y795">
        <v>3088.0000000000018</v>
      </c>
    </row>
    <row r="796" spans="24:25" x14ac:dyDescent="0.3">
      <c r="X796">
        <v>795</v>
      </c>
      <c r="Y796">
        <v>6086.7999999999993</v>
      </c>
    </row>
    <row r="797" spans="24:25" x14ac:dyDescent="0.3">
      <c r="X797">
        <v>796</v>
      </c>
      <c r="Y797">
        <v>-4961.6000000000004</v>
      </c>
    </row>
    <row r="798" spans="24:25" x14ac:dyDescent="0.3">
      <c r="X798">
        <v>797</v>
      </c>
      <c r="Y798">
        <v>5725</v>
      </c>
    </row>
    <row r="799" spans="24:25" x14ac:dyDescent="0.3">
      <c r="X799">
        <v>798</v>
      </c>
      <c r="Y799">
        <v>-5121.32</v>
      </c>
    </row>
    <row r="800" spans="24:25" x14ac:dyDescent="0.3">
      <c r="X800">
        <v>799</v>
      </c>
      <c r="Y800">
        <v>-3918.86</v>
      </c>
    </row>
    <row r="801" spans="24:25" x14ac:dyDescent="0.3">
      <c r="X801">
        <v>800</v>
      </c>
      <c r="Y801">
        <v>322.84000000000015</v>
      </c>
    </row>
    <row r="802" spans="24:25" x14ac:dyDescent="0.3">
      <c r="X802">
        <v>801</v>
      </c>
      <c r="Y802">
        <v>3676</v>
      </c>
    </row>
    <row r="803" spans="24:25" x14ac:dyDescent="0.3">
      <c r="X803">
        <v>802</v>
      </c>
      <c r="Y803">
        <v>3620.2000000000007</v>
      </c>
    </row>
    <row r="804" spans="24:25" x14ac:dyDescent="0.3">
      <c r="X804">
        <v>803</v>
      </c>
      <c r="Y804">
        <v>-3827</v>
      </c>
    </row>
    <row r="805" spans="24:25" x14ac:dyDescent="0.3">
      <c r="X805">
        <v>804</v>
      </c>
      <c r="Y805">
        <v>3190</v>
      </c>
    </row>
    <row r="806" spans="24:25" x14ac:dyDescent="0.3">
      <c r="X806">
        <v>805</v>
      </c>
      <c r="Y806">
        <v>-4945.9399999999996</v>
      </c>
    </row>
    <row r="807" spans="24:25" x14ac:dyDescent="0.3">
      <c r="X807">
        <v>806</v>
      </c>
      <c r="Y807">
        <v>-440.30000000000109</v>
      </c>
    </row>
    <row r="808" spans="24:25" x14ac:dyDescent="0.3">
      <c r="X808">
        <v>807</v>
      </c>
      <c r="Y808">
        <v>5664.7999999999993</v>
      </c>
    </row>
    <row r="809" spans="24:25" x14ac:dyDescent="0.3">
      <c r="X809">
        <v>808</v>
      </c>
      <c r="Y809">
        <v>-4324.55</v>
      </c>
    </row>
    <row r="810" spans="24:25" x14ac:dyDescent="0.3">
      <c r="X810">
        <v>809</v>
      </c>
      <c r="Y810">
        <v>-4272.2000000000007</v>
      </c>
    </row>
    <row r="811" spans="24:25" x14ac:dyDescent="0.3">
      <c r="X811">
        <v>810</v>
      </c>
      <c r="Y811">
        <v>-4404.8</v>
      </c>
    </row>
    <row r="812" spans="24:25" x14ac:dyDescent="0.3">
      <c r="X812">
        <v>811</v>
      </c>
      <c r="Y812">
        <v>-4036.94</v>
      </c>
    </row>
    <row r="813" spans="24:25" x14ac:dyDescent="0.3">
      <c r="X813">
        <v>812</v>
      </c>
      <c r="Y813">
        <v>-4015.880000000001</v>
      </c>
    </row>
    <row r="814" spans="24:25" x14ac:dyDescent="0.3">
      <c r="X814">
        <v>813</v>
      </c>
      <c r="Y814">
        <v>-3788</v>
      </c>
    </row>
    <row r="815" spans="24:25" x14ac:dyDescent="0.3">
      <c r="X815">
        <v>814</v>
      </c>
      <c r="Y815">
        <v>-4536.41</v>
      </c>
    </row>
    <row r="816" spans="24:25" x14ac:dyDescent="0.3">
      <c r="X816">
        <v>815</v>
      </c>
      <c r="Y816">
        <v>2250.8000000000011</v>
      </c>
    </row>
    <row r="817" spans="24:25" x14ac:dyDescent="0.3">
      <c r="X817">
        <v>816</v>
      </c>
      <c r="Y817">
        <v>-4886.72</v>
      </c>
    </row>
    <row r="818" spans="24:25" x14ac:dyDescent="0.3">
      <c r="X818">
        <v>817</v>
      </c>
      <c r="Y818">
        <v>-4469</v>
      </c>
    </row>
    <row r="819" spans="24:25" x14ac:dyDescent="0.3">
      <c r="X819">
        <v>818</v>
      </c>
      <c r="Y819">
        <v>-4345.2800000000007</v>
      </c>
    </row>
    <row r="820" spans="24:25" x14ac:dyDescent="0.3">
      <c r="X820">
        <v>819</v>
      </c>
      <c r="Y820">
        <v>-4635.5600000000004</v>
      </c>
    </row>
    <row r="821" spans="24:25" x14ac:dyDescent="0.3">
      <c r="X821">
        <v>820</v>
      </c>
      <c r="Y821">
        <v>-3832.76</v>
      </c>
    </row>
    <row r="822" spans="24:25" x14ac:dyDescent="0.3">
      <c r="X822">
        <v>821</v>
      </c>
      <c r="Y822">
        <v>-4613</v>
      </c>
    </row>
    <row r="823" spans="24:25" x14ac:dyDescent="0.3">
      <c r="X823">
        <v>822</v>
      </c>
      <c r="Y823">
        <v>-4522.3999999999996</v>
      </c>
    </row>
    <row r="824" spans="24:25" x14ac:dyDescent="0.3">
      <c r="X824">
        <v>823</v>
      </c>
      <c r="Y824">
        <v>5043.8000000000011</v>
      </c>
    </row>
    <row r="825" spans="24:25" x14ac:dyDescent="0.3">
      <c r="X825">
        <v>824</v>
      </c>
      <c r="Y825">
        <v>4017.6000000000022</v>
      </c>
    </row>
    <row r="826" spans="24:25" x14ac:dyDescent="0.3">
      <c r="X826">
        <v>825</v>
      </c>
      <c r="Y826">
        <v>1809.8000000000011</v>
      </c>
    </row>
    <row r="827" spans="24:25" x14ac:dyDescent="0.3">
      <c r="X827">
        <v>826</v>
      </c>
      <c r="Y827">
        <v>-4240.43</v>
      </c>
    </row>
    <row r="828" spans="24:25" x14ac:dyDescent="0.3">
      <c r="X828">
        <v>827</v>
      </c>
      <c r="Y828">
        <v>-3826.6099999999997</v>
      </c>
    </row>
    <row r="829" spans="24:25" x14ac:dyDescent="0.3">
      <c r="X829">
        <v>828</v>
      </c>
      <c r="Y829">
        <v>-4313.6899999999996</v>
      </c>
    </row>
    <row r="830" spans="24:25" x14ac:dyDescent="0.3">
      <c r="X830">
        <v>829</v>
      </c>
      <c r="Y830">
        <v>-4359.1400000000003</v>
      </c>
    </row>
    <row r="831" spans="24:25" x14ac:dyDescent="0.3">
      <c r="X831">
        <v>830</v>
      </c>
      <c r="Y831">
        <v>-3955.7</v>
      </c>
    </row>
    <row r="832" spans="24:25" x14ac:dyDescent="0.3">
      <c r="X832">
        <v>831</v>
      </c>
      <c r="Y832">
        <v>-621.44000000000051</v>
      </c>
    </row>
    <row r="833" spans="24:25" x14ac:dyDescent="0.3">
      <c r="X833">
        <v>832</v>
      </c>
      <c r="Y833">
        <v>-4105.16</v>
      </c>
    </row>
    <row r="834" spans="24:25" x14ac:dyDescent="0.3">
      <c r="X834">
        <v>833</v>
      </c>
      <c r="Y834">
        <v>-4887.4400000000005</v>
      </c>
    </row>
    <row r="835" spans="24:25" x14ac:dyDescent="0.3">
      <c r="X835">
        <v>834</v>
      </c>
      <c r="Y835">
        <v>-3980.45</v>
      </c>
    </row>
    <row r="836" spans="24:25" x14ac:dyDescent="0.3">
      <c r="X836">
        <v>835</v>
      </c>
      <c r="Y836">
        <v>2029.7999999999993</v>
      </c>
    </row>
    <row r="837" spans="24:25" x14ac:dyDescent="0.3">
      <c r="X837">
        <v>836</v>
      </c>
      <c r="Y837">
        <v>-603.02000000000135</v>
      </c>
    </row>
    <row r="838" spans="24:25" x14ac:dyDescent="0.3">
      <c r="X838">
        <v>837</v>
      </c>
      <c r="Y838">
        <v>-3758.75</v>
      </c>
    </row>
    <row r="839" spans="24:25" x14ac:dyDescent="0.3">
      <c r="X839">
        <v>838</v>
      </c>
      <c r="Y839">
        <v>3902.7999999999993</v>
      </c>
    </row>
    <row r="840" spans="24:25" x14ac:dyDescent="0.3">
      <c r="X840">
        <v>839</v>
      </c>
      <c r="Y840">
        <v>-5005.4000000000005</v>
      </c>
    </row>
    <row r="841" spans="24:25" x14ac:dyDescent="0.3">
      <c r="X841">
        <v>840</v>
      </c>
      <c r="Y841">
        <v>-3774.95</v>
      </c>
    </row>
    <row r="842" spans="24:25" x14ac:dyDescent="0.3">
      <c r="X842">
        <v>841</v>
      </c>
      <c r="Y842">
        <v>-3935.6</v>
      </c>
    </row>
    <row r="843" spans="24:25" x14ac:dyDescent="0.3">
      <c r="X843">
        <v>842</v>
      </c>
      <c r="Y843">
        <v>-4411.22</v>
      </c>
    </row>
    <row r="844" spans="24:25" x14ac:dyDescent="0.3">
      <c r="X844">
        <v>843</v>
      </c>
      <c r="Y844">
        <v>2019.1000000000022</v>
      </c>
    </row>
    <row r="845" spans="24:25" x14ac:dyDescent="0.3">
      <c r="X845">
        <v>844</v>
      </c>
      <c r="Y845">
        <v>-3919.88</v>
      </c>
    </row>
    <row r="846" spans="24:25" x14ac:dyDescent="0.3">
      <c r="X846">
        <v>845</v>
      </c>
      <c r="Y846">
        <v>2731.6000000000004</v>
      </c>
    </row>
    <row r="847" spans="24:25" x14ac:dyDescent="0.3">
      <c r="X847">
        <v>846</v>
      </c>
      <c r="Y847">
        <v>-4132.6399999999994</v>
      </c>
    </row>
    <row r="848" spans="24:25" x14ac:dyDescent="0.3">
      <c r="X848">
        <v>847</v>
      </c>
      <c r="Y848">
        <v>-3953.75</v>
      </c>
    </row>
    <row r="849" spans="24:25" x14ac:dyDescent="0.3">
      <c r="X849">
        <v>848</v>
      </c>
      <c r="Y849">
        <v>-4878.26</v>
      </c>
    </row>
    <row r="850" spans="24:25" x14ac:dyDescent="0.3">
      <c r="X850">
        <v>849</v>
      </c>
      <c r="Y850">
        <v>3831.1000000000004</v>
      </c>
    </row>
    <row r="851" spans="24:25" x14ac:dyDescent="0.3">
      <c r="X851">
        <v>850</v>
      </c>
      <c r="Y851">
        <v>-3993.2</v>
      </c>
    </row>
    <row r="852" spans="24:25" x14ac:dyDescent="0.3">
      <c r="X852">
        <v>851</v>
      </c>
      <c r="Y852">
        <v>-4643.8999999999996</v>
      </c>
    </row>
    <row r="853" spans="24:25" x14ac:dyDescent="0.3">
      <c r="X853">
        <v>852</v>
      </c>
      <c r="Y853">
        <v>5566.9</v>
      </c>
    </row>
    <row r="854" spans="24:25" x14ac:dyDescent="0.3">
      <c r="X854">
        <v>853</v>
      </c>
      <c r="Y854">
        <v>4300.6000000000004</v>
      </c>
    </row>
    <row r="855" spans="24:25" x14ac:dyDescent="0.3">
      <c r="X855">
        <v>854</v>
      </c>
      <c r="Y855">
        <v>-1066.3999999999996</v>
      </c>
    </row>
    <row r="856" spans="24:25" x14ac:dyDescent="0.3">
      <c r="X856">
        <v>855</v>
      </c>
      <c r="Y856">
        <v>-4124.0599999999995</v>
      </c>
    </row>
    <row r="857" spans="24:25" x14ac:dyDescent="0.3">
      <c r="X857">
        <v>856</v>
      </c>
      <c r="Y857">
        <v>265</v>
      </c>
    </row>
    <row r="858" spans="24:25" x14ac:dyDescent="0.3">
      <c r="X858">
        <v>857</v>
      </c>
      <c r="Y858">
        <v>4785.6000000000022</v>
      </c>
    </row>
    <row r="859" spans="24:25" x14ac:dyDescent="0.3">
      <c r="X859">
        <v>858</v>
      </c>
      <c r="Y859">
        <v>-4656.3200000000006</v>
      </c>
    </row>
    <row r="860" spans="24:25" x14ac:dyDescent="0.3">
      <c r="X860">
        <v>859</v>
      </c>
      <c r="Y860">
        <v>6144</v>
      </c>
    </row>
    <row r="861" spans="24:25" x14ac:dyDescent="0.3">
      <c r="X861">
        <v>860</v>
      </c>
      <c r="Y861">
        <v>-4287.2</v>
      </c>
    </row>
    <row r="862" spans="24:25" x14ac:dyDescent="0.3">
      <c r="X862">
        <v>861</v>
      </c>
      <c r="Y862">
        <v>-4162.76</v>
      </c>
    </row>
    <row r="863" spans="24:25" x14ac:dyDescent="0.3">
      <c r="X863">
        <v>862</v>
      </c>
      <c r="Y863">
        <v>-4847.24</v>
      </c>
    </row>
    <row r="864" spans="24:25" x14ac:dyDescent="0.3">
      <c r="X864">
        <v>863</v>
      </c>
      <c r="Y864">
        <v>2470</v>
      </c>
    </row>
    <row r="865" spans="24:25" x14ac:dyDescent="0.3">
      <c r="X865">
        <v>864</v>
      </c>
      <c r="Y865">
        <v>5714.5</v>
      </c>
    </row>
    <row r="866" spans="24:25" x14ac:dyDescent="0.3">
      <c r="X866">
        <v>865</v>
      </c>
      <c r="Y866">
        <v>-3618.9800000000005</v>
      </c>
    </row>
    <row r="867" spans="24:25" x14ac:dyDescent="0.3">
      <c r="X867">
        <v>866</v>
      </c>
      <c r="Y867">
        <v>2525.2000000000007</v>
      </c>
    </row>
    <row r="868" spans="24:25" x14ac:dyDescent="0.3">
      <c r="X868">
        <v>867</v>
      </c>
      <c r="Y868">
        <v>3697</v>
      </c>
    </row>
    <row r="869" spans="24:25" x14ac:dyDescent="0.3">
      <c r="X869">
        <v>868</v>
      </c>
      <c r="Y869">
        <v>2639.2000000000007</v>
      </c>
    </row>
    <row r="870" spans="24:25" x14ac:dyDescent="0.3">
      <c r="X870">
        <v>869</v>
      </c>
      <c r="Y870">
        <v>-4154.4799999999996</v>
      </c>
    </row>
    <row r="871" spans="24:25" x14ac:dyDescent="0.3">
      <c r="X871">
        <v>870</v>
      </c>
      <c r="Y871">
        <v>-3921.2</v>
      </c>
    </row>
    <row r="872" spans="24:25" x14ac:dyDescent="0.3">
      <c r="X872">
        <v>871</v>
      </c>
      <c r="Y872">
        <v>-4081.2200000000003</v>
      </c>
    </row>
    <row r="873" spans="24:25" x14ac:dyDescent="0.3">
      <c r="X873">
        <v>872</v>
      </c>
      <c r="Y873">
        <v>-5046.2</v>
      </c>
    </row>
    <row r="874" spans="24:25" x14ac:dyDescent="0.3">
      <c r="X874">
        <v>873</v>
      </c>
      <c r="Y874">
        <v>-4799</v>
      </c>
    </row>
    <row r="875" spans="24:25" x14ac:dyDescent="0.3">
      <c r="X875">
        <v>874</v>
      </c>
      <c r="Y875">
        <v>-4994.8999999999996</v>
      </c>
    </row>
    <row r="876" spans="24:25" x14ac:dyDescent="0.3">
      <c r="X876">
        <v>875</v>
      </c>
      <c r="Y876">
        <v>464.85999999999876</v>
      </c>
    </row>
    <row r="877" spans="24:25" x14ac:dyDescent="0.3">
      <c r="X877">
        <v>876</v>
      </c>
      <c r="Y877">
        <v>-4374.3500000000004</v>
      </c>
    </row>
    <row r="878" spans="24:25" x14ac:dyDescent="0.3">
      <c r="X878">
        <v>877</v>
      </c>
      <c r="Y878">
        <v>-4820</v>
      </c>
    </row>
    <row r="879" spans="24:25" x14ac:dyDescent="0.3">
      <c r="X879">
        <v>878</v>
      </c>
      <c r="Y879">
        <v>-4072.8199999999997</v>
      </c>
    </row>
    <row r="880" spans="24:25" x14ac:dyDescent="0.3">
      <c r="X880">
        <v>879</v>
      </c>
      <c r="Y880">
        <v>-4505.6000000000004</v>
      </c>
    </row>
    <row r="881" spans="24:25" x14ac:dyDescent="0.3">
      <c r="X881">
        <v>880</v>
      </c>
      <c r="Y881">
        <v>3098.2000000000007</v>
      </c>
    </row>
    <row r="882" spans="24:25" x14ac:dyDescent="0.3">
      <c r="X882">
        <v>881</v>
      </c>
      <c r="Y882">
        <v>-4289.3</v>
      </c>
    </row>
    <row r="883" spans="24:25" x14ac:dyDescent="0.3">
      <c r="X883">
        <v>882</v>
      </c>
      <c r="Y883">
        <v>-4395.17</v>
      </c>
    </row>
    <row r="884" spans="24:25" x14ac:dyDescent="0.3">
      <c r="X884">
        <v>883</v>
      </c>
      <c r="Y884">
        <v>-4162.5199999999995</v>
      </c>
    </row>
    <row r="885" spans="24:25" x14ac:dyDescent="0.3">
      <c r="X885">
        <v>884</v>
      </c>
      <c r="Y885">
        <v>-4986.8</v>
      </c>
    </row>
    <row r="886" spans="24:25" x14ac:dyDescent="0.3">
      <c r="X886">
        <v>885</v>
      </c>
      <c r="Y886">
        <v>-4179.5599999999995</v>
      </c>
    </row>
    <row r="887" spans="24:25" x14ac:dyDescent="0.3">
      <c r="X887">
        <v>886</v>
      </c>
      <c r="Y887">
        <v>2820.5</v>
      </c>
    </row>
    <row r="888" spans="24:25" x14ac:dyDescent="0.3">
      <c r="X888">
        <v>887</v>
      </c>
      <c r="Y888">
        <v>2860.2999999999993</v>
      </c>
    </row>
    <row r="889" spans="24:25" x14ac:dyDescent="0.3">
      <c r="X889">
        <v>888</v>
      </c>
      <c r="Y889">
        <v>-4320.3500000000004</v>
      </c>
    </row>
    <row r="890" spans="24:25" x14ac:dyDescent="0.3">
      <c r="X890">
        <v>889</v>
      </c>
      <c r="Y890">
        <v>3723.6000000000022</v>
      </c>
    </row>
    <row r="891" spans="24:25" x14ac:dyDescent="0.3">
      <c r="X891">
        <v>890</v>
      </c>
      <c r="Y891">
        <v>-4439.78</v>
      </c>
    </row>
    <row r="892" spans="24:25" x14ac:dyDescent="0.3">
      <c r="X892">
        <v>891</v>
      </c>
      <c r="Y892">
        <v>-3722.24</v>
      </c>
    </row>
    <row r="893" spans="24:25" x14ac:dyDescent="0.3">
      <c r="X893">
        <v>892</v>
      </c>
      <c r="Y893">
        <v>3909.1000000000022</v>
      </c>
    </row>
    <row r="894" spans="24:25" x14ac:dyDescent="0.3">
      <c r="X894">
        <v>893</v>
      </c>
      <c r="Y894">
        <v>-4997.9599999999991</v>
      </c>
    </row>
    <row r="895" spans="24:25" x14ac:dyDescent="0.3">
      <c r="X895">
        <v>894</v>
      </c>
      <c r="Y895">
        <v>-1532.7800000000007</v>
      </c>
    </row>
    <row r="896" spans="24:25" x14ac:dyDescent="0.3">
      <c r="X896">
        <v>895</v>
      </c>
      <c r="Y896">
        <v>-2130.5</v>
      </c>
    </row>
    <row r="897" spans="24:25" x14ac:dyDescent="0.3">
      <c r="X897">
        <v>896</v>
      </c>
      <c r="Y897">
        <v>-4002.56</v>
      </c>
    </row>
    <row r="898" spans="24:25" x14ac:dyDescent="0.3">
      <c r="X898">
        <v>897</v>
      </c>
      <c r="Y898">
        <v>5825</v>
      </c>
    </row>
    <row r="899" spans="24:25" x14ac:dyDescent="0.3">
      <c r="X899">
        <v>898</v>
      </c>
      <c r="Y899">
        <v>-4220.8999999999996</v>
      </c>
    </row>
    <row r="900" spans="24:25" x14ac:dyDescent="0.3">
      <c r="X900">
        <v>899</v>
      </c>
      <c r="Y900">
        <v>-379.52000000000044</v>
      </c>
    </row>
    <row r="901" spans="24:25" x14ac:dyDescent="0.3">
      <c r="X901">
        <v>900</v>
      </c>
      <c r="Y901">
        <v>-4852.16</v>
      </c>
    </row>
    <row r="902" spans="24:25" x14ac:dyDescent="0.3">
      <c r="X902">
        <v>901</v>
      </c>
      <c r="Y902">
        <v>-3690.5</v>
      </c>
    </row>
    <row r="903" spans="24:25" x14ac:dyDescent="0.3">
      <c r="X903">
        <v>902</v>
      </c>
      <c r="Y903">
        <v>5752</v>
      </c>
    </row>
    <row r="904" spans="24:25" x14ac:dyDescent="0.3">
      <c r="X904">
        <v>903</v>
      </c>
      <c r="Y904">
        <v>-4904</v>
      </c>
    </row>
    <row r="905" spans="24:25" x14ac:dyDescent="0.3">
      <c r="X905">
        <v>904</v>
      </c>
      <c r="Y905">
        <v>-4928.2099999999991</v>
      </c>
    </row>
    <row r="906" spans="24:25" x14ac:dyDescent="0.3">
      <c r="X906">
        <v>905</v>
      </c>
      <c r="Y906">
        <v>-4256.75</v>
      </c>
    </row>
    <row r="907" spans="24:25" x14ac:dyDescent="0.3">
      <c r="X907">
        <v>906</v>
      </c>
      <c r="Y907">
        <v>-3733.76</v>
      </c>
    </row>
    <row r="908" spans="24:25" x14ac:dyDescent="0.3">
      <c r="X908">
        <v>907</v>
      </c>
      <c r="Y908">
        <v>-4484.75</v>
      </c>
    </row>
    <row r="909" spans="24:25" x14ac:dyDescent="0.3">
      <c r="X909">
        <v>908</v>
      </c>
      <c r="Y909">
        <v>-4917.1399999999994</v>
      </c>
    </row>
    <row r="910" spans="24:25" x14ac:dyDescent="0.3">
      <c r="X910">
        <v>909</v>
      </c>
      <c r="Y910">
        <v>-4374.8</v>
      </c>
    </row>
    <row r="911" spans="24:25" x14ac:dyDescent="0.3">
      <c r="X911">
        <v>910</v>
      </c>
      <c r="Y911">
        <v>-4044.3200000000006</v>
      </c>
    </row>
    <row r="912" spans="24:25" x14ac:dyDescent="0.3">
      <c r="X912">
        <v>911</v>
      </c>
      <c r="Y912">
        <v>5906.5</v>
      </c>
    </row>
    <row r="913" spans="24:25" x14ac:dyDescent="0.3">
      <c r="X913">
        <v>912</v>
      </c>
      <c r="Y913">
        <v>5637.5000000000018</v>
      </c>
    </row>
    <row r="914" spans="24:25" x14ac:dyDescent="0.3">
      <c r="X914">
        <v>913</v>
      </c>
      <c r="Y914">
        <v>-4541.3</v>
      </c>
    </row>
    <row r="915" spans="24:25" x14ac:dyDescent="0.3">
      <c r="X915">
        <v>914</v>
      </c>
      <c r="Y915">
        <v>4650</v>
      </c>
    </row>
    <row r="916" spans="24:25" x14ac:dyDescent="0.3">
      <c r="X916">
        <v>915</v>
      </c>
      <c r="Y916">
        <v>-4676.9000000000005</v>
      </c>
    </row>
    <row r="917" spans="24:25" x14ac:dyDescent="0.3">
      <c r="X917">
        <v>916</v>
      </c>
      <c r="Y917">
        <v>-4198.0999999999995</v>
      </c>
    </row>
    <row r="918" spans="24:25" x14ac:dyDescent="0.3">
      <c r="X918">
        <v>917</v>
      </c>
      <c r="Y918">
        <v>5370.5</v>
      </c>
    </row>
    <row r="919" spans="24:25" x14ac:dyDescent="0.3">
      <c r="X919">
        <v>918</v>
      </c>
      <c r="Y919">
        <v>-3963.14</v>
      </c>
    </row>
    <row r="920" spans="24:25" x14ac:dyDescent="0.3">
      <c r="X920">
        <v>919</v>
      </c>
      <c r="Y920">
        <v>2304</v>
      </c>
    </row>
    <row r="921" spans="24:25" x14ac:dyDescent="0.3">
      <c r="X921">
        <v>920</v>
      </c>
      <c r="Y921">
        <v>-1819.5200000000004</v>
      </c>
    </row>
    <row r="922" spans="24:25" x14ac:dyDescent="0.3">
      <c r="X922">
        <v>921</v>
      </c>
      <c r="Y922">
        <v>-3773.96</v>
      </c>
    </row>
    <row r="923" spans="24:25" x14ac:dyDescent="0.3">
      <c r="X923">
        <v>922</v>
      </c>
      <c r="Y923">
        <v>-4315.4000000000005</v>
      </c>
    </row>
    <row r="924" spans="24:25" x14ac:dyDescent="0.3">
      <c r="X924">
        <v>923</v>
      </c>
      <c r="Y924">
        <v>3570</v>
      </c>
    </row>
    <row r="925" spans="24:25" x14ac:dyDescent="0.3">
      <c r="X925">
        <v>924</v>
      </c>
      <c r="Y925">
        <v>-3686.6000000000004</v>
      </c>
    </row>
    <row r="926" spans="24:25" x14ac:dyDescent="0.3">
      <c r="X926">
        <v>925</v>
      </c>
      <c r="Y926">
        <v>4398.3999999999996</v>
      </c>
    </row>
    <row r="927" spans="24:25" x14ac:dyDescent="0.3">
      <c r="X927">
        <v>926</v>
      </c>
      <c r="Y927">
        <v>-1178.7800000000007</v>
      </c>
    </row>
    <row r="928" spans="24:25" x14ac:dyDescent="0.3">
      <c r="X928">
        <v>927</v>
      </c>
      <c r="Y928">
        <v>-796.16000000000076</v>
      </c>
    </row>
    <row r="929" spans="24:25" x14ac:dyDescent="0.3">
      <c r="X929">
        <v>928</v>
      </c>
      <c r="Y929">
        <v>5764</v>
      </c>
    </row>
    <row r="930" spans="24:25" x14ac:dyDescent="0.3">
      <c r="X930">
        <v>929</v>
      </c>
      <c r="Y930">
        <v>-777.5</v>
      </c>
    </row>
    <row r="931" spans="24:25" x14ac:dyDescent="0.3">
      <c r="X931">
        <v>930</v>
      </c>
      <c r="Y931">
        <v>-4722.5</v>
      </c>
    </row>
    <row r="932" spans="24:25" x14ac:dyDescent="0.3">
      <c r="X932">
        <v>931</v>
      </c>
      <c r="Y932">
        <v>-4233.71</v>
      </c>
    </row>
    <row r="933" spans="24:25" x14ac:dyDescent="0.3">
      <c r="X933">
        <v>932</v>
      </c>
      <c r="Y933">
        <v>-5100.2000000000007</v>
      </c>
    </row>
    <row r="934" spans="24:25" x14ac:dyDescent="0.3">
      <c r="X934">
        <v>933</v>
      </c>
      <c r="Y934">
        <v>-4794.5599999999995</v>
      </c>
    </row>
    <row r="935" spans="24:25" x14ac:dyDescent="0.3">
      <c r="X935">
        <v>934</v>
      </c>
      <c r="Y935">
        <v>4209.4000000000015</v>
      </c>
    </row>
    <row r="936" spans="24:25" x14ac:dyDescent="0.3">
      <c r="X936">
        <v>935</v>
      </c>
      <c r="Y936">
        <v>-4138.6399999999994</v>
      </c>
    </row>
    <row r="937" spans="24:25" x14ac:dyDescent="0.3">
      <c r="X937">
        <v>936</v>
      </c>
      <c r="Y937">
        <v>-4260.83</v>
      </c>
    </row>
    <row r="938" spans="24:25" x14ac:dyDescent="0.3">
      <c r="X938">
        <v>937</v>
      </c>
      <c r="Y938">
        <v>3497.5</v>
      </c>
    </row>
    <row r="939" spans="24:25" x14ac:dyDescent="0.3">
      <c r="X939">
        <v>938</v>
      </c>
      <c r="Y939">
        <v>-4021.58</v>
      </c>
    </row>
    <row r="940" spans="24:25" x14ac:dyDescent="0.3">
      <c r="X940">
        <v>939</v>
      </c>
      <c r="Y940">
        <v>-3811.76</v>
      </c>
    </row>
    <row r="941" spans="24:25" x14ac:dyDescent="0.3">
      <c r="X941">
        <v>940</v>
      </c>
      <c r="Y941">
        <v>5708.8000000000011</v>
      </c>
    </row>
    <row r="942" spans="24:25" x14ac:dyDescent="0.3">
      <c r="X942">
        <v>941</v>
      </c>
      <c r="Y942">
        <v>-3864.6800000000003</v>
      </c>
    </row>
    <row r="943" spans="24:25" x14ac:dyDescent="0.3">
      <c r="X943">
        <v>942</v>
      </c>
      <c r="Y943">
        <v>-4374.0500000000011</v>
      </c>
    </row>
    <row r="944" spans="24:25" x14ac:dyDescent="0.3">
      <c r="X944">
        <v>943</v>
      </c>
      <c r="Y944">
        <v>-4616.8999999999996</v>
      </c>
    </row>
    <row r="945" spans="24:25" x14ac:dyDescent="0.3">
      <c r="X945">
        <v>944</v>
      </c>
      <c r="Y945">
        <v>-1047.1399999999994</v>
      </c>
    </row>
    <row r="946" spans="24:25" x14ac:dyDescent="0.3">
      <c r="X946">
        <v>945</v>
      </c>
      <c r="Y946">
        <v>4684</v>
      </c>
    </row>
    <row r="947" spans="24:25" x14ac:dyDescent="0.3">
      <c r="X947">
        <v>946</v>
      </c>
      <c r="Y947">
        <v>290.92000000000007</v>
      </c>
    </row>
    <row r="948" spans="24:25" x14ac:dyDescent="0.3">
      <c r="X948">
        <v>947</v>
      </c>
      <c r="Y948">
        <v>-4754.24</v>
      </c>
    </row>
    <row r="949" spans="24:25" x14ac:dyDescent="0.3">
      <c r="X949">
        <v>948</v>
      </c>
      <c r="Y949">
        <v>-4878.08</v>
      </c>
    </row>
    <row r="950" spans="24:25" x14ac:dyDescent="0.3">
      <c r="X950">
        <v>949</v>
      </c>
      <c r="Y950">
        <v>-4826.24</v>
      </c>
    </row>
    <row r="951" spans="24:25" x14ac:dyDescent="0.3">
      <c r="X951">
        <v>950</v>
      </c>
      <c r="Y951">
        <v>2486</v>
      </c>
    </row>
    <row r="952" spans="24:25" x14ac:dyDescent="0.3">
      <c r="X952">
        <v>951</v>
      </c>
      <c r="Y952">
        <v>4211.2000000000007</v>
      </c>
    </row>
    <row r="953" spans="24:25" x14ac:dyDescent="0.3">
      <c r="X953">
        <v>952</v>
      </c>
      <c r="Y953">
        <v>2421.5</v>
      </c>
    </row>
    <row r="954" spans="24:25" x14ac:dyDescent="0.3">
      <c r="X954">
        <v>953</v>
      </c>
      <c r="Y954">
        <v>4056.0000000000018</v>
      </c>
    </row>
    <row r="955" spans="24:25" x14ac:dyDescent="0.3">
      <c r="X955">
        <v>954</v>
      </c>
      <c r="Y955">
        <v>5041.7999999999993</v>
      </c>
    </row>
    <row r="956" spans="24:25" x14ac:dyDescent="0.3">
      <c r="X956">
        <v>955</v>
      </c>
      <c r="Y956">
        <v>2000.3999999999996</v>
      </c>
    </row>
    <row r="957" spans="24:25" x14ac:dyDescent="0.3">
      <c r="X957">
        <v>956</v>
      </c>
      <c r="Y957">
        <v>-4836.5</v>
      </c>
    </row>
    <row r="958" spans="24:25" x14ac:dyDescent="0.3">
      <c r="X958">
        <v>957</v>
      </c>
      <c r="Y958">
        <v>-1169.1200000000008</v>
      </c>
    </row>
    <row r="959" spans="24:25" x14ac:dyDescent="0.3">
      <c r="X959">
        <v>958</v>
      </c>
      <c r="Y959">
        <v>-3907.7900000000009</v>
      </c>
    </row>
    <row r="960" spans="24:25" x14ac:dyDescent="0.3">
      <c r="X960">
        <v>959</v>
      </c>
      <c r="Y960">
        <v>-4028.8999999999996</v>
      </c>
    </row>
    <row r="961" spans="24:25" x14ac:dyDescent="0.3">
      <c r="X961">
        <v>960</v>
      </c>
      <c r="Y961">
        <v>-3584.2100000000009</v>
      </c>
    </row>
    <row r="962" spans="24:25" x14ac:dyDescent="0.3">
      <c r="X962">
        <v>961</v>
      </c>
      <c r="Y962">
        <v>-4806.08</v>
      </c>
    </row>
    <row r="963" spans="24:25" x14ac:dyDescent="0.3">
      <c r="X963">
        <v>962</v>
      </c>
      <c r="Y963">
        <v>-4843.7000000000007</v>
      </c>
    </row>
    <row r="964" spans="24:25" x14ac:dyDescent="0.3">
      <c r="X964">
        <v>963</v>
      </c>
      <c r="Y964">
        <v>-3895.04</v>
      </c>
    </row>
    <row r="965" spans="24:25" x14ac:dyDescent="0.3">
      <c r="X965">
        <v>964</v>
      </c>
      <c r="Y965">
        <v>-1566.9799999999996</v>
      </c>
    </row>
    <row r="966" spans="24:25" x14ac:dyDescent="0.3">
      <c r="X966">
        <v>965</v>
      </c>
      <c r="Y966">
        <v>-4416.2</v>
      </c>
    </row>
    <row r="967" spans="24:25" x14ac:dyDescent="0.3">
      <c r="X967">
        <v>966</v>
      </c>
      <c r="Y967">
        <v>-4450.2199999999993</v>
      </c>
    </row>
    <row r="968" spans="24:25" x14ac:dyDescent="0.3">
      <c r="X968">
        <v>967</v>
      </c>
      <c r="Y968">
        <v>-4556.0000000000009</v>
      </c>
    </row>
    <row r="969" spans="24:25" x14ac:dyDescent="0.3">
      <c r="X969">
        <v>968</v>
      </c>
      <c r="Y969">
        <v>-4295.66</v>
      </c>
    </row>
    <row r="970" spans="24:25" x14ac:dyDescent="0.3">
      <c r="X970">
        <v>969</v>
      </c>
      <c r="Y970">
        <v>-4730.03</v>
      </c>
    </row>
    <row r="971" spans="24:25" x14ac:dyDescent="0.3">
      <c r="X971">
        <v>970</v>
      </c>
      <c r="Y971">
        <v>2202.1000000000004</v>
      </c>
    </row>
    <row r="972" spans="24:25" x14ac:dyDescent="0.3">
      <c r="X972">
        <v>971</v>
      </c>
      <c r="Y972">
        <v>4531.8999999999996</v>
      </c>
    </row>
    <row r="973" spans="24:25" x14ac:dyDescent="0.3">
      <c r="X973">
        <v>972</v>
      </c>
      <c r="Y973">
        <v>-304.39999999999964</v>
      </c>
    </row>
    <row r="974" spans="24:25" x14ac:dyDescent="0.3">
      <c r="X974">
        <v>973</v>
      </c>
      <c r="Y974">
        <v>5280.4000000000015</v>
      </c>
    </row>
    <row r="975" spans="24:25" x14ac:dyDescent="0.3">
      <c r="X975">
        <v>974</v>
      </c>
      <c r="Y975">
        <v>-4172.96</v>
      </c>
    </row>
    <row r="976" spans="24:25" x14ac:dyDescent="0.3">
      <c r="X976">
        <v>975</v>
      </c>
      <c r="Y976">
        <v>3588.1000000000022</v>
      </c>
    </row>
    <row r="977" spans="24:25" x14ac:dyDescent="0.3">
      <c r="X977">
        <v>976</v>
      </c>
      <c r="Y977">
        <v>-4007.12</v>
      </c>
    </row>
    <row r="978" spans="24:25" x14ac:dyDescent="0.3">
      <c r="X978">
        <v>977</v>
      </c>
      <c r="Y978">
        <v>5696.2000000000007</v>
      </c>
    </row>
    <row r="979" spans="24:25" x14ac:dyDescent="0.3">
      <c r="X979">
        <v>978</v>
      </c>
      <c r="Y979">
        <v>-4976</v>
      </c>
    </row>
    <row r="980" spans="24:25" x14ac:dyDescent="0.3">
      <c r="X980">
        <v>979</v>
      </c>
      <c r="Y980">
        <v>-4054.4000000000005</v>
      </c>
    </row>
    <row r="981" spans="24:25" x14ac:dyDescent="0.3">
      <c r="X981">
        <v>980</v>
      </c>
      <c r="Y981">
        <v>-5086.7000000000007</v>
      </c>
    </row>
    <row r="982" spans="24:25" x14ac:dyDescent="0.3">
      <c r="X982">
        <v>981</v>
      </c>
      <c r="Y982">
        <v>-1317.5</v>
      </c>
    </row>
    <row r="983" spans="24:25" x14ac:dyDescent="0.3">
      <c r="X983">
        <v>982</v>
      </c>
      <c r="Y983">
        <v>-4730.72</v>
      </c>
    </row>
    <row r="984" spans="24:25" x14ac:dyDescent="0.3">
      <c r="X984">
        <v>983</v>
      </c>
      <c r="Y984">
        <v>-2310.6800000000003</v>
      </c>
    </row>
    <row r="985" spans="24:25" x14ac:dyDescent="0.3">
      <c r="X985">
        <v>984</v>
      </c>
      <c r="Y985">
        <v>-3747.5</v>
      </c>
    </row>
    <row r="986" spans="24:25" x14ac:dyDescent="0.3">
      <c r="X986">
        <v>985</v>
      </c>
      <c r="Y986">
        <v>-3759.4700000000003</v>
      </c>
    </row>
    <row r="987" spans="24:25" x14ac:dyDescent="0.3">
      <c r="X987">
        <v>986</v>
      </c>
      <c r="Y987">
        <v>-1067.6000000000013</v>
      </c>
    </row>
    <row r="988" spans="24:25" x14ac:dyDescent="0.3">
      <c r="X988">
        <v>987</v>
      </c>
      <c r="Y988">
        <v>-4279.0400000000009</v>
      </c>
    </row>
    <row r="989" spans="24:25" x14ac:dyDescent="0.3">
      <c r="X989">
        <v>988</v>
      </c>
      <c r="Y989">
        <v>-4909.2800000000007</v>
      </c>
    </row>
    <row r="990" spans="24:25" x14ac:dyDescent="0.3">
      <c r="X990">
        <v>989</v>
      </c>
      <c r="Y990">
        <v>5008</v>
      </c>
    </row>
    <row r="991" spans="24:25" x14ac:dyDescent="0.3">
      <c r="X991">
        <v>990</v>
      </c>
      <c r="Y991">
        <v>-4762.6400000000012</v>
      </c>
    </row>
    <row r="992" spans="24:25" x14ac:dyDescent="0.3">
      <c r="X992">
        <v>991</v>
      </c>
      <c r="Y992">
        <v>2137.3999999999996</v>
      </c>
    </row>
    <row r="993" spans="24:25" x14ac:dyDescent="0.3">
      <c r="X993">
        <v>992</v>
      </c>
      <c r="Y993">
        <v>4595</v>
      </c>
    </row>
    <row r="994" spans="24:25" x14ac:dyDescent="0.3">
      <c r="X994">
        <v>993</v>
      </c>
      <c r="Y994">
        <v>-4711.7</v>
      </c>
    </row>
    <row r="995" spans="24:25" x14ac:dyDescent="0.3">
      <c r="X995">
        <v>994</v>
      </c>
      <c r="Y995">
        <v>-4239.5</v>
      </c>
    </row>
    <row r="996" spans="24:25" x14ac:dyDescent="0.3">
      <c r="X996">
        <v>995</v>
      </c>
      <c r="Y996">
        <v>2751.4000000000015</v>
      </c>
    </row>
    <row r="997" spans="24:25" x14ac:dyDescent="0.3">
      <c r="X997">
        <v>996</v>
      </c>
      <c r="Y997">
        <v>-4953.3200000000006</v>
      </c>
    </row>
    <row r="998" spans="24:25" x14ac:dyDescent="0.3">
      <c r="X998">
        <v>997</v>
      </c>
      <c r="Y998">
        <v>-4540.16</v>
      </c>
    </row>
    <row r="999" spans="24:25" x14ac:dyDescent="0.3">
      <c r="X999">
        <v>998</v>
      </c>
      <c r="Y999">
        <v>6003.2000000000007</v>
      </c>
    </row>
    <row r="1000" spans="24:25" x14ac:dyDescent="0.3">
      <c r="X1000">
        <v>999</v>
      </c>
      <c r="Y1000">
        <v>348.15999999999985</v>
      </c>
    </row>
    <row r="1001" spans="24:25" x14ac:dyDescent="0.3">
      <c r="X1001">
        <v>1000</v>
      </c>
      <c r="Y1001">
        <v>2776.7000000000007</v>
      </c>
    </row>
  </sheetData>
  <mergeCells count="1">
    <mergeCell ref="B2:H20"/>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D5813-5912-4034-A1CE-B29B78F6B8B2}">
  <dimension ref="B3:O20"/>
  <sheetViews>
    <sheetView workbookViewId="0">
      <selection activeCell="G18" sqref="G18"/>
    </sheetView>
  </sheetViews>
  <sheetFormatPr defaultRowHeight="14.4" x14ac:dyDescent="0.3"/>
  <cols>
    <col min="3" max="3" width="12.109375" customWidth="1"/>
    <col min="7" max="7" width="13.6640625" customWidth="1"/>
    <col min="10" max="10" width="12.88671875" customWidth="1"/>
    <col min="13" max="13" width="13.6640625" customWidth="1"/>
    <col min="15" max="15" width="23.44140625" customWidth="1"/>
  </cols>
  <sheetData>
    <row r="3" spans="2:15" ht="28.8" x14ac:dyDescent="0.3">
      <c r="B3" s="48" t="s">
        <v>569</v>
      </c>
      <c r="C3" s="50">
        <v>0</v>
      </c>
      <c r="D3" s="50">
        <v>1</v>
      </c>
      <c r="E3" s="50">
        <v>2</v>
      </c>
      <c r="F3" s="50">
        <v>3</v>
      </c>
      <c r="G3" s="50">
        <v>4</v>
      </c>
      <c r="H3" s="50">
        <v>5</v>
      </c>
      <c r="I3" s="50">
        <v>6</v>
      </c>
    </row>
    <row r="4" spans="2:15" x14ac:dyDescent="0.3">
      <c r="B4" s="21">
        <v>0</v>
      </c>
      <c r="C4" s="51">
        <v>0</v>
      </c>
      <c r="D4" s="51">
        <v>210</v>
      </c>
      <c r="E4" s="51">
        <v>500</v>
      </c>
      <c r="F4" s="51">
        <v>600</v>
      </c>
      <c r="G4" s="51">
        <v>1850</v>
      </c>
      <c r="H4" s="51">
        <v>750</v>
      </c>
      <c r="I4" s="51">
        <v>700</v>
      </c>
      <c r="N4">
        <v>0</v>
      </c>
      <c r="O4" s="21" t="s">
        <v>570</v>
      </c>
    </row>
    <row r="5" spans="2:15" x14ac:dyDescent="0.3">
      <c r="B5" s="21">
        <v>1</v>
      </c>
      <c r="C5" s="51">
        <v>210</v>
      </c>
      <c r="D5" s="51">
        <v>0</v>
      </c>
      <c r="E5" s="51">
        <v>580</v>
      </c>
      <c r="F5" s="51">
        <v>550</v>
      </c>
      <c r="G5" s="51">
        <v>1900</v>
      </c>
      <c r="H5" s="51">
        <v>820</v>
      </c>
      <c r="I5" s="51">
        <v>750</v>
      </c>
      <c r="N5">
        <v>1</v>
      </c>
      <c r="O5" s="21" t="s">
        <v>571</v>
      </c>
    </row>
    <row r="6" spans="2:15" x14ac:dyDescent="0.3">
      <c r="B6" s="21">
        <v>2</v>
      </c>
      <c r="C6" s="51">
        <v>500</v>
      </c>
      <c r="D6" s="51">
        <v>580</v>
      </c>
      <c r="E6" s="51">
        <v>0</v>
      </c>
      <c r="F6" s="51">
        <v>950</v>
      </c>
      <c r="G6" s="51">
        <v>1400</v>
      </c>
      <c r="H6" s="51">
        <v>650</v>
      </c>
      <c r="I6" s="51">
        <v>800</v>
      </c>
      <c r="N6">
        <v>2</v>
      </c>
      <c r="O6" s="21" t="s">
        <v>572</v>
      </c>
    </row>
    <row r="7" spans="2:15" x14ac:dyDescent="0.3">
      <c r="B7" s="21">
        <v>3</v>
      </c>
      <c r="C7" s="51">
        <v>600</v>
      </c>
      <c r="D7" s="51">
        <v>550</v>
      </c>
      <c r="E7" s="51">
        <v>950</v>
      </c>
      <c r="F7" s="51">
        <v>0</v>
      </c>
      <c r="G7" s="51">
        <v>2600</v>
      </c>
      <c r="H7" s="51">
        <v>1100</v>
      </c>
      <c r="I7" s="51">
        <v>600</v>
      </c>
      <c r="N7">
        <v>3</v>
      </c>
      <c r="O7" s="21" t="s">
        <v>573</v>
      </c>
    </row>
    <row r="8" spans="2:15" x14ac:dyDescent="0.3">
      <c r="B8" s="21">
        <v>4</v>
      </c>
      <c r="C8" s="51">
        <v>1850</v>
      </c>
      <c r="D8" s="51">
        <v>1900</v>
      </c>
      <c r="E8" s="51">
        <v>1400</v>
      </c>
      <c r="F8" s="51">
        <v>2600</v>
      </c>
      <c r="G8" s="51">
        <v>0</v>
      </c>
      <c r="H8" s="51">
        <v>1800</v>
      </c>
      <c r="I8" s="51">
        <v>2200</v>
      </c>
      <c r="N8">
        <v>4</v>
      </c>
      <c r="O8" s="21" t="s">
        <v>574</v>
      </c>
    </row>
    <row r="9" spans="2:15" x14ac:dyDescent="0.3">
      <c r="B9" s="21">
        <v>5</v>
      </c>
      <c r="C9" s="51">
        <v>750</v>
      </c>
      <c r="D9" s="51">
        <v>820</v>
      </c>
      <c r="E9" s="51">
        <v>650</v>
      </c>
      <c r="F9" s="51">
        <v>1100</v>
      </c>
      <c r="G9" s="51">
        <v>1800</v>
      </c>
      <c r="H9" s="51">
        <v>0</v>
      </c>
      <c r="I9" s="51">
        <v>450</v>
      </c>
      <c r="N9">
        <v>5</v>
      </c>
      <c r="O9" s="21" t="s">
        <v>575</v>
      </c>
    </row>
    <row r="10" spans="2:15" x14ac:dyDescent="0.3">
      <c r="B10" s="21">
        <v>6</v>
      </c>
      <c r="C10" s="51">
        <v>700</v>
      </c>
      <c r="D10" s="51">
        <v>750</v>
      </c>
      <c r="E10" s="51">
        <v>800</v>
      </c>
      <c r="F10" s="51">
        <v>600</v>
      </c>
      <c r="G10" s="51">
        <v>2200</v>
      </c>
      <c r="H10" s="51">
        <v>450</v>
      </c>
      <c r="I10" s="51">
        <v>0</v>
      </c>
      <c r="N10">
        <v>6</v>
      </c>
      <c r="O10" s="21" t="s">
        <v>576</v>
      </c>
    </row>
    <row r="14" spans="2:15" x14ac:dyDescent="0.3">
      <c r="G14" t="str">
        <f t="shared" ref="G14:N14" si="0">VLOOKUP(G15,CITYTAB,2,FALSE)</f>
        <v>Anantapur</v>
      </c>
      <c r="H14" t="str">
        <f t="shared" si="0"/>
        <v>Tirupati</v>
      </c>
      <c r="I14" t="str">
        <f t="shared" si="0"/>
        <v>Warangal</v>
      </c>
      <c r="J14" t="str">
        <f t="shared" si="0"/>
        <v>Darbhanga</v>
      </c>
      <c r="K14" t="str">
        <f t="shared" si="0"/>
        <v>Pune</v>
      </c>
      <c r="L14" t="str">
        <f t="shared" si="0"/>
        <v>Goa</v>
      </c>
      <c r="M14" t="str">
        <f t="shared" si="0"/>
        <v>Palakkad</v>
      </c>
      <c r="N14" t="str">
        <f t="shared" si="0"/>
        <v>Anantapur</v>
      </c>
    </row>
    <row r="15" spans="2:15" x14ac:dyDescent="0.3">
      <c r="G15">
        <v>0</v>
      </c>
      <c r="H15" s="5">
        <v>1</v>
      </c>
      <c r="I15" s="5">
        <v>2</v>
      </c>
      <c r="J15" s="5">
        <v>4</v>
      </c>
      <c r="K15" s="5">
        <v>5</v>
      </c>
      <c r="L15" s="5">
        <v>6</v>
      </c>
      <c r="M15" s="5">
        <v>3</v>
      </c>
      <c r="N15">
        <v>0</v>
      </c>
    </row>
    <row r="16" spans="2:15" x14ac:dyDescent="0.3">
      <c r="G16">
        <f t="shared" ref="G16:M16" si="1">INDEX(DISTMAT,G15+1,H15+1)</f>
        <v>210</v>
      </c>
      <c r="H16">
        <f t="shared" si="1"/>
        <v>580</v>
      </c>
      <c r="I16">
        <f t="shared" si="1"/>
        <v>1400</v>
      </c>
      <c r="J16">
        <f t="shared" si="1"/>
        <v>1800</v>
      </c>
      <c r="K16">
        <f t="shared" si="1"/>
        <v>450</v>
      </c>
      <c r="L16">
        <f t="shared" si="1"/>
        <v>600</v>
      </c>
      <c r="M16">
        <f t="shared" si="1"/>
        <v>600</v>
      </c>
    </row>
    <row r="20" spans="7:7" x14ac:dyDescent="0.3">
      <c r="G20">
        <f>SUM(G16:M16)</f>
        <v>5640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9DAF9-3405-47D8-8F13-F30D01BAE2F7}">
  <dimension ref="C4:Y22"/>
  <sheetViews>
    <sheetView topLeftCell="L12" zoomScale="130" workbookViewId="0">
      <selection activeCell="S29" sqref="S29"/>
    </sheetView>
  </sheetViews>
  <sheetFormatPr defaultRowHeight="14.4" x14ac:dyDescent="0.3"/>
  <sheetData>
    <row r="4" spans="3:25" x14ac:dyDescent="0.3">
      <c r="C4" t="s">
        <v>578</v>
      </c>
      <c r="L4" t="s">
        <v>580</v>
      </c>
      <c r="M4" t="s">
        <v>581</v>
      </c>
    </row>
    <row r="5" spans="3:25" x14ac:dyDescent="0.3">
      <c r="C5" t="s">
        <v>577</v>
      </c>
      <c r="L5" t="s">
        <v>582</v>
      </c>
      <c r="M5" t="s">
        <v>583</v>
      </c>
    </row>
    <row r="7" spans="3:25" x14ac:dyDescent="0.3">
      <c r="C7" t="s">
        <v>579</v>
      </c>
      <c r="L7" t="s">
        <v>584</v>
      </c>
      <c r="M7" t="s">
        <v>585</v>
      </c>
    </row>
    <row r="8" spans="3:25" x14ac:dyDescent="0.3">
      <c r="L8" t="s">
        <v>586</v>
      </c>
      <c r="M8" t="s">
        <v>587</v>
      </c>
    </row>
    <row r="10" spans="3:25" x14ac:dyDescent="0.3">
      <c r="H10" t="s">
        <v>590</v>
      </c>
      <c r="J10">
        <v>0.97</v>
      </c>
      <c r="L10" t="s">
        <v>598</v>
      </c>
      <c r="N10">
        <f>J10*F19</f>
        <v>0.92149999999999999</v>
      </c>
      <c r="P10" t="s">
        <v>602</v>
      </c>
      <c r="Q10">
        <f>N10+N18</f>
        <v>0.92499999999999993</v>
      </c>
      <c r="T10" t="s">
        <v>594</v>
      </c>
      <c r="V10" t="s">
        <v>604</v>
      </c>
      <c r="Y10">
        <f>N10/Q10</f>
        <v>0.99621621621621625</v>
      </c>
    </row>
    <row r="12" spans="3:25" x14ac:dyDescent="0.3">
      <c r="D12" t="s">
        <v>592</v>
      </c>
      <c r="E12" t="s">
        <v>269</v>
      </c>
      <c r="F12">
        <v>0.05</v>
      </c>
    </row>
    <row r="14" spans="3:25" x14ac:dyDescent="0.3">
      <c r="H14" t="s">
        <v>588</v>
      </c>
      <c r="J14">
        <v>0.03</v>
      </c>
      <c r="L14" t="s">
        <v>599</v>
      </c>
      <c r="N14">
        <f>J14*F19</f>
        <v>2.8499999999999998E-2</v>
      </c>
      <c r="T14" t="s">
        <v>595</v>
      </c>
      <c r="V14" t="s">
        <v>605</v>
      </c>
      <c r="Y14">
        <f>N14/Q18</f>
        <v>0.37999999999999989</v>
      </c>
    </row>
    <row r="18" spans="4:25" x14ac:dyDescent="0.3">
      <c r="H18" t="s">
        <v>589</v>
      </c>
      <c r="J18">
        <v>7.0000000000000007E-2</v>
      </c>
      <c r="L18" t="s">
        <v>600</v>
      </c>
      <c r="N18">
        <f>J18*F12</f>
        <v>3.5000000000000005E-3</v>
      </c>
      <c r="P18" t="s">
        <v>603</v>
      </c>
      <c r="Q18">
        <f>N14+N22</f>
        <v>7.5000000000000011E-2</v>
      </c>
      <c r="T18" t="s">
        <v>596</v>
      </c>
      <c r="V18" t="s">
        <v>606</v>
      </c>
      <c r="Y18">
        <f>N18/Q10</f>
        <v>3.7837837837837846E-3</v>
      </c>
    </row>
    <row r="19" spans="4:25" x14ac:dyDescent="0.3">
      <c r="D19" t="s">
        <v>593</v>
      </c>
      <c r="E19" t="s">
        <v>269</v>
      </c>
      <c r="F19">
        <v>0.95</v>
      </c>
    </row>
    <row r="22" spans="4:25" x14ac:dyDescent="0.3">
      <c r="H22" t="s">
        <v>591</v>
      </c>
      <c r="J22">
        <v>0.93</v>
      </c>
      <c r="L22" t="s">
        <v>601</v>
      </c>
      <c r="N22">
        <f>J22*F12</f>
        <v>4.6500000000000007E-2</v>
      </c>
      <c r="T22" t="s">
        <v>597</v>
      </c>
      <c r="V22" t="s">
        <v>607</v>
      </c>
      <c r="Y22">
        <f>N22/Q18</f>
        <v>0.62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F55CD-15E6-429E-A850-48BCB40FDF1D}">
  <dimension ref="E8:AE28"/>
  <sheetViews>
    <sheetView zoomScale="127" workbookViewId="0">
      <selection activeCell="H17" sqref="H17"/>
    </sheetView>
  </sheetViews>
  <sheetFormatPr defaultRowHeight="14.4" x14ac:dyDescent="0.3"/>
  <cols>
    <col min="8" max="8" width="17.77734375" customWidth="1"/>
    <col min="21" max="21" width="13.33203125" customWidth="1"/>
    <col min="25" max="25" width="10.77734375" customWidth="1"/>
    <col min="31" max="31" width="24" bestFit="1" customWidth="1"/>
  </cols>
  <sheetData>
    <row r="8" spans="5:16" x14ac:dyDescent="0.3">
      <c r="E8" s="52">
        <v>0.02</v>
      </c>
      <c r="F8" s="53" t="s">
        <v>608</v>
      </c>
    </row>
    <row r="9" spans="5:16" x14ac:dyDescent="0.3">
      <c r="E9" s="45">
        <v>0.98</v>
      </c>
      <c r="F9" t="s">
        <v>609</v>
      </c>
    </row>
    <row r="11" spans="5:16" x14ac:dyDescent="0.3">
      <c r="F11" s="53" t="s">
        <v>610</v>
      </c>
      <c r="J11" s="45">
        <v>0.9</v>
      </c>
      <c r="L11" t="s">
        <v>614</v>
      </c>
    </row>
    <row r="12" spans="5:16" x14ac:dyDescent="0.3">
      <c r="F12" t="s">
        <v>611</v>
      </c>
      <c r="J12" s="45">
        <v>0.1</v>
      </c>
      <c r="L12" t="s">
        <v>615</v>
      </c>
    </row>
    <row r="14" spans="5:16" x14ac:dyDescent="0.3">
      <c r="F14" s="53" t="s">
        <v>612</v>
      </c>
      <c r="J14" s="45">
        <v>0.08</v>
      </c>
      <c r="L14" t="s">
        <v>616</v>
      </c>
    </row>
    <row r="15" spans="5:16" x14ac:dyDescent="0.3">
      <c r="F15" t="s">
        <v>613</v>
      </c>
      <c r="J15" s="45">
        <v>0.92</v>
      </c>
      <c r="L15" t="s">
        <v>617</v>
      </c>
    </row>
    <row r="16" spans="5:16" x14ac:dyDescent="0.3">
      <c r="P16" t="s">
        <v>620</v>
      </c>
    </row>
    <row r="20" spans="8:31" x14ac:dyDescent="0.3">
      <c r="K20" s="53" t="s">
        <v>610</v>
      </c>
      <c r="O20" s="45">
        <v>0.9</v>
      </c>
      <c r="Q20" s="53" t="s">
        <v>621</v>
      </c>
      <c r="U20" s="54">
        <f>O20*I21</f>
        <v>1.8000000000000002E-2</v>
      </c>
      <c r="AA20" t="s">
        <v>628</v>
      </c>
      <c r="AE20" s="56">
        <f>U20/Y21</f>
        <v>0.18672199170124484</v>
      </c>
    </row>
    <row r="21" spans="8:31" x14ac:dyDescent="0.3">
      <c r="H21" t="s">
        <v>618</v>
      </c>
      <c r="I21" s="45">
        <v>0.02</v>
      </c>
      <c r="K21" t="s">
        <v>611</v>
      </c>
      <c r="O21" s="45">
        <v>0.1</v>
      </c>
      <c r="Q21" t="s">
        <v>622</v>
      </c>
      <c r="U21" s="54">
        <f>O21*I21</f>
        <v>2E-3</v>
      </c>
      <c r="W21" t="s">
        <v>625</v>
      </c>
      <c r="Y21" s="55">
        <f>U20+U25</f>
        <v>9.64E-2</v>
      </c>
      <c r="AA21" t="s">
        <v>630</v>
      </c>
      <c r="AE21" s="57">
        <f>U21/Y25</f>
        <v>2.213368747233289E-3</v>
      </c>
    </row>
    <row r="25" spans="8:31" x14ac:dyDescent="0.3">
      <c r="H25" t="s">
        <v>619</v>
      </c>
      <c r="I25" s="45">
        <v>0.98</v>
      </c>
      <c r="K25" s="53" t="s">
        <v>612</v>
      </c>
      <c r="O25" s="45">
        <v>0.08</v>
      </c>
      <c r="Q25" s="53" t="s">
        <v>623</v>
      </c>
      <c r="U25" s="55">
        <f>O25*I25</f>
        <v>7.8399999999999997E-2</v>
      </c>
      <c r="W25" t="s">
        <v>626</v>
      </c>
      <c r="Y25" s="55">
        <f>U21+U26</f>
        <v>0.90360000000000007</v>
      </c>
      <c r="AA25" t="s">
        <v>627</v>
      </c>
      <c r="AE25" s="56">
        <f>U25/Y21</f>
        <v>0.81327800829875518</v>
      </c>
    </row>
    <row r="26" spans="8:31" x14ac:dyDescent="0.3">
      <c r="K26" t="s">
        <v>613</v>
      </c>
      <c r="O26" s="45">
        <v>0.92</v>
      </c>
      <c r="Q26" t="s">
        <v>624</v>
      </c>
      <c r="U26" s="55">
        <f>O26*I25</f>
        <v>0.90160000000000007</v>
      </c>
      <c r="AA26" t="s">
        <v>629</v>
      </c>
      <c r="AE26" s="56">
        <f>U26/Y25</f>
        <v>0.99778663125276668</v>
      </c>
    </row>
    <row r="28" spans="8:31" x14ac:dyDescent="0.3">
      <c r="AE28" s="57">
        <f>AE21+AE26</f>
        <v>1</v>
      </c>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B0855-F915-4C00-B4B7-2AD613B326A5}">
  <dimension ref="C1:Z22"/>
  <sheetViews>
    <sheetView topLeftCell="D11" zoomScale="182" workbookViewId="0">
      <selection activeCell="I23" sqref="I23"/>
    </sheetView>
  </sheetViews>
  <sheetFormatPr defaultRowHeight="14.4" x14ac:dyDescent="0.3"/>
  <sheetData>
    <row r="1" spans="3:26" x14ac:dyDescent="0.3">
      <c r="E1" s="78" t="s">
        <v>634</v>
      </c>
      <c r="F1" s="78"/>
    </row>
    <row r="2" spans="3:26" x14ac:dyDescent="0.3">
      <c r="D2" s="20"/>
      <c r="E2" s="20" t="s">
        <v>632</v>
      </c>
      <c r="F2" s="20" t="s">
        <v>633</v>
      </c>
    </row>
    <row r="3" spans="3:26" x14ac:dyDescent="0.3">
      <c r="C3" s="85" t="s">
        <v>631</v>
      </c>
      <c r="D3" s="20" t="s">
        <v>632</v>
      </c>
      <c r="E3" s="20">
        <v>18</v>
      </c>
      <c r="F3" s="20">
        <v>2</v>
      </c>
    </row>
    <row r="4" spans="3:26" x14ac:dyDescent="0.3">
      <c r="C4" s="85"/>
      <c r="D4" s="20" t="s">
        <v>633</v>
      </c>
      <c r="E4" s="20">
        <v>7</v>
      </c>
      <c r="F4" s="20">
        <v>13</v>
      </c>
    </row>
    <row r="7" spans="3:26" x14ac:dyDescent="0.3">
      <c r="D7" t="s">
        <v>635</v>
      </c>
      <c r="F7">
        <v>0.75</v>
      </c>
      <c r="G7" s="2" t="s">
        <v>646</v>
      </c>
    </row>
    <row r="8" spans="3:26" x14ac:dyDescent="0.3">
      <c r="D8" t="s">
        <v>636</v>
      </c>
      <c r="F8">
        <v>0.25</v>
      </c>
    </row>
    <row r="10" spans="3:26" x14ac:dyDescent="0.3">
      <c r="D10" t="s">
        <v>637</v>
      </c>
      <c r="G10">
        <f>18/20</f>
        <v>0.9</v>
      </c>
      <c r="I10" t="s">
        <v>641</v>
      </c>
      <c r="L10" t="s">
        <v>645</v>
      </c>
    </row>
    <row r="11" spans="3:26" x14ac:dyDescent="0.3">
      <c r="D11" t="s">
        <v>638</v>
      </c>
      <c r="G11">
        <f>2/20</f>
        <v>0.1</v>
      </c>
      <c r="I11" t="s">
        <v>642</v>
      </c>
      <c r="L11" t="s">
        <v>645</v>
      </c>
    </row>
    <row r="13" spans="3:26" x14ac:dyDescent="0.3">
      <c r="D13" t="s">
        <v>639</v>
      </c>
      <c r="G13">
        <f>7/20</f>
        <v>0.35</v>
      </c>
      <c r="I13" t="s">
        <v>643</v>
      </c>
      <c r="L13" t="s">
        <v>645</v>
      </c>
    </row>
    <row r="14" spans="3:26" x14ac:dyDescent="0.3">
      <c r="D14" t="s">
        <v>640</v>
      </c>
      <c r="G14">
        <f>13/20</f>
        <v>0.65</v>
      </c>
      <c r="I14" t="s">
        <v>644</v>
      </c>
      <c r="L14" t="s">
        <v>645</v>
      </c>
    </row>
    <row r="16" spans="3:26" x14ac:dyDescent="0.3">
      <c r="I16" t="s">
        <v>637</v>
      </c>
      <c r="L16">
        <f>18/20</f>
        <v>0.9</v>
      </c>
      <c r="N16" t="s">
        <v>647</v>
      </c>
      <c r="Q16">
        <f>L16*F18</f>
        <v>0.67500000000000004</v>
      </c>
      <c r="W16" t="s">
        <v>641</v>
      </c>
      <c r="Z16">
        <f>Q16/U17</f>
        <v>0.88524590163934425</v>
      </c>
    </row>
    <row r="17" spans="4:26" x14ac:dyDescent="0.3">
      <c r="I17" t="s">
        <v>638</v>
      </c>
      <c r="L17">
        <f>2/20</f>
        <v>0.1</v>
      </c>
      <c r="N17" t="s">
        <v>648</v>
      </c>
      <c r="Q17">
        <f>L17*F18</f>
        <v>7.5000000000000011E-2</v>
      </c>
      <c r="S17" t="s">
        <v>651</v>
      </c>
      <c r="U17">
        <f>Q16+Q19</f>
        <v>0.76250000000000007</v>
      </c>
      <c r="W17" t="s">
        <v>642</v>
      </c>
      <c r="Z17">
        <f>Q17/U19</f>
        <v>0.31578947368421056</v>
      </c>
    </row>
    <row r="18" spans="4:26" x14ac:dyDescent="0.3">
      <c r="D18" t="s">
        <v>635</v>
      </c>
      <c r="F18">
        <v>0.75</v>
      </c>
    </row>
    <row r="19" spans="4:26" x14ac:dyDescent="0.3">
      <c r="D19" t="s">
        <v>636</v>
      </c>
      <c r="F19">
        <v>0.25</v>
      </c>
      <c r="I19" t="s">
        <v>639</v>
      </c>
      <c r="L19">
        <f>7/20</f>
        <v>0.35</v>
      </c>
      <c r="N19" t="s">
        <v>649</v>
      </c>
      <c r="Q19">
        <f>L19*F19</f>
        <v>8.7499999999999994E-2</v>
      </c>
      <c r="S19" t="s">
        <v>652</v>
      </c>
      <c r="U19">
        <f>Q17+Q20</f>
        <v>0.23750000000000002</v>
      </c>
      <c r="W19" t="s">
        <v>653</v>
      </c>
      <c r="Z19">
        <f>Q19/U17</f>
        <v>0.11475409836065573</v>
      </c>
    </row>
    <row r="20" spans="4:26" x14ac:dyDescent="0.3">
      <c r="I20" t="s">
        <v>640</v>
      </c>
      <c r="L20">
        <f>13/20</f>
        <v>0.65</v>
      </c>
      <c r="N20" t="s">
        <v>650</v>
      </c>
      <c r="Q20">
        <f>L20*F19</f>
        <v>0.16250000000000001</v>
      </c>
      <c r="W20" t="s">
        <v>644</v>
      </c>
      <c r="Z20">
        <f>Q20/U19</f>
        <v>0.68421052631578949</v>
      </c>
    </row>
    <row r="22" spans="4:26" x14ac:dyDescent="0.3">
      <c r="U22">
        <f>SUM(U17:U19)</f>
        <v>1</v>
      </c>
    </row>
  </sheetData>
  <mergeCells count="2">
    <mergeCell ref="C3:C4"/>
    <mergeCell ref="E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15</vt:i4>
      </vt:variant>
    </vt:vector>
  </HeadingPairs>
  <TitlesOfParts>
    <vt:vector size="50" baseType="lpstr">
      <vt:lpstr>sumproduct </vt:lpstr>
      <vt:lpstr>MIN</vt:lpstr>
      <vt:lpstr>MAX 1</vt:lpstr>
      <vt:lpstr>MAX 2</vt:lpstr>
      <vt:lpstr>MAX 3</vt:lpstr>
      <vt:lpstr>BIN MIN</vt:lpstr>
      <vt:lpstr>BIN MIN 2</vt:lpstr>
      <vt:lpstr>BIN MAX</vt:lpstr>
      <vt:lpstr>BIN MAX2</vt:lpstr>
      <vt:lpstr>BIN MIN 3</vt:lpstr>
      <vt:lpstr>BIN MIN 4</vt:lpstr>
      <vt:lpstr>BIN MIN 4(2)</vt:lpstr>
      <vt:lpstr>MIX INT</vt:lpstr>
      <vt:lpstr>TR</vt:lpstr>
      <vt:lpstr>TS </vt:lpstr>
      <vt:lpstr>TR 2</vt:lpstr>
      <vt:lpstr>TSM</vt:lpstr>
      <vt:lpstr>JS</vt:lpstr>
      <vt:lpstr>TR 3</vt:lpstr>
      <vt:lpstr>tr 4</vt:lpstr>
      <vt:lpstr>Topics Optimistic</vt:lpstr>
      <vt:lpstr>Internal q1 TS</vt:lpstr>
      <vt:lpstr>Internal q2 TR</vt:lpstr>
      <vt:lpstr>Internal q3 Bin</vt:lpstr>
      <vt:lpstr>job sch</vt:lpstr>
      <vt:lpstr>SIMUL O</vt:lpstr>
      <vt:lpstr>SIMUL1</vt:lpstr>
      <vt:lpstr>SIMUL2</vt:lpstr>
      <vt:lpstr>SIMUL3</vt:lpstr>
      <vt:lpstr>Internal q4</vt:lpstr>
      <vt:lpstr>Internal q5</vt:lpstr>
      <vt:lpstr>TSP </vt:lpstr>
      <vt:lpstr>BAYES 1</vt:lpstr>
      <vt:lpstr>BAYES 2</vt:lpstr>
      <vt:lpstr>BAYES 3</vt:lpstr>
      <vt:lpstr>cet</vt:lpstr>
      <vt:lpstr>CITYTAB</vt:lpstr>
      <vt:lpstr>CITYTABLE</vt:lpstr>
      <vt:lpstr>ct</vt:lpstr>
      <vt:lpstr>datapoints</vt:lpstr>
      <vt:lpstr>DISTMAT</vt:lpstr>
      <vt:lpstr>JT</vt:lpstr>
      <vt:lpstr>pet</vt:lpstr>
      <vt:lpstr>profit_runs</vt:lpstr>
      <vt:lpstr>pt</vt:lpstr>
      <vt:lpstr>runs</vt:lpstr>
      <vt:lpstr>scenario_1</vt:lpstr>
      <vt:lpstr>scenario_2</vt:lpstr>
      <vt:lpstr>spt</vt:lpstr>
      <vt:lpstr>vt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2026-04-15T10:49:17Z</dcterms:modified>
</cp:coreProperties>
</file>