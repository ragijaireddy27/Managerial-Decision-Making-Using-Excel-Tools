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ba6ab29bf0fe0e6/Desktop/OR/"/>
    </mc:Choice>
  </mc:AlternateContent>
  <xr:revisionPtr revIDLastSave="34604" documentId="11_F25DC773A252ABDACC104846295A5A3A5BDE58EE" xr6:coauthVersionLast="47" xr6:coauthVersionMax="47" xr10:uidLastSave="{DC5F6301-0C33-4BAB-8AF6-303F1443C468}"/>
  <bookViews>
    <workbookView xWindow="-104" yWindow="-104" windowWidth="22326" windowHeight="11947" activeTab="1" xr2:uid="{00000000-000D-0000-FFFF-FFFF00000000}"/>
  </bookViews>
  <sheets>
    <sheet name="travelling Salesman Problem" sheetId="1" r:id="rId1"/>
    <sheet name="Sheet1" sheetId="2" r:id="rId2"/>
    <sheet name="Sheet2" sheetId="3" r:id="rId3"/>
  </sheets>
  <definedNames>
    <definedName name="cd">Sheet1!$E$7:$L$14</definedName>
    <definedName name="city_table">'travelling Salesman Problem'!$N$6:$O$13</definedName>
    <definedName name="ct">Sheet1!$N$6:$O$13</definedName>
    <definedName name="dc">Sheet1!$F$8:$L$14</definedName>
    <definedName name="solver_adj" localSheetId="1" hidden="1">Sheet1!$I$13:$N$13</definedName>
    <definedName name="solver_adj" localSheetId="0" hidden="1">'travelling Salesman Problem'!$I$20:$N$20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3</definedName>
    <definedName name="solver_eng" localSheetId="0" hidden="1">3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Sheet1!$I$13:$N$13</definedName>
    <definedName name="solver_lhs1" localSheetId="0" hidden="1">'travelling Salesman Problem'!$I$20:$N$20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1</definedName>
    <definedName name="solver_nwt" localSheetId="1" hidden="1">1</definedName>
    <definedName name="solver_nwt" localSheetId="0" hidden="1">1</definedName>
    <definedName name="solver_opt" localSheetId="1" hidden="1">Sheet1!$H$15</definedName>
    <definedName name="solver_opt" localSheetId="0" hidden="1">'travelling Salesman Problem'!$H$24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6</definedName>
    <definedName name="solver_rel1" localSheetId="0" hidden="1">6</definedName>
    <definedName name="solver_rhs1" localSheetId="1" hidden="1">"AllDifferent"</definedName>
    <definedName name="solver_rhs1" localSheetId="0" hidden="1">"AllDifferent"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J12" i="2"/>
  <c r="K12" i="2"/>
  <c r="L12" i="2"/>
  <c r="M12" i="2"/>
  <c r="N12" i="2"/>
  <c r="H12" i="2"/>
  <c r="N14" i="2" a="1"/>
  <c r="N14" i="2" s="1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H14" i="2" a="1"/>
  <c r="H14" i="2" s="1"/>
  <c r="I19" i="1"/>
  <c r="J19" i="1"/>
  <c r="K19" i="1"/>
  <c r="L19" i="1"/>
  <c r="M19" i="1"/>
  <c r="N19" i="1"/>
  <c r="H19" i="1"/>
  <c r="N21" i="1" a="1"/>
  <c r="N21" i="1" s="1"/>
  <c r="I21" i="1" a="1"/>
  <c r="I21" i="1" s="1"/>
  <c r="J21" i="1" a="1"/>
  <c r="J21" i="1" s="1"/>
  <c r="K21" i="1" a="1"/>
  <c r="K21" i="1" s="1"/>
  <c r="L21" i="1" a="1"/>
  <c r="L21" i="1" s="1"/>
  <c r="M21" i="1" a="1"/>
  <c r="M21" i="1" s="1"/>
  <c r="H21" i="1" a="1"/>
  <c r="H21" i="1" s="1"/>
  <c r="H15" i="2" l="1"/>
  <c r="H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<sst xmlns="http://schemas.openxmlformats.org/spreadsheetml/2006/main" count="36" uniqueCount="29">
  <si>
    <t>📊 Distance Matrix (km)</t>
  </si>
  <si>
    <t>From \ To</t>
  </si>
  <si>
    <t>Anantapur</t>
  </si>
  <si>
    <t>Hyderabad</t>
  </si>
  <si>
    <t>Patna</t>
  </si>
  <si>
    <t>Mirzapur</t>
  </si>
  <si>
    <t>Chapra</t>
  </si>
  <si>
    <t>Dharmavaram</t>
  </si>
  <si>
    <t>Calicut</t>
  </si>
  <si>
    <t>so.no</t>
  </si>
  <si>
    <t>city name</t>
  </si>
  <si>
    <t xml:space="preserve">select </t>
  </si>
  <si>
    <t>Warangal</t>
  </si>
  <si>
    <t>ctc</t>
  </si>
  <si>
    <t>career prospects</t>
  </si>
  <si>
    <t>location</t>
  </si>
  <si>
    <t>WLB</t>
  </si>
  <si>
    <t>IBM</t>
  </si>
  <si>
    <t>MICROSOFT</t>
  </si>
  <si>
    <t>35LPA</t>
  </si>
  <si>
    <t>43LPA</t>
  </si>
  <si>
    <t>SENIOR VP</t>
  </si>
  <si>
    <t>LITTLE GROWTH</t>
  </si>
  <si>
    <t>CONSTANT TRAVEL</t>
  </si>
  <si>
    <t>PATNA</t>
  </si>
  <si>
    <t>14 HRS</t>
  </si>
  <si>
    <t>WFM+6HRS</t>
  </si>
  <si>
    <t>MY STORY</t>
  </si>
  <si>
    <t>📊 Distance Matrix (Approx. Road Distance in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</si>
</sst>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O24"/>
  <sheetViews>
    <sheetView topLeftCell="A10" workbookViewId="0">
      <selection activeCell="J20" sqref="J20"/>
    </sheetView>
  </sheetViews>
  <sheetFormatPr defaultRowHeight="14.4" x14ac:dyDescent="0.3"/>
  <cols>
    <col min="15" max="15" width="13.19921875" customWidth="1"/>
  </cols>
  <sheetData>
    <row r="4" spans="4:15" ht="17.3" x14ac:dyDescent="0.3">
      <c r="D4" s="2" t="s">
        <v>0</v>
      </c>
    </row>
    <row r="5" spans="4:15" x14ac:dyDescent="0.3">
      <c r="L5" t="s">
        <v>11</v>
      </c>
    </row>
    <row r="6" spans="4:15" x14ac:dyDescent="0.3">
      <c r="D6" s="3" t="s">
        <v>1</v>
      </c>
      <c r="E6" s="3">
        <v>0</v>
      </c>
      <c r="F6" s="3">
        <v>1</v>
      </c>
      <c r="G6" s="3">
        <v>2</v>
      </c>
      <c r="H6" s="3">
        <v>3</v>
      </c>
      <c r="I6" s="3">
        <v>4</v>
      </c>
      <c r="J6" s="3">
        <v>5</v>
      </c>
      <c r="K6" s="3">
        <v>6</v>
      </c>
      <c r="L6" s="3">
        <v>1</v>
      </c>
      <c r="N6" s="5" t="s">
        <v>9</v>
      </c>
      <c r="O6" s="5" t="s">
        <v>10</v>
      </c>
    </row>
    <row r="7" spans="4:15" x14ac:dyDescent="0.3">
      <c r="D7" s="3">
        <v>0</v>
      </c>
      <c r="E7" s="4">
        <v>0</v>
      </c>
      <c r="F7" s="4">
        <v>360</v>
      </c>
      <c r="G7" s="4">
        <v>1750</v>
      </c>
      <c r="H7" s="4">
        <v>1500</v>
      </c>
      <c r="I7" s="4">
        <v>1650</v>
      </c>
      <c r="J7" s="4">
        <v>50</v>
      </c>
      <c r="K7" s="4">
        <v>700</v>
      </c>
      <c r="L7" s="4">
        <v>1</v>
      </c>
      <c r="N7" s="1">
        <v>1</v>
      </c>
      <c r="O7" s="6" t="s">
        <v>2</v>
      </c>
    </row>
    <row r="8" spans="4:15" x14ac:dyDescent="0.3">
      <c r="D8" s="3">
        <v>1</v>
      </c>
      <c r="E8" s="4">
        <v>360</v>
      </c>
      <c r="F8" s="4">
        <v>0</v>
      </c>
      <c r="G8" s="4">
        <v>1500</v>
      </c>
      <c r="H8" s="4">
        <v>1250</v>
      </c>
      <c r="I8" s="4">
        <v>1400</v>
      </c>
      <c r="J8" s="4">
        <v>420</v>
      </c>
      <c r="K8" s="4">
        <v>850</v>
      </c>
      <c r="L8" s="4">
        <v>1</v>
      </c>
      <c r="N8" s="1">
        <v>2</v>
      </c>
      <c r="O8" s="6" t="s">
        <v>3</v>
      </c>
    </row>
    <row r="9" spans="4:15" x14ac:dyDescent="0.3">
      <c r="D9" s="3">
        <v>2</v>
      </c>
      <c r="E9" s="4">
        <v>1750</v>
      </c>
      <c r="F9" s="4">
        <v>1500</v>
      </c>
      <c r="G9" s="4">
        <v>0</v>
      </c>
      <c r="H9" s="4">
        <v>260</v>
      </c>
      <c r="I9" s="4">
        <v>80</v>
      </c>
      <c r="J9" s="4">
        <v>1800</v>
      </c>
      <c r="K9" s="4">
        <v>2200</v>
      </c>
      <c r="L9" s="4">
        <v>1</v>
      </c>
      <c r="N9" s="1">
        <v>3</v>
      </c>
      <c r="O9" s="6" t="s">
        <v>4</v>
      </c>
    </row>
    <row r="10" spans="4:15" x14ac:dyDescent="0.3">
      <c r="D10" s="3">
        <v>3</v>
      </c>
      <c r="E10" s="4">
        <v>1500</v>
      </c>
      <c r="F10" s="4">
        <v>1250</v>
      </c>
      <c r="G10" s="4">
        <v>260</v>
      </c>
      <c r="H10" s="4">
        <v>0</v>
      </c>
      <c r="I10" s="4">
        <v>300</v>
      </c>
      <c r="J10" s="4">
        <v>1550</v>
      </c>
      <c r="K10" s="4">
        <v>2000</v>
      </c>
      <c r="L10" s="4">
        <v>1</v>
      </c>
      <c r="N10" s="1">
        <v>4</v>
      </c>
      <c r="O10" s="6" t="s">
        <v>5</v>
      </c>
    </row>
    <row r="11" spans="4:15" x14ac:dyDescent="0.3">
      <c r="D11" s="3">
        <v>4</v>
      </c>
      <c r="E11" s="4">
        <v>1650</v>
      </c>
      <c r="F11" s="4">
        <v>1400</v>
      </c>
      <c r="G11" s="4">
        <v>80</v>
      </c>
      <c r="H11" s="4">
        <v>300</v>
      </c>
      <c r="I11" s="4">
        <v>0</v>
      </c>
      <c r="J11" s="4">
        <v>1700</v>
      </c>
      <c r="K11" s="4">
        <v>2100</v>
      </c>
      <c r="L11" s="4">
        <v>1</v>
      </c>
      <c r="N11" s="1">
        <v>5</v>
      </c>
      <c r="O11" s="6" t="s">
        <v>6</v>
      </c>
    </row>
    <row r="12" spans="4:15" x14ac:dyDescent="0.3">
      <c r="D12" s="3">
        <v>5</v>
      </c>
      <c r="E12" s="4">
        <v>50</v>
      </c>
      <c r="F12" s="4">
        <v>420</v>
      </c>
      <c r="G12" s="4">
        <v>1800</v>
      </c>
      <c r="H12" s="4">
        <v>1550</v>
      </c>
      <c r="I12" s="4">
        <v>1700</v>
      </c>
      <c r="J12" s="4">
        <v>0</v>
      </c>
      <c r="K12" s="4">
        <v>720</v>
      </c>
      <c r="L12" s="4">
        <v>1</v>
      </c>
      <c r="N12" s="1">
        <v>6</v>
      </c>
      <c r="O12" s="6" t="s">
        <v>7</v>
      </c>
    </row>
    <row r="13" spans="4:15" x14ac:dyDescent="0.3">
      <c r="D13" s="3">
        <v>6</v>
      </c>
      <c r="E13" s="4">
        <v>700</v>
      </c>
      <c r="F13" s="4">
        <v>850</v>
      </c>
      <c r="G13" s="4">
        <v>2200</v>
      </c>
      <c r="H13" s="4">
        <v>2000</v>
      </c>
      <c r="I13" s="4">
        <v>2100</v>
      </c>
      <c r="J13" s="4">
        <v>720</v>
      </c>
      <c r="K13" s="4">
        <v>0</v>
      </c>
      <c r="L13" s="4">
        <v>1</v>
      </c>
      <c r="N13" s="1">
        <v>7</v>
      </c>
      <c r="O13" s="6" t="s">
        <v>8</v>
      </c>
    </row>
    <row r="19" spans="8:15" x14ac:dyDescent="0.3">
      <c r="H19" t="str">
        <f t="shared" ref="H19:N19" si="0">VLOOKUP(H20+1,city_table,2,FALSE)</f>
        <v>Anantapur</v>
      </c>
      <c r="I19" t="str">
        <f t="shared" si="0"/>
        <v>Dharmavaram</v>
      </c>
      <c r="J19" t="str">
        <f t="shared" si="0"/>
        <v>Calicut</v>
      </c>
      <c r="K19" t="str">
        <f t="shared" si="0"/>
        <v>Chapra</v>
      </c>
      <c r="L19" t="str">
        <f t="shared" si="0"/>
        <v>Patna</v>
      </c>
      <c r="M19" t="str">
        <f t="shared" si="0"/>
        <v>Mirzapur</v>
      </c>
      <c r="N19" t="str">
        <f t="shared" si="0"/>
        <v>Hyderabad</v>
      </c>
    </row>
    <row r="20" spans="8:15" x14ac:dyDescent="0.3">
      <c r="H20">
        <v>0</v>
      </c>
      <c r="I20">
        <v>5</v>
      </c>
      <c r="J20">
        <v>6</v>
      </c>
      <c r="K20">
        <v>4</v>
      </c>
      <c r="L20">
        <v>2</v>
      </c>
      <c r="M20">
        <v>3</v>
      </c>
      <c r="N20">
        <v>1</v>
      </c>
      <c r="O20">
        <v>0</v>
      </c>
    </row>
    <row r="21" spans="8:15" x14ac:dyDescent="0.3">
      <c r="H21" cm="1">
        <f t="array" ref="H21">INDEX($E$7:$K$13,H20+1,I20+1)</f>
        <v>50</v>
      </c>
      <c r="I21" cm="1">
        <f t="array" ref="I21">INDEX($E$7:$K$13,I20+1,J20+1)</f>
        <v>720</v>
      </c>
      <c r="J21" cm="1">
        <f t="array" ref="J21">INDEX($E$7:$K$13,J20+1,K20+1)</f>
        <v>2100</v>
      </c>
      <c r="K21" cm="1">
        <f t="array" ref="K21">INDEX($E$7:$K$13,K20+1,L20+1)</f>
        <v>80</v>
      </c>
      <c r="L21" cm="1">
        <f t="array" ref="L21">INDEX($E$7:$K$13,L20+1,M20+1)</f>
        <v>260</v>
      </c>
      <c r="M21" cm="1">
        <f t="array" ref="M21">INDEX($E$7:$K$13,M20+1,N20+1)</f>
        <v>1250</v>
      </c>
      <c r="N21" cm="1">
        <f t="array" ref="N21">INDEX($E$7:$K$13,N20+1,O20+1)</f>
        <v>360</v>
      </c>
    </row>
    <row r="24" spans="8:15" x14ac:dyDescent="0.3">
      <c r="H24">
        <f>SUM(H21:N21)</f>
        <v>4820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B214-750F-4CD4-9E32-FBD103C38C9E}">
  <dimension ref="E2:Q16"/>
  <sheetViews>
    <sheetView tabSelected="1" topLeftCell="E7" workbookViewId="0">
      <selection activeCell="L20" sqref="L20"/>
    </sheetView>
  </sheetViews>
  <sheetFormatPr defaultRowHeight="14.4" x14ac:dyDescent="0.3"/>
  <cols>
    <col min="5" max="5" width="11.19921875" customWidth="1"/>
    <col min="6" max="7" width="9.59765625" customWidth="1"/>
    <col min="8" max="8" width="9.09765625" bestFit="1" customWidth="1"/>
    <col min="9" max="12" width="9.59765625" customWidth="1"/>
    <col min="19" max="19" width="11.8984375" customWidth="1"/>
  </cols>
  <sheetData>
    <row r="2" spans="5:17" ht="17.3" x14ac:dyDescent="0.3">
      <c r="G2" s="2" t="s">
        <v>28</v>
      </c>
    </row>
    <row r="4" spans="5:17" ht="28.8" x14ac:dyDescent="0.3">
      <c r="E4" s="2"/>
      <c r="G4" s="3" t="s">
        <v>1</v>
      </c>
      <c r="H4">
        <v>0</v>
      </c>
      <c r="I4" s="4">
        <v>1</v>
      </c>
      <c r="J4" s="4">
        <v>2</v>
      </c>
      <c r="K4">
        <v>3</v>
      </c>
      <c r="L4" s="4">
        <v>4</v>
      </c>
      <c r="M4" s="4">
        <v>5</v>
      </c>
      <c r="N4">
        <v>6</v>
      </c>
      <c r="P4">
        <v>0</v>
      </c>
      <c r="Q4" s="7" t="s">
        <v>2</v>
      </c>
    </row>
    <row r="5" spans="5:17" ht="28.8" x14ac:dyDescent="0.3">
      <c r="E5" s="2"/>
      <c r="G5">
        <v>0</v>
      </c>
      <c r="H5" s="4">
        <v>0</v>
      </c>
      <c r="I5" s="4">
        <v>360</v>
      </c>
      <c r="J5" s="4">
        <v>1650</v>
      </c>
      <c r="K5" s="4">
        <v>1450</v>
      </c>
      <c r="L5" s="4">
        <v>1680</v>
      </c>
      <c r="M5" s="4">
        <v>40</v>
      </c>
      <c r="N5" s="4">
        <v>520</v>
      </c>
      <c r="P5" s="4">
        <v>1</v>
      </c>
      <c r="Q5" s="7" t="s">
        <v>3</v>
      </c>
    </row>
    <row r="6" spans="5:17" x14ac:dyDescent="0.3">
      <c r="G6" s="4">
        <v>1</v>
      </c>
      <c r="H6" s="4">
        <v>360</v>
      </c>
      <c r="I6" s="4">
        <v>0</v>
      </c>
      <c r="J6" s="4">
        <v>1450</v>
      </c>
      <c r="K6" s="4">
        <v>1250</v>
      </c>
      <c r="L6" s="4">
        <v>1480</v>
      </c>
      <c r="M6" s="4">
        <v>330</v>
      </c>
      <c r="N6" s="4">
        <v>150</v>
      </c>
      <c r="P6" s="4">
        <v>2</v>
      </c>
      <c r="Q6" s="7" t="s">
        <v>4</v>
      </c>
    </row>
    <row r="7" spans="5:17" x14ac:dyDescent="0.3">
      <c r="E7" s="3"/>
      <c r="F7" s="4"/>
      <c r="G7" s="4">
        <v>2</v>
      </c>
      <c r="H7" s="4">
        <v>1650</v>
      </c>
      <c r="I7" s="4">
        <v>1450</v>
      </c>
      <c r="J7" s="4">
        <v>0</v>
      </c>
      <c r="K7" s="4">
        <v>260</v>
      </c>
      <c r="L7" s="4">
        <v>70</v>
      </c>
      <c r="M7" s="4">
        <v>1680</v>
      </c>
      <c r="N7" s="4">
        <v>1550</v>
      </c>
      <c r="O7" s="7"/>
      <c r="P7">
        <v>3</v>
      </c>
      <c r="Q7" s="7" t="s">
        <v>5</v>
      </c>
    </row>
    <row r="8" spans="5:17" x14ac:dyDescent="0.3">
      <c r="E8" s="4"/>
      <c r="F8" s="4"/>
      <c r="G8">
        <v>3</v>
      </c>
      <c r="H8" s="4">
        <v>1450</v>
      </c>
      <c r="I8" s="4">
        <v>1250</v>
      </c>
      <c r="J8" s="4">
        <v>260</v>
      </c>
      <c r="K8" s="4">
        <v>0</v>
      </c>
      <c r="L8" s="4">
        <v>300</v>
      </c>
      <c r="M8" s="4">
        <v>1480</v>
      </c>
      <c r="N8" s="4">
        <v>1350</v>
      </c>
      <c r="O8" s="7"/>
      <c r="P8" s="4">
        <v>4</v>
      </c>
      <c r="Q8" s="7" t="s">
        <v>6</v>
      </c>
    </row>
    <row r="9" spans="5:17" ht="28.8" x14ac:dyDescent="0.3">
      <c r="E9" s="4"/>
      <c r="F9" s="4"/>
      <c r="G9" s="4">
        <v>4</v>
      </c>
      <c r="H9" s="4">
        <v>1680</v>
      </c>
      <c r="I9" s="4">
        <v>1480</v>
      </c>
      <c r="J9" s="4">
        <v>70</v>
      </c>
      <c r="K9" s="4">
        <v>300</v>
      </c>
      <c r="L9" s="4">
        <v>0</v>
      </c>
      <c r="M9" s="4">
        <v>1700</v>
      </c>
      <c r="N9" s="4">
        <v>1580</v>
      </c>
      <c r="O9" s="7"/>
      <c r="P9" s="4">
        <v>5</v>
      </c>
      <c r="Q9" s="7" t="s">
        <v>7</v>
      </c>
    </row>
    <row r="10" spans="5:17" x14ac:dyDescent="0.3">
      <c r="E10" s="4"/>
      <c r="F10" s="4"/>
      <c r="G10" s="4">
        <v>5</v>
      </c>
      <c r="H10" s="4">
        <v>40</v>
      </c>
      <c r="I10" s="4">
        <v>330</v>
      </c>
      <c r="J10" s="4">
        <v>1680</v>
      </c>
      <c r="K10" s="4">
        <v>1480</v>
      </c>
      <c r="L10" s="4">
        <v>1700</v>
      </c>
      <c r="M10" s="4">
        <v>0</v>
      </c>
      <c r="N10" s="4">
        <v>500</v>
      </c>
      <c r="O10" s="7"/>
      <c r="P10">
        <v>6</v>
      </c>
      <c r="Q10" s="7" t="s">
        <v>12</v>
      </c>
    </row>
    <row r="11" spans="5:17" x14ac:dyDescent="0.3">
      <c r="E11" s="4"/>
      <c r="F11" s="4"/>
      <c r="G11">
        <v>6</v>
      </c>
      <c r="H11" s="4">
        <v>520</v>
      </c>
      <c r="I11" s="4">
        <v>150</v>
      </c>
      <c r="J11" s="4">
        <v>1550</v>
      </c>
      <c r="K11" s="4">
        <v>1350</v>
      </c>
      <c r="L11" s="4">
        <v>1580</v>
      </c>
      <c r="M11" s="4">
        <v>500</v>
      </c>
      <c r="N11" s="4">
        <v>0</v>
      </c>
      <c r="O11" s="7"/>
    </row>
    <row r="12" spans="5:17" ht="28.8" x14ac:dyDescent="0.3">
      <c r="E12" s="4"/>
      <c r="F12" s="4"/>
      <c r="G12" s="4"/>
      <c r="H12" s="4" t="str">
        <f>VLOOKUP(H13,$P$4:$Q$10,2,FALSE)</f>
        <v>Anantapur</v>
      </c>
      <c r="I12" s="4" t="str">
        <f t="shared" ref="I12:N12" si="0">VLOOKUP(I13,$P$4:$Q$10,2,FALSE)</f>
        <v>Mirzapur</v>
      </c>
      <c r="J12" s="4" t="str">
        <f t="shared" si="0"/>
        <v>Patna</v>
      </c>
      <c r="K12" s="4" t="str">
        <f t="shared" si="0"/>
        <v>Chapra</v>
      </c>
      <c r="L12" s="4" t="str">
        <f t="shared" si="0"/>
        <v>Warangal</v>
      </c>
      <c r="M12" s="4" t="str">
        <f t="shared" si="0"/>
        <v>Hyderabad</v>
      </c>
      <c r="N12" s="4" t="str">
        <f t="shared" si="0"/>
        <v>Dharmavaram</v>
      </c>
      <c r="O12" s="7"/>
    </row>
    <row r="13" spans="5:17" x14ac:dyDescent="0.3">
      <c r="E13" s="4"/>
      <c r="F13" s="4"/>
      <c r="G13" s="4"/>
      <c r="H13">
        <v>0</v>
      </c>
      <c r="I13" s="4">
        <v>3</v>
      </c>
      <c r="J13" s="4">
        <v>2</v>
      </c>
      <c r="K13">
        <v>4</v>
      </c>
      <c r="L13" s="4">
        <v>6</v>
      </c>
      <c r="M13" s="4">
        <v>1</v>
      </c>
      <c r="N13">
        <v>5</v>
      </c>
      <c r="O13" s="9">
        <v>0</v>
      </c>
    </row>
    <row r="14" spans="5:17" x14ac:dyDescent="0.3">
      <c r="E14" s="4"/>
      <c r="F14" s="4"/>
      <c r="G14" s="4"/>
      <c r="H14" s="4" cm="1">
        <f t="array" ref="H14">INDEX($H$5:$N$11,H13+1,I13+1)</f>
        <v>1450</v>
      </c>
      <c r="I14" s="4" cm="1">
        <f t="array" ref="I14">INDEX($H$5:$N$11,I13+1,J13+1)</f>
        <v>260</v>
      </c>
      <c r="J14" s="4" cm="1">
        <f t="array" ref="J14">INDEX($H$5:$N$11,J13+1,K13+1)</f>
        <v>70</v>
      </c>
      <c r="K14" s="4" cm="1">
        <f t="array" ref="K14">INDEX($H$5:$N$11,K13+1,L13+1)</f>
        <v>1580</v>
      </c>
      <c r="L14" s="4" cm="1">
        <f t="array" ref="L14">INDEX($H$5:$N$11,L13+1,M13+1)</f>
        <v>150</v>
      </c>
      <c r="M14" s="4" cm="1">
        <f t="array" ref="M14">INDEX($H$5:$N$11,M13+1,N13+1)</f>
        <v>330</v>
      </c>
      <c r="N14" s="4" cm="1">
        <f t="array" ref="N14">INDEX($H$5:$N$11,N13+1,O13+1)</f>
        <v>40</v>
      </c>
    </row>
    <row r="15" spans="5:17" x14ac:dyDescent="0.3">
      <c r="H15">
        <f>SUM(H14:N14)</f>
        <v>3880</v>
      </c>
    </row>
    <row r="16" spans="5:17" x14ac:dyDescent="0.3">
      <c r="F16" s="4"/>
      <c r="G16" s="8"/>
      <c r="H16" s="8"/>
      <c r="I16" s="8"/>
      <c r="J16" s="8"/>
      <c r="K16" s="8"/>
      <c r="L16" s="8"/>
      <c r="M1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AD-E4C7-407E-B102-FC9F908AEDCA}">
  <dimension ref="C10:E16"/>
  <sheetViews>
    <sheetView topLeftCell="A4" workbookViewId="0">
      <selection activeCell="L9" sqref="L9"/>
    </sheetView>
  </sheetViews>
  <sheetFormatPr defaultRowHeight="14.4" x14ac:dyDescent="0.3"/>
  <cols>
    <col min="3" max="4" width="20.3984375" customWidth="1"/>
  </cols>
  <sheetData>
    <row r="10" spans="3:5" x14ac:dyDescent="0.3">
      <c r="C10" t="s">
        <v>27</v>
      </c>
    </row>
    <row r="12" spans="3:5" x14ac:dyDescent="0.3">
      <c r="D12" t="s">
        <v>17</v>
      </c>
      <c r="E12" t="s">
        <v>18</v>
      </c>
    </row>
    <row r="13" spans="3:5" x14ac:dyDescent="0.3">
      <c r="C13" t="s">
        <v>13</v>
      </c>
      <c r="D13" t="s">
        <v>19</v>
      </c>
      <c r="E13" t="s">
        <v>20</v>
      </c>
    </row>
    <row r="14" spans="3:5" x14ac:dyDescent="0.3">
      <c r="C14" t="s">
        <v>14</v>
      </c>
      <c r="D14" t="s">
        <v>21</v>
      </c>
      <c r="E14" t="s">
        <v>22</v>
      </c>
    </row>
    <row r="15" spans="3:5" x14ac:dyDescent="0.3">
      <c r="C15" t="s">
        <v>15</v>
      </c>
      <c r="D15" t="s">
        <v>23</v>
      </c>
      <c r="E15" t="s">
        <v>24</v>
      </c>
    </row>
    <row r="16" spans="3:5" x14ac:dyDescent="0.3">
      <c r="C16" t="s">
        <v>16</v>
      </c>
      <c r="D16" t="s">
        <v>25</v>
      </c>
      <c r="E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travelling Salesman Problem</vt:lpstr>
      <vt:lpstr>Sheet1</vt:lpstr>
      <vt:lpstr>Sheet2</vt:lpstr>
      <vt:lpstr>cd</vt:lpstr>
      <vt:lpstr>city_table</vt:lpstr>
      <vt:lpstr>ct</vt:lpstr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Reddy</dc:creator>
  <cp:lastModifiedBy>Jayanth Reddy</cp:lastModifiedBy>
  <dcterms:created xsi:type="dcterms:W3CDTF">2015-06-05T18:17:20Z</dcterms:created>
  <dcterms:modified xsi:type="dcterms:W3CDTF">2026-03-26T16:08:17Z</dcterms:modified>
</cp:coreProperties>
</file>