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n\Downloads\"/>
    </mc:Choice>
  </mc:AlternateContent>
  <xr:revisionPtr revIDLastSave="0" documentId="13_ncr:1_{34E3651A-E925-4EC8-BED5-C099F3A98747}" xr6:coauthVersionLast="47" xr6:coauthVersionMax="47" xr10:uidLastSave="{00000000-0000-0000-0000-000000000000}"/>
  <bookViews>
    <workbookView xWindow="-104" yWindow="-104" windowWidth="22326" windowHeight="11947" firstSheet="1" activeTab="5" xr2:uid="{FF77888D-296E-408A-B2F0-1F6FF4D89042}"/>
  </bookViews>
  <sheets>
    <sheet name="q1 15 M" sheetId="1" r:id="rId1"/>
    <sheet name="q2 15 M" sheetId="2" r:id="rId2"/>
    <sheet name="Sheet1" sheetId="4" r:id="rId3"/>
    <sheet name="Bonus 5 Marks for attempting" sheetId="3" r:id="rId4"/>
    <sheet name="Sheet2" sheetId="5" r:id="rId5"/>
    <sheet name="Sheet3" sheetId="8" r:id="rId6"/>
    <sheet name="home work" sheetId="6" r:id="rId7"/>
    <sheet name="monti carlo simulation" sheetId="7" r:id="rId8"/>
  </sheets>
  <definedNames>
    <definedName name="datapoints">'monti carlo simulation'!$S$1:$S$5001</definedName>
    <definedName name="solver_adj" localSheetId="3" hidden="1">'Bonus 5 Marks for attempting'!$AE$5:$AE$10</definedName>
    <definedName name="solver_adj" localSheetId="6" hidden="1">'home work'!$S$11:$S$18</definedName>
    <definedName name="solver_adj" localSheetId="0" hidden="1">'q1 15 M'!$L$7:$M$8,'q1 15 M'!$R$7:$T$8</definedName>
    <definedName name="solver_adj" localSheetId="1" hidden="1">'q2 15 M'!$O$12:$Q$14</definedName>
    <definedName name="solver_adj" localSheetId="2" hidden="1">Sheet1!$B$17:$D$19</definedName>
    <definedName name="solver_adj" localSheetId="4" hidden="1">Sheet2!$K$2:$O$2</definedName>
    <definedName name="solver_cvg" localSheetId="3" hidden="1">0.0001</definedName>
    <definedName name="solver_cvg" localSheetId="6" hidden="1">0.0001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drv" localSheetId="3" hidden="1">1</definedName>
    <definedName name="solver_drv" localSheetId="6" hidden="1">1</definedName>
    <definedName name="solver_drv" localSheetId="0" hidden="1">2</definedName>
    <definedName name="solver_drv" localSheetId="1" hidden="1">1</definedName>
    <definedName name="solver_drv" localSheetId="2" hidden="1">1</definedName>
    <definedName name="solver_drv" localSheetId="4" hidden="1">1</definedName>
    <definedName name="solver_eng" localSheetId="3" hidden="1">2</definedName>
    <definedName name="solver_eng" localSheetId="6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4" hidden="1">2</definedName>
    <definedName name="solver_est" localSheetId="3" hidden="1">1</definedName>
    <definedName name="solver_est" localSheetId="6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4" hidden="1">1</definedName>
    <definedName name="solver_itr" localSheetId="3" hidden="1">2147483647</definedName>
    <definedName name="solver_itr" localSheetId="6" hidden="1">2147483647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4" hidden="1">2147483647</definedName>
    <definedName name="solver_lhs1" localSheetId="3" hidden="1">'Bonus 5 Marks for attempting'!$AE$5:$AE$10</definedName>
    <definedName name="solver_lhs1" localSheetId="6" hidden="1">'home work'!$R$24:$R$28</definedName>
    <definedName name="solver_lhs1" localSheetId="0" hidden="1">'q1 15 M'!$L$30:$L$31</definedName>
    <definedName name="solver_lhs1" localSheetId="1" hidden="1">'q2 15 M'!$O$12:$Q$14</definedName>
    <definedName name="solver_lhs1" localSheetId="2" hidden="1">Sheet1!$B$27:$B$32</definedName>
    <definedName name="solver_lhs1" localSheetId="4" hidden="1">Sheet2!$K$24:$K$33</definedName>
    <definedName name="solver_lhs2" localSheetId="3" hidden="1">'Bonus 5 Marks for attempting'!$Y$23:$Y$25</definedName>
    <definedName name="solver_lhs2" localSheetId="6" hidden="1">'home work'!$R$29:$R$30</definedName>
    <definedName name="solver_lhs2" localSheetId="0" hidden="1">'q1 15 M'!$L$32:$L$36</definedName>
    <definedName name="solver_lhs2" localSheetId="1" hidden="1">'q2 15 M'!$O$18:$O$20</definedName>
    <definedName name="solver_lhs2" localSheetId="2" hidden="1">Sheet1!$B$30:$B$32</definedName>
    <definedName name="solver_lhs3" localSheetId="3" hidden="1">'Bonus 5 Marks for attempting'!$Y$26:$Y$27</definedName>
    <definedName name="solver_lhs3" localSheetId="6" hidden="1">'home work'!$S$11:$S$18</definedName>
    <definedName name="solver_lhs3" localSheetId="1" hidden="1">'q2 15 M'!$O$21:$O$23</definedName>
    <definedName name="solver_lhs4" localSheetId="3" hidden="1">'Bonus 5 Marks for attempting'!$R$5:$R$10</definedName>
    <definedName name="solver_mip" localSheetId="3" hidden="1">2147483647</definedName>
    <definedName name="solver_mip" localSheetId="6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ni" localSheetId="3" hidden="1">30</definedName>
    <definedName name="solver_mni" localSheetId="6" hidden="1">30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rt" localSheetId="3" hidden="1">0.075</definedName>
    <definedName name="solver_mrt" localSheetId="6" hidden="1">0.075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sl" localSheetId="3" hidden="1">2</definedName>
    <definedName name="solver_msl" localSheetId="6" hidden="1">2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neg" localSheetId="3" hidden="1">1</definedName>
    <definedName name="solver_neg" localSheetId="6" hidden="1">1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od" localSheetId="3" hidden="1">2147483647</definedName>
    <definedName name="solver_nod" localSheetId="6" hidden="1">2147483647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um" localSheetId="3" hidden="1">3</definedName>
    <definedName name="solver_num" localSheetId="6" hidden="1">3</definedName>
    <definedName name="solver_num" localSheetId="0" hidden="1">2</definedName>
    <definedName name="solver_num" localSheetId="1" hidden="1">3</definedName>
    <definedName name="solver_num" localSheetId="2" hidden="1">1</definedName>
    <definedName name="solver_num" localSheetId="4" hidden="1">1</definedName>
    <definedName name="solver_nwt" localSheetId="3" hidden="1">1</definedName>
    <definedName name="solver_nwt" localSheetId="6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4" hidden="1">1</definedName>
    <definedName name="solver_opt" localSheetId="3" hidden="1">'Bonus 5 Marks for attempting'!$Z$17</definedName>
    <definedName name="solver_opt" localSheetId="6" hidden="1">'home work'!$S$21</definedName>
    <definedName name="solver_opt" localSheetId="0" hidden="1">'q1 15 M'!$N$26</definedName>
    <definedName name="solver_opt" localSheetId="1" hidden="1">'q2 15 M'!$R$16</definedName>
    <definedName name="solver_opt" localSheetId="2" hidden="1">Sheet1!$A$24</definedName>
    <definedName name="solver_opt" localSheetId="4" hidden="1">Sheet2!$L$19</definedName>
    <definedName name="solver_pre" localSheetId="3" hidden="1">0.000001</definedName>
    <definedName name="solver_pre" localSheetId="6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rbv" localSheetId="3" hidden="1">1</definedName>
    <definedName name="solver_rbv" localSheetId="6" hidden="1">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bv" localSheetId="4" hidden="1">1</definedName>
    <definedName name="solver_rel1" localSheetId="3" hidden="1">5</definedName>
    <definedName name="solver_rel1" localSheetId="6" hidden="1">2</definedName>
    <definedName name="solver_rel1" localSheetId="0" hidden="1">1</definedName>
    <definedName name="solver_rel1" localSheetId="1" hidden="1">4</definedName>
    <definedName name="solver_rel1" localSheetId="2" hidden="1">2</definedName>
    <definedName name="solver_rel1" localSheetId="4" hidden="1">3</definedName>
    <definedName name="solver_rel2" localSheetId="3" hidden="1">1</definedName>
    <definedName name="solver_rel2" localSheetId="6" hidden="1">1</definedName>
    <definedName name="solver_rel2" localSheetId="0" hidden="1">3</definedName>
    <definedName name="solver_rel2" localSheetId="1" hidden="1">3</definedName>
    <definedName name="solver_rel2" localSheetId="2" hidden="1">2</definedName>
    <definedName name="solver_rel3" localSheetId="3" hidden="1">3</definedName>
    <definedName name="solver_rel3" localSheetId="6" hidden="1">3</definedName>
    <definedName name="solver_rel3" localSheetId="1" hidden="1">1</definedName>
    <definedName name="solver_rel4" localSheetId="3" hidden="1">5</definedName>
    <definedName name="solver_rhs1" localSheetId="3" hidden="1">"binary"</definedName>
    <definedName name="solver_rhs1" localSheetId="6" hidden="1">'home work'!$T$24:$T$28</definedName>
    <definedName name="solver_rhs1" localSheetId="0" hidden="1">'q1 15 M'!$N$30:$N$31</definedName>
    <definedName name="solver_rhs1" localSheetId="1" hidden="1">"integer"</definedName>
    <definedName name="solver_rhs1" localSheetId="2" hidden="1">Sheet1!$D$27:$D$32</definedName>
    <definedName name="solver_rhs1" localSheetId="4" hidden="1">Sheet2!$M$24:$M$33</definedName>
    <definedName name="solver_rhs2" localSheetId="3" hidden="1">'Bonus 5 Marks for attempting'!$AA$23:$AA$25</definedName>
    <definedName name="solver_rhs2" localSheetId="6" hidden="1">'home work'!$T$29:$T$30</definedName>
    <definedName name="solver_rhs2" localSheetId="0" hidden="1">'q1 15 M'!$N$32:$N$36</definedName>
    <definedName name="solver_rhs2" localSheetId="1" hidden="1">'q2 15 M'!$Q$18:$Q$20</definedName>
    <definedName name="solver_rhs2" localSheetId="2" hidden="1">Sheet1!$D$30:$D$32</definedName>
    <definedName name="solver_rhs3" localSheetId="3" hidden="1">'Bonus 5 Marks for attempting'!$AA$26:$AA$27</definedName>
    <definedName name="solver_rhs3" localSheetId="6" hidden="1">0</definedName>
    <definedName name="solver_rhs3" localSheetId="1" hidden="1">'q2 15 M'!$Q$21:$Q$23</definedName>
    <definedName name="solver_rhs4" localSheetId="3" hidden="1">"binary"</definedName>
    <definedName name="solver_rlx" localSheetId="3" hidden="1">2</definedName>
    <definedName name="solver_rlx" localSheetId="6" hidden="1">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4" hidden="1">2</definedName>
    <definedName name="solver_rsd" localSheetId="3" hidden="1">0</definedName>
    <definedName name="solver_rsd" localSheetId="6" hidden="1">0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scl" localSheetId="3" hidden="1">1</definedName>
    <definedName name="solver_scl" localSheetId="6" hidden="1">1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cl" localSheetId="4" hidden="1">1</definedName>
    <definedName name="solver_sho" localSheetId="3" hidden="1">2</definedName>
    <definedName name="solver_sho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sz" localSheetId="3" hidden="1">100</definedName>
    <definedName name="solver_ssz" localSheetId="6" hidden="1">100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tim" localSheetId="3" hidden="1">2147483647</definedName>
    <definedName name="solver_tim" localSheetId="6" hidden="1">2147483647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4" hidden="1">2147483647</definedName>
    <definedName name="solver_tol" localSheetId="3" hidden="1">0.01</definedName>
    <definedName name="solver_tol" localSheetId="6" hidden="1">0.01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4" hidden="1">0.01</definedName>
    <definedName name="solver_typ" localSheetId="3" hidden="1">1</definedName>
    <definedName name="solver_typ" localSheetId="6" hidden="1">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val" localSheetId="3" hidden="1">0</definedName>
    <definedName name="solver_val" localSheetId="6" hidden="1">0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6" hidden="1">3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8" l="1"/>
  <c r="F30" i="8"/>
  <c r="F26" i="8"/>
  <c r="H23" i="8"/>
  <c r="F23" i="8"/>
  <c r="G19" i="8"/>
  <c r="G18" i="8"/>
  <c r="H16" i="8"/>
  <c r="V8" i="7" l="1"/>
  <c r="V13" i="7"/>
  <c r="V15" i="7"/>
  <c r="V11" i="7"/>
  <c r="V4" i="7"/>
  <c r="V5" i="7" s="1"/>
  <c r="V3" i="7"/>
  <c r="V2" i="7"/>
  <c r="I4" i="7" l="1"/>
  <c r="I3" i="7"/>
  <c r="I5" i="7"/>
  <c r="I6" i="7"/>
  <c r="I7" i="7"/>
  <c r="K14" i="7"/>
  <c r="J14" i="7"/>
  <c r="K11" i="7"/>
  <c r="J11" i="7"/>
  <c r="J12" i="7"/>
  <c r="K12" i="7"/>
  <c r="G14" i="7" a="1"/>
  <c r="G14" i="7" s="1"/>
  <c r="G12" i="7"/>
  <c r="G13" i="7"/>
  <c r="G11" i="7"/>
  <c r="F15" i="7"/>
  <c r="F14" i="7"/>
  <c r="F12" i="7"/>
  <c r="F13" i="7"/>
  <c r="F11" i="7"/>
  <c r="R30" i="6"/>
  <c r="R29" i="6"/>
  <c r="R28" i="6"/>
  <c r="R27" i="6"/>
  <c r="T26" i="6"/>
  <c r="R26" i="6"/>
  <c r="R25" i="6"/>
  <c r="R24" i="6"/>
  <c r="S21" i="6"/>
  <c r="L19" i="5"/>
  <c r="M25" i="5"/>
  <c r="M26" i="5"/>
  <c r="M27" i="5"/>
  <c r="M28" i="5"/>
  <c r="M29" i="5"/>
  <c r="M30" i="5"/>
  <c r="M31" i="5"/>
  <c r="M32" i="5"/>
  <c r="M33" i="5"/>
  <c r="M24" i="5"/>
  <c r="K24" i="5"/>
  <c r="O12" i="5"/>
  <c r="K33" i="5" s="1"/>
  <c r="O11" i="5"/>
  <c r="N9" i="5"/>
  <c r="N10" i="5"/>
  <c r="K31" i="5" s="1"/>
  <c r="N11" i="5"/>
  <c r="N8" i="5"/>
  <c r="M7" i="5"/>
  <c r="M8" i="5"/>
  <c r="K29" i="5" s="1"/>
  <c r="M9" i="5"/>
  <c r="K30" i="5" s="1"/>
  <c r="M6" i="5"/>
  <c r="L5" i="5"/>
  <c r="L6" i="5"/>
  <c r="L7" i="5"/>
  <c r="L4" i="5"/>
  <c r="K4" i="5"/>
  <c r="K5" i="5"/>
  <c r="K6" i="5"/>
  <c r="K3" i="5"/>
  <c r="Y27" i="3"/>
  <c r="Y26" i="3"/>
  <c r="Y25" i="3"/>
  <c r="Z15" i="3"/>
  <c r="Z14" i="3"/>
  <c r="Z13" i="3"/>
  <c r="AA24" i="3"/>
  <c r="Y24" i="3"/>
  <c r="Y23" i="3"/>
  <c r="W15" i="3"/>
  <c r="Q24" i="3"/>
  <c r="O24" i="3"/>
  <c r="M15" i="3"/>
  <c r="L3" i="7" l="1"/>
  <c r="L2" i="7"/>
  <c r="K32" i="5"/>
  <c r="K25" i="5"/>
  <c r="K28" i="5"/>
  <c r="K27" i="5"/>
  <c r="K26" i="5"/>
  <c r="Z17" i="3"/>
  <c r="O27" i="3"/>
  <c r="O26" i="3"/>
  <c r="O25" i="3"/>
  <c r="L5" i="7" l="1"/>
  <c r="Q2" i="7" s="1"/>
  <c r="O23" i="3"/>
  <c r="O23" i="2" l="1"/>
  <c r="O22" i="2"/>
  <c r="O21" i="2"/>
  <c r="O20" i="2"/>
  <c r="O19" i="2"/>
  <c r="O18" i="2"/>
  <c r="R16" i="2"/>
  <c r="L35" i="1"/>
  <c r="L30" i="1"/>
  <c r="L32" i="1"/>
  <c r="N35" i="1"/>
  <c r="N36" i="1"/>
  <c r="B27" i="4"/>
  <c r="A24" i="4"/>
  <c r="B32" i="4"/>
  <c r="B31" i="4"/>
  <c r="B30" i="4"/>
  <c r="B29" i="4"/>
  <c r="B28" i="4"/>
  <c r="B5" i="4"/>
  <c r="F5" i="4"/>
  <c r="E17" i="4"/>
  <c r="E18" i="4"/>
  <c r="E19" i="4"/>
  <c r="G85" i="1"/>
  <c r="E85" i="1"/>
  <c r="G84" i="1"/>
  <c r="E84" i="1"/>
  <c r="E83" i="1"/>
  <c r="E82" i="1"/>
  <c r="E81" i="1"/>
  <c r="E80" i="1"/>
  <c r="E79" i="1"/>
  <c r="J72" i="1"/>
  <c r="D72" i="1"/>
  <c r="L36" i="1"/>
  <c r="L34" i="1"/>
  <c r="L33" i="1"/>
  <c r="L31" i="1"/>
  <c r="Q23" i="1"/>
  <c r="K23" i="1"/>
  <c r="G75" i="1" l="1"/>
  <c r="N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<sst xmlns="http://schemas.openxmlformats.org/spreadsheetml/2006/main" count="336" uniqueCount="126">
  <si>
    <t>From\To</t>
  </si>
  <si>
    <t>DC X</t>
  </si>
  <si>
    <t>DC Y</t>
  </si>
  <si>
    <t>Total Out</t>
  </si>
  <si>
    <t>Plant A</t>
  </si>
  <si>
    <t>Plant B</t>
  </si>
  <si>
    <t>Total In</t>
  </si>
  <si>
    <t>M1</t>
  </si>
  <si>
    <t>M2</t>
  </si>
  <si>
    <t>M3</t>
  </si>
  <si>
    <t>Demand</t>
  </si>
  <si>
    <t>COST (Plant → DC)</t>
  </si>
  <si>
    <t>COST (DC → Market)</t>
  </si>
  <si>
    <t>min</t>
  </si>
  <si>
    <t>constains</t>
  </si>
  <si>
    <t>&lt;=</t>
  </si>
  <si>
    <t>=</t>
  </si>
  <si>
    <t>Operations</t>
  </si>
  <si>
    <t>FROM \ TO     Finance   Operations   Marketing   Row Total</t>
  </si>
  <si>
    <t>Finance        0           0           0        =SUM(B12:D12)</t>
  </si>
  <si>
    <t>Operations     0           0           0        =SUM(B13:D13)</t>
  </si>
  <si>
    <t>Marketing      0           0           0        =SUM(B14:D14)</t>
  </si>
  <si>
    <t>Department</t>
  </si>
  <si>
    <t>Available</t>
  </si>
  <si>
    <t>Required</t>
  </si>
  <si>
    <t>Finance</t>
  </si>
  <si>
    <t>Marketing</t>
  </si>
  <si>
    <t>Total</t>
  </si>
  <si>
    <t>COST TABLE (Retraining Hours)</t>
  </si>
  <si>
    <t>FROM \ TO</t>
  </si>
  <si>
    <t>DECISION TABLE (Changing Cells)</t>
  </si>
  <si>
    <t>Row Total</t>
  </si>
  <si>
    <t>Objective (Min Hours)</t>
  </si>
  <si>
    <t>Fund</t>
  </si>
  <si>
    <t>Growth</t>
  </si>
  <si>
    <t>Stability</t>
  </si>
  <si>
    <t>Downside Protection</t>
  </si>
  <si>
    <t>Risk</t>
  </si>
  <si>
    <t>A</t>
  </si>
  <si>
    <t>B</t>
  </si>
  <si>
    <t>C</t>
  </si>
  <si>
    <t>D</t>
  </si>
  <si>
    <t>E</t>
  </si>
  <si>
    <t>F</t>
  </si>
  <si>
    <t>MAX</t>
  </si>
  <si>
    <t>SELECT</t>
  </si>
  <si>
    <t>From \ To</t>
  </si>
  <si>
    <t>Supply</t>
  </si>
  <si>
    <t>min z</t>
  </si>
  <si>
    <t>max</t>
  </si>
  <si>
    <t xml:space="preserve">risk avg </t>
  </si>
  <si>
    <t>≥</t>
  </si>
  <si>
    <t>x</t>
  </si>
  <si>
    <t>y</t>
  </si>
  <si>
    <t>&gt;=</t>
  </si>
  <si>
    <t>exit peoples</t>
  </si>
  <si>
    <t>coming peoples</t>
  </si>
  <si>
    <t>hgf</t>
  </si>
  <si>
    <t>hsf</t>
  </si>
  <si>
    <t>c&amp;f</t>
  </si>
  <si>
    <t>total growth</t>
  </si>
  <si>
    <t>total stabilty</t>
  </si>
  <si>
    <t>total dowmside</t>
  </si>
  <si>
    <t>wt</t>
  </si>
  <si>
    <t>06 to 8</t>
  </si>
  <si>
    <t>8 to 10</t>
  </si>
  <si>
    <t>10 to 12</t>
  </si>
  <si>
    <t>12 to 2</t>
  </si>
  <si>
    <t>2 to 4</t>
  </si>
  <si>
    <t>4 to 6</t>
  </si>
  <si>
    <t>6 to 8</t>
  </si>
  <si>
    <t>12 to 6 am</t>
  </si>
  <si>
    <t>shifts</t>
  </si>
  <si>
    <t>min agents</t>
  </si>
  <si>
    <t>daily cost for agents</t>
  </si>
  <si>
    <t xml:space="preserve">min </t>
  </si>
  <si>
    <t>F1</t>
  </si>
  <si>
    <t>F2</t>
  </si>
  <si>
    <t>DC</t>
  </si>
  <si>
    <t>W1</t>
  </si>
  <si>
    <t>W2</t>
  </si>
  <si>
    <t>From</t>
  </si>
  <si>
    <t>To</t>
  </si>
  <si>
    <t>Cost</t>
  </si>
  <si>
    <t>Variable Name</t>
  </si>
  <si>
    <t>Capacity</t>
  </si>
  <si>
    <t>∞</t>
  </si>
  <si>
    <t>X_F1F2</t>
  </si>
  <si>
    <t>X_DCW2</t>
  </si>
  <si>
    <t>Variable</t>
  </si>
  <si>
    <t>Constraint</t>
  </si>
  <si>
    <t>≤ 10</t>
  </si>
  <si>
    <t>≤ 80</t>
  </si>
  <si>
    <t>All variables</t>
  </si>
  <si>
    <t>≥ 0</t>
  </si>
  <si>
    <t>FROM</t>
  </si>
  <si>
    <t>-</t>
  </si>
  <si>
    <t>cost severma</t>
  </si>
  <si>
    <t>rent</t>
  </si>
  <si>
    <t>ingrenets</t>
  </si>
  <si>
    <t>profit</t>
  </si>
  <si>
    <t>turnout</t>
  </si>
  <si>
    <t>worst</t>
  </si>
  <si>
    <t>best</t>
  </si>
  <si>
    <t>total revenue</t>
  </si>
  <si>
    <t>total cost</t>
  </si>
  <si>
    <t>randam</t>
  </si>
  <si>
    <t>data points</t>
  </si>
  <si>
    <t>greateh than 0</t>
  </si>
  <si>
    <t>break even</t>
  </si>
  <si>
    <t>probilitity of of profit &gt;5 laks</t>
  </si>
  <si>
    <t>probilitity of of profit &gt;3 laks</t>
  </si>
  <si>
    <t>probilitity of of profit &gt;2 laks</t>
  </si>
  <si>
    <t>probilitity of of profit &gt;1 laks</t>
  </si>
  <si>
    <t>OBJ FUCTION</t>
  </si>
  <si>
    <t>SUPPLY</t>
  </si>
  <si>
    <t>CAN SEND</t>
  </si>
  <si>
    <t>AVAILABLE</t>
  </si>
  <si>
    <t>BALANCWE- DC</t>
  </si>
  <si>
    <t>IN = OUT</t>
  </si>
  <si>
    <t>STEP 6</t>
  </si>
  <si>
    <t>DEMAND OF W1</t>
  </si>
  <si>
    <t>STEP 7</t>
  </si>
  <si>
    <t>DEMAND OF W2</t>
  </si>
  <si>
    <t>STEP 8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</si>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</sst>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314964</xdr:colOff>
      <xdr:row>21</xdr:row>
      <xdr:rowOff>78601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D3FE5-6657-41CA-9837-6B4423C19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4582164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391260</xdr:colOff>
      <xdr:row>22</xdr:row>
      <xdr:rowOff>67322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3D623-69BE-4F12-B527-AE4C745DC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268060" cy="4639322"/>
        </a:xfrm>
        <a:prstGeom prst="rect">
          <a:avLst/>
        </a:prstGeom>
      </xdr:spPr>
    </xdr:pic>
    <xdr:clientData/>
  </xdr:twoCellAnchor>
  <xdr:twoCellAnchor>
    <xdr:from>
      <xdr:col>18</xdr:col>
      <xdr:colOff>512064</xdr:colOff>
      <xdr:row>2</xdr:row>
      <xdr:rowOff>212141</xdr:rowOff>
    </xdr:from>
    <xdr:to>
      <xdr:col>20</xdr:col>
      <xdr:colOff>409651</xdr:colOff>
      <xdr:row>7</xdr:row>
      <xdr:rowOff>80468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640C887-3349-1814-9FAB-FC55E8ACDDCC}"/>
            </a:ext>
          </a:extLst>
        </xdr:cNvPr>
        <xdr:cNvSpPr/>
      </xdr:nvSpPr>
      <xdr:spPr>
        <a:xfrm>
          <a:off x="12099341" y="577901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/>
            <a:t>F</a:t>
          </a:r>
        </a:p>
      </xdr:txBody>
    </xdr:sp>
    <xdr:clientData/>
  </xdr:twoCellAnchor>
  <xdr:twoCellAnchor>
    <xdr:from>
      <xdr:col>18</xdr:col>
      <xdr:colOff>490118</xdr:colOff>
      <xdr:row>11</xdr:row>
      <xdr:rowOff>146304</xdr:rowOff>
    </xdr:from>
    <xdr:to>
      <xdr:col>20</xdr:col>
      <xdr:colOff>387705</xdr:colOff>
      <xdr:row>17</xdr:row>
      <xdr:rowOff>14631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AA51FCC-B68A-4227-B43C-49FF321E4DC4}"/>
            </a:ext>
          </a:extLst>
        </xdr:cNvPr>
        <xdr:cNvSpPr/>
      </xdr:nvSpPr>
      <xdr:spPr>
        <a:xfrm>
          <a:off x="12077395" y="2706624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M</a:t>
          </a:r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541324</xdr:colOff>
      <xdr:row>26</xdr:row>
      <xdr:rowOff>51207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007113E-86C5-4FDF-97D3-8B839531222C}"/>
            </a:ext>
          </a:extLst>
        </xdr:cNvPr>
        <xdr:cNvSpPr/>
      </xdr:nvSpPr>
      <xdr:spPr>
        <a:xfrm>
          <a:off x="12231014" y="4389120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000"/>
            <a:t>O</a:t>
          </a:r>
        </a:p>
      </xdr:txBody>
    </xdr:sp>
    <xdr:clientData/>
  </xdr:twoCellAnchor>
  <xdr:twoCellAnchor>
    <xdr:from>
      <xdr:col>24</xdr:col>
      <xdr:colOff>0</xdr:colOff>
      <xdr:row>3</xdr:row>
      <xdr:rowOff>0</xdr:rowOff>
    </xdr:from>
    <xdr:to>
      <xdr:col>25</xdr:col>
      <xdr:colOff>541324</xdr:colOff>
      <xdr:row>8</xdr:row>
      <xdr:rowOff>51207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DEA619C-8328-4B6C-BD05-DD1530605860}"/>
            </a:ext>
          </a:extLst>
        </xdr:cNvPr>
        <xdr:cNvSpPr/>
      </xdr:nvSpPr>
      <xdr:spPr>
        <a:xfrm>
          <a:off x="15449702" y="731520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</a:t>
          </a:r>
          <a:endParaRPr lang="en-IN" sz="2800">
            <a:effectLst/>
          </a:endParaRPr>
        </a:p>
        <a:p>
          <a:pPr algn="l"/>
          <a:endParaRPr lang="en-IN" sz="2800"/>
        </a:p>
      </xdr:txBody>
    </xdr:sp>
    <xdr:clientData/>
  </xdr:twoCellAnchor>
  <xdr:twoCellAnchor>
    <xdr:from>
      <xdr:col>24</xdr:col>
      <xdr:colOff>0</xdr:colOff>
      <xdr:row>10</xdr:row>
      <xdr:rowOff>358445</xdr:rowOff>
    </xdr:from>
    <xdr:to>
      <xdr:col>25</xdr:col>
      <xdr:colOff>541324</xdr:colOff>
      <xdr:row>16</xdr:row>
      <xdr:rowOff>43892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CD1D1D5-6F64-4B52-8572-E9C87EDE15B8}"/>
            </a:ext>
          </a:extLst>
        </xdr:cNvPr>
        <xdr:cNvSpPr/>
      </xdr:nvSpPr>
      <xdr:spPr>
        <a:xfrm>
          <a:off x="15449702" y="2553005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m</a:t>
          </a:r>
        </a:p>
      </xdr:txBody>
    </xdr:sp>
    <xdr:clientData/>
  </xdr:twoCellAnchor>
  <xdr:twoCellAnchor>
    <xdr:from>
      <xdr:col>24</xdr:col>
      <xdr:colOff>0</xdr:colOff>
      <xdr:row>20</xdr:row>
      <xdr:rowOff>0</xdr:rowOff>
    </xdr:from>
    <xdr:to>
      <xdr:col>25</xdr:col>
      <xdr:colOff>541324</xdr:colOff>
      <xdr:row>26</xdr:row>
      <xdr:rowOff>51207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FD2F5EB-3AE1-46B4-866D-890AA4C1E3A2}"/>
            </a:ext>
          </a:extLst>
        </xdr:cNvPr>
        <xdr:cNvSpPr/>
      </xdr:nvSpPr>
      <xdr:spPr>
        <a:xfrm>
          <a:off x="15449702" y="4389120"/>
          <a:ext cx="1185062" cy="114848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/>
            <a:t>o</a:t>
          </a:r>
        </a:p>
      </xdr:txBody>
    </xdr:sp>
    <xdr:clientData/>
  </xdr:twoCellAnchor>
  <xdr:twoCellAnchor>
    <xdr:from>
      <xdr:col>20</xdr:col>
      <xdr:colOff>395021</xdr:colOff>
      <xdr:row>6</xdr:row>
      <xdr:rowOff>131674</xdr:rowOff>
    </xdr:from>
    <xdr:to>
      <xdr:col>24</xdr:col>
      <xdr:colOff>43892</xdr:colOff>
      <xdr:row>22</xdr:row>
      <xdr:rowOff>43891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6786D4B-9BC4-C2B8-A79C-9645F10B27E6}"/>
            </a:ext>
          </a:extLst>
        </xdr:cNvPr>
        <xdr:cNvCxnSpPr/>
      </xdr:nvCxnSpPr>
      <xdr:spPr>
        <a:xfrm>
          <a:off x="13269773" y="1594714"/>
          <a:ext cx="2223821" cy="320405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58521</xdr:colOff>
      <xdr:row>6</xdr:row>
      <xdr:rowOff>102413</xdr:rowOff>
    </xdr:from>
    <xdr:to>
      <xdr:col>23</xdr:col>
      <xdr:colOff>599846</xdr:colOff>
      <xdr:row>22</xdr:row>
      <xdr:rowOff>168250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9C14D85-B80B-4A85-842C-93144441B132}"/>
            </a:ext>
          </a:extLst>
        </xdr:cNvPr>
        <xdr:cNvCxnSpPr/>
      </xdr:nvCxnSpPr>
      <xdr:spPr>
        <a:xfrm flipV="1">
          <a:off x="13577011" y="1565453"/>
          <a:ext cx="1828800" cy="33576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526694</xdr:colOff>
      <xdr:row>5</xdr:row>
      <xdr:rowOff>87782</xdr:rowOff>
    </xdr:from>
    <xdr:to>
      <xdr:col>23</xdr:col>
      <xdr:colOff>402336</xdr:colOff>
      <xdr:row>14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A714435-D822-448A-AD77-8B9366B3BA21}"/>
            </a:ext>
          </a:extLst>
        </xdr:cNvPr>
        <xdr:cNvCxnSpPr/>
      </xdr:nvCxnSpPr>
      <xdr:spPr>
        <a:xfrm flipV="1">
          <a:off x="13401446" y="1367942"/>
          <a:ext cx="1806855" cy="192389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577901</xdr:colOff>
      <xdr:row>13</xdr:row>
      <xdr:rowOff>175565</xdr:rowOff>
    </xdr:from>
    <xdr:to>
      <xdr:col>23</xdr:col>
      <xdr:colOff>607161</xdr:colOff>
      <xdr:row>22</xdr:row>
      <xdr:rowOff>58522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C1EEE75-B5A2-45FA-B853-2A990FAAA266}"/>
            </a:ext>
          </a:extLst>
        </xdr:cNvPr>
        <xdr:cNvCxnSpPr/>
      </xdr:nvCxnSpPr>
      <xdr:spPr>
        <a:xfrm>
          <a:off x="13452653" y="3284525"/>
          <a:ext cx="1960473" cy="15288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43891</xdr:colOff>
      <xdr:row>13</xdr:row>
      <xdr:rowOff>138989</xdr:rowOff>
    </xdr:from>
    <xdr:to>
      <xdr:col>23</xdr:col>
      <xdr:colOff>548640</xdr:colOff>
      <xdr:row>23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B0EB571-1F9B-4477-A9E3-D2F459362529}"/>
            </a:ext>
          </a:extLst>
        </xdr:cNvPr>
        <xdr:cNvCxnSpPr/>
      </xdr:nvCxnSpPr>
      <xdr:spPr>
        <a:xfrm flipV="1">
          <a:off x="13562381" y="3247949"/>
          <a:ext cx="1792224" cy="16898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395021</xdr:colOff>
      <xdr:row>6</xdr:row>
      <xdr:rowOff>131674</xdr:rowOff>
    </xdr:from>
    <xdr:to>
      <xdr:col>23</xdr:col>
      <xdr:colOff>548640</xdr:colOff>
      <xdr:row>13</xdr:row>
      <xdr:rowOff>36576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580C778-096E-44DC-A7E1-A1237BA2A698}"/>
            </a:ext>
          </a:extLst>
        </xdr:cNvPr>
        <xdr:cNvCxnSpPr/>
      </xdr:nvCxnSpPr>
      <xdr:spPr>
        <a:xfrm>
          <a:off x="13269773" y="1594714"/>
          <a:ext cx="2084832" cy="15508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391259</xdr:colOff>
      <xdr:row>27</xdr:row>
      <xdr:rowOff>67322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728CD-513A-492C-A31D-7CB878112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6163" y="365760"/>
          <a:ext cx="5541160" cy="46393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238754</xdr:colOff>
      <xdr:row>24</xdr:row>
      <xdr:rowOff>31097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03EA2-5B6D-49A6-BECA-8EA47EF5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4505954" cy="4420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6</xdr:col>
      <xdr:colOff>241401</xdr:colOff>
      <xdr:row>15</xdr:row>
      <xdr:rowOff>146305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464D7-F62A-F97A-A033-06360806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738" y="182881"/>
          <a:ext cx="3460089" cy="27066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4</xdr:col>
      <xdr:colOff>647799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E5525-9736-4519-9AE3-DF4451C56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3222749" cy="21945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9</xdr:col>
      <xdr:colOff>21946</xdr:colOff>
      <xdr:row>20</xdr:row>
      <xdr:rowOff>124359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B53C9-080D-7D99-712F-0C63BC64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739" y="182881"/>
          <a:ext cx="5171845" cy="3599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4D35-1801-4663-93D8-D2058908C85A}">
  <dimension ref="D5:U85"/>
  <sheetViews>
    <sheetView topLeftCell="B21" workbookViewId="0">
      <selection activeCell="L35" sqref="L35"/>
    </sheetView>
  </sheetViews>
  <sheetFormatPr defaultRowHeight="14.4" x14ac:dyDescent="0.3"/>
  <sheetData>
    <row r="5" spans="10:21" x14ac:dyDescent="0.3">
      <c r="K5" t="s">
        <v>6</v>
      </c>
      <c r="L5">
        <v>70</v>
      </c>
      <c r="M5">
        <v>130</v>
      </c>
      <c r="Q5" t="s">
        <v>10</v>
      </c>
      <c r="R5">
        <v>70</v>
      </c>
      <c r="S5">
        <v>90</v>
      </c>
      <c r="T5">
        <v>40</v>
      </c>
    </row>
    <row r="6" spans="10:21" x14ac:dyDescent="0.3">
      <c r="J6" t="s">
        <v>3</v>
      </c>
      <c r="L6" t="s">
        <v>1</v>
      </c>
      <c r="M6" t="s">
        <v>2</v>
      </c>
      <c r="Q6" t="s">
        <v>0</v>
      </c>
      <c r="R6" t="s">
        <v>7</v>
      </c>
      <c r="S6" t="s">
        <v>8</v>
      </c>
      <c r="T6" t="s">
        <v>9</v>
      </c>
      <c r="U6" t="s">
        <v>3</v>
      </c>
    </row>
    <row r="7" spans="10:21" x14ac:dyDescent="0.3">
      <c r="J7">
        <v>120</v>
      </c>
      <c r="K7" t="s">
        <v>4</v>
      </c>
      <c r="L7">
        <v>120</v>
      </c>
      <c r="M7">
        <v>0</v>
      </c>
      <c r="N7">
        <v>100</v>
      </c>
      <c r="O7" t="s">
        <v>53</v>
      </c>
      <c r="Q7" t="s">
        <v>1</v>
      </c>
      <c r="R7">
        <v>70</v>
      </c>
      <c r="S7">
        <v>10</v>
      </c>
      <c r="T7">
        <v>40</v>
      </c>
      <c r="U7">
        <v>70</v>
      </c>
    </row>
    <row r="8" spans="10:21" x14ac:dyDescent="0.3">
      <c r="J8">
        <v>80</v>
      </c>
      <c r="K8" t="s">
        <v>5</v>
      </c>
      <c r="L8">
        <v>0</v>
      </c>
      <c r="M8">
        <v>80</v>
      </c>
      <c r="N8">
        <v>100</v>
      </c>
      <c r="O8" t="s">
        <v>52</v>
      </c>
      <c r="Q8" t="s">
        <v>2</v>
      </c>
      <c r="R8">
        <v>0</v>
      </c>
      <c r="S8">
        <v>80</v>
      </c>
      <c r="T8">
        <v>0</v>
      </c>
      <c r="U8">
        <v>130</v>
      </c>
    </row>
    <row r="13" spans="10:21" x14ac:dyDescent="0.3">
      <c r="K13" t="s">
        <v>11</v>
      </c>
      <c r="Q13" t="s">
        <v>12</v>
      </c>
    </row>
    <row r="15" spans="10:21" x14ac:dyDescent="0.3">
      <c r="L15" t="s">
        <v>1</v>
      </c>
      <c r="M15" t="s">
        <v>2</v>
      </c>
      <c r="R15" t="s">
        <v>7</v>
      </c>
      <c r="S15" t="s">
        <v>8</v>
      </c>
      <c r="T15" t="s">
        <v>9</v>
      </c>
    </row>
    <row r="16" spans="10:21" x14ac:dyDescent="0.3">
      <c r="K16" t="s">
        <v>4</v>
      </c>
      <c r="L16">
        <v>4</v>
      </c>
      <c r="M16">
        <v>6</v>
      </c>
      <c r="Q16" t="s">
        <v>1</v>
      </c>
      <c r="R16">
        <v>3</v>
      </c>
      <c r="S16">
        <v>4</v>
      </c>
      <c r="T16">
        <v>6</v>
      </c>
    </row>
    <row r="17" spans="11:20" x14ac:dyDescent="0.3">
      <c r="K17" t="s">
        <v>5</v>
      </c>
      <c r="L17">
        <v>5</v>
      </c>
      <c r="M17">
        <v>3</v>
      </c>
      <c r="Q17" t="s">
        <v>2</v>
      </c>
      <c r="R17">
        <v>5</v>
      </c>
      <c r="S17">
        <v>2</v>
      </c>
      <c r="T17">
        <v>4</v>
      </c>
    </row>
    <row r="23" spans="11:20" x14ac:dyDescent="0.3">
      <c r="K23">
        <f>SUMPRODUCT(L7:M8,L16:M17)</f>
        <v>720</v>
      </c>
      <c r="Q23">
        <f>SUMPRODUCT(R7:T8,R16:T17)</f>
        <v>650</v>
      </c>
    </row>
    <row r="26" spans="11:20" x14ac:dyDescent="0.3">
      <c r="M26" t="s">
        <v>13</v>
      </c>
      <c r="N26">
        <f>K23+Q23</f>
        <v>1370</v>
      </c>
    </row>
    <row r="29" spans="11:20" x14ac:dyDescent="0.3">
      <c r="K29" t="s">
        <v>14</v>
      </c>
    </row>
    <row r="30" spans="11:20" x14ac:dyDescent="0.3">
      <c r="L30">
        <f>SUM(L7:M7)</f>
        <v>120</v>
      </c>
      <c r="M30" t="s">
        <v>15</v>
      </c>
      <c r="N30">
        <v>120</v>
      </c>
    </row>
    <row r="31" spans="11:20" x14ac:dyDescent="0.3">
      <c r="L31">
        <f>SUM(L8:M8)</f>
        <v>80</v>
      </c>
      <c r="M31" t="s">
        <v>15</v>
      </c>
      <c r="N31">
        <v>80</v>
      </c>
    </row>
    <row r="32" spans="11:20" x14ac:dyDescent="0.3">
      <c r="L32">
        <f>SUM(R7:R8)</f>
        <v>70</v>
      </c>
      <c r="M32" t="s">
        <v>54</v>
      </c>
      <c r="N32">
        <v>70</v>
      </c>
    </row>
    <row r="33" spans="12:14" x14ac:dyDescent="0.3">
      <c r="L33">
        <f>SUM(S7:S8)</f>
        <v>90</v>
      </c>
      <c r="M33" t="s">
        <v>54</v>
      </c>
      <c r="N33">
        <v>90</v>
      </c>
    </row>
    <row r="34" spans="12:14" x14ac:dyDescent="0.3">
      <c r="L34">
        <f>SUM(T7:T8)</f>
        <v>40</v>
      </c>
      <c r="M34" t="s">
        <v>54</v>
      </c>
      <c r="N34">
        <v>40</v>
      </c>
    </row>
    <row r="35" spans="12:14" x14ac:dyDescent="0.3">
      <c r="L35">
        <f>SUM(L7:L8)</f>
        <v>120</v>
      </c>
      <c r="M35" t="s">
        <v>54</v>
      </c>
      <c r="N35">
        <f>SUM(R7:T7)</f>
        <v>120</v>
      </c>
    </row>
    <row r="36" spans="12:14" x14ac:dyDescent="0.3">
      <c r="L36">
        <f>SUM(M7:M8)</f>
        <v>80</v>
      </c>
      <c r="M36" t="s">
        <v>54</v>
      </c>
      <c r="N36">
        <f>SUM(R8:T8)</f>
        <v>80</v>
      </c>
    </row>
    <row r="55" spans="4:14" x14ac:dyDescent="0.3">
      <c r="E55" t="s">
        <v>1</v>
      </c>
      <c r="F55" t="s">
        <v>2</v>
      </c>
      <c r="G55" t="s">
        <v>3</v>
      </c>
      <c r="J55" t="s">
        <v>0</v>
      </c>
      <c r="K55" t="s">
        <v>7</v>
      </c>
      <c r="L55" t="s">
        <v>8</v>
      </c>
      <c r="M55" t="s">
        <v>9</v>
      </c>
      <c r="N55" t="s">
        <v>3</v>
      </c>
    </row>
    <row r="56" spans="4:14" x14ac:dyDescent="0.3">
      <c r="D56" t="s">
        <v>4</v>
      </c>
      <c r="E56">
        <v>0</v>
      </c>
      <c r="F56">
        <v>0</v>
      </c>
      <c r="G56">
        <v>120</v>
      </c>
      <c r="J56" t="s">
        <v>1</v>
      </c>
      <c r="K56">
        <v>0</v>
      </c>
      <c r="L56">
        <v>0</v>
      </c>
      <c r="M56">
        <v>0</v>
      </c>
      <c r="N56">
        <v>70</v>
      </c>
    </row>
    <row r="57" spans="4:14" x14ac:dyDescent="0.3">
      <c r="D57" t="s">
        <v>5</v>
      </c>
      <c r="E57">
        <v>0</v>
      </c>
      <c r="F57">
        <v>0</v>
      </c>
      <c r="G57">
        <v>80</v>
      </c>
      <c r="J57" t="s">
        <v>2</v>
      </c>
      <c r="K57">
        <v>0</v>
      </c>
      <c r="L57">
        <v>0</v>
      </c>
      <c r="M57">
        <v>0</v>
      </c>
      <c r="N57">
        <v>130</v>
      </c>
    </row>
    <row r="58" spans="4:14" x14ac:dyDescent="0.3">
      <c r="D58" t="s">
        <v>6</v>
      </c>
      <c r="E58">
        <v>70</v>
      </c>
      <c r="F58">
        <v>130</v>
      </c>
      <c r="J58" t="s">
        <v>10</v>
      </c>
      <c r="K58">
        <v>70</v>
      </c>
      <c r="L58">
        <v>90</v>
      </c>
      <c r="M58">
        <v>40</v>
      </c>
    </row>
    <row r="62" spans="4:14" x14ac:dyDescent="0.3">
      <c r="D62" t="s">
        <v>11</v>
      </c>
      <c r="J62" t="s">
        <v>12</v>
      </c>
    </row>
    <row r="64" spans="4:14" x14ac:dyDescent="0.3">
      <c r="E64" t="s">
        <v>1</v>
      </c>
      <c r="F64" t="s">
        <v>2</v>
      </c>
      <c r="K64" t="s">
        <v>7</v>
      </c>
      <c r="L64" t="s">
        <v>8</v>
      </c>
      <c r="M64" t="s">
        <v>9</v>
      </c>
    </row>
    <row r="65" spans="4:13" x14ac:dyDescent="0.3">
      <c r="D65" t="s">
        <v>4</v>
      </c>
      <c r="E65">
        <v>4</v>
      </c>
      <c r="F65">
        <v>6</v>
      </c>
      <c r="J65" t="s">
        <v>1</v>
      </c>
      <c r="K65">
        <v>3</v>
      </c>
      <c r="L65">
        <v>4</v>
      </c>
      <c r="M65">
        <v>6</v>
      </c>
    </row>
    <row r="66" spans="4:13" x14ac:dyDescent="0.3">
      <c r="D66" t="s">
        <v>5</v>
      </c>
      <c r="E66">
        <v>5</v>
      </c>
      <c r="F66">
        <v>3</v>
      </c>
      <c r="J66" t="s">
        <v>2</v>
      </c>
      <c r="K66">
        <v>5</v>
      </c>
      <c r="L66">
        <v>2</v>
      </c>
      <c r="M66">
        <v>4</v>
      </c>
    </row>
    <row r="72" spans="4:13" x14ac:dyDescent="0.3">
      <c r="D72">
        <f>SUMPRODUCT(E56:F57,E65:F66)</f>
        <v>0</v>
      </c>
      <c r="J72">
        <f>SUMPRODUCT(K56:M57,K65:M66)</f>
        <v>0</v>
      </c>
    </row>
    <row r="75" spans="4:13" x14ac:dyDescent="0.3">
      <c r="F75" t="s">
        <v>13</v>
      </c>
      <c r="G75">
        <f>D72+J72</f>
        <v>0</v>
      </c>
    </row>
    <row r="78" spans="4:13" x14ac:dyDescent="0.3">
      <c r="D78" t="s">
        <v>14</v>
      </c>
    </row>
    <row r="79" spans="4:13" x14ac:dyDescent="0.3">
      <c r="E79">
        <f>SUM(E56:F56)</f>
        <v>0</v>
      </c>
      <c r="F79" t="s">
        <v>15</v>
      </c>
      <c r="G79">
        <v>120</v>
      </c>
    </row>
    <row r="80" spans="4:13" x14ac:dyDescent="0.3">
      <c r="E80">
        <f>SUM(E57:F57)</f>
        <v>0</v>
      </c>
      <c r="F80" t="s">
        <v>15</v>
      </c>
      <c r="G80">
        <v>80</v>
      </c>
    </row>
    <row r="81" spans="5:7" x14ac:dyDescent="0.3">
      <c r="E81">
        <f>SUM(K56:K57)</f>
        <v>0</v>
      </c>
      <c r="F81" t="s">
        <v>16</v>
      </c>
      <c r="G81">
        <v>70</v>
      </c>
    </row>
    <row r="82" spans="5:7" x14ac:dyDescent="0.3">
      <c r="E82">
        <f>SUM(L56:L57)</f>
        <v>0</v>
      </c>
      <c r="F82" t="s">
        <v>16</v>
      </c>
      <c r="G82">
        <v>90</v>
      </c>
    </row>
    <row r="83" spans="5:7" x14ac:dyDescent="0.3">
      <c r="E83">
        <f>SUM(M56:M57)</f>
        <v>0</v>
      </c>
      <c r="F83" t="s">
        <v>16</v>
      </c>
      <c r="G83">
        <v>40</v>
      </c>
    </row>
    <row r="84" spans="5:7" x14ac:dyDescent="0.3">
      <c r="E84">
        <f>SUM(E56:E57)</f>
        <v>0</v>
      </c>
      <c r="F84" t="s">
        <v>16</v>
      </c>
      <c r="G84">
        <f>SUM(K56:M56)</f>
        <v>0</v>
      </c>
    </row>
    <row r="85" spans="5:7" x14ac:dyDescent="0.3">
      <c r="E85">
        <f>SUM(F56:F57)</f>
        <v>0</v>
      </c>
      <c r="F85" t="s">
        <v>16</v>
      </c>
      <c r="G85">
        <f>SUM(K57:M57)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73A6-600D-42B5-8A03-DDA7642BAEAB}">
  <dimension ref="L2:AA23"/>
  <sheetViews>
    <sheetView topLeftCell="H7" workbookViewId="0">
      <selection activeCell="AA18" sqref="AA18"/>
    </sheetView>
  </sheetViews>
  <sheetFormatPr defaultRowHeight="14.4" x14ac:dyDescent="0.3"/>
  <sheetData>
    <row r="2" spans="12:27" x14ac:dyDescent="0.3">
      <c r="M2" s="2" t="s">
        <v>10</v>
      </c>
      <c r="N2" s="2">
        <v>15</v>
      </c>
      <c r="O2" s="2">
        <v>35</v>
      </c>
      <c r="P2" s="2">
        <v>25</v>
      </c>
    </row>
    <row r="3" spans="12:27" ht="28.8" x14ac:dyDescent="0.3">
      <c r="L3" s="1" t="s">
        <v>47</v>
      </c>
      <c r="M3" s="1" t="s">
        <v>46</v>
      </c>
      <c r="N3" s="1" t="s">
        <v>25</v>
      </c>
      <c r="O3" s="1" t="s">
        <v>17</v>
      </c>
      <c r="P3" s="1" t="s">
        <v>26</v>
      </c>
    </row>
    <row r="4" spans="12:27" x14ac:dyDescent="0.3">
      <c r="L4" s="2">
        <v>20</v>
      </c>
      <c r="M4" s="2" t="s">
        <v>25</v>
      </c>
      <c r="N4" s="2">
        <v>0</v>
      </c>
      <c r="O4" s="2">
        <v>18</v>
      </c>
      <c r="P4" s="2">
        <v>12</v>
      </c>
      <c r="S4" s="2">
        <v>20</v>
      </c>
    </row>
    <row r="5" spans="12:27" ht="28.8" x14ac:dyDescent="0.3">
      <c r="L5" s="2">
        <v>30</v>
      </c>
      <c r="M5" s="2" t="s">
        <v>17</v>
      </c>
      <c r="N5" s="2">
        <v>20</v>
      </c>
      <c r="O5" s="2">
        <v>0</v>
      </c>
      <c r="P5" s="2">
        <v>15</v>
      </c>
      <c r="AA5">
        <v>15</v>
      </c>
    </row>
    <row r="6" spans="12:27" x14ac:dyDescent="0.3">
      <c r="L6" s="2">
        <v>25</v>
      </c>
      <c r="M6" s="2" t="s">
        <v>26</v>
      </c>
      <c r="N6" s="2">
        <v>10</v>
      </c>
      <c r="O6" s="2">
        <v>14</v>
      </c>
      <c r="P6" s="2">
        <v>0</v>
      </c>
    </row>
    <row r="7" spans="12:27" x14ac:dyDescent="0.3">
      <c r="Q7" s="2"/>
    </row>
    <row r="8" spans="12:27" x14ac:dyDescent="0.3">
      <c r="V8">
        <v>15</v>
      </c>
    </row>
    <row r="11" spans="12:27" ht="28.8" x14ac:dyDescent="0.3">
      <c r="O11" s="1" t="s">
        <v>25</v>
      </c>
      <c r="P11" s="1" t="s">
        <v>17</v>
      </c>
      <c r="Q11" s="1" t="s">
        <v>26</v>
      </c>
    </row>
    <row r="12" spans="12:27" x14ac:dyDescent="0.3">
      <c r="N12" s="2" t="s">
        <v>25</v>
      </c>
      <c r="O12">
        <v>0</v>
      </c>
      <c r="P12">
        <v>15</v>
      </c>
      <c r="Q12">
        <v>0</v>
      </c>
    </row>
    <row r="13" spans="12:27" ht="28.8" x14ac:dyDescent="0.3">
      <c r="N13" s="2" t="s">
        <v>17</v>
      </c>
      <c r="O13">
        <v>10</v>
      </c>
      <c r="P13">
        <v>0</v>
      </c>
      <c r="Q13">
        <v>25</v>
      </c>
      <c r="S13">
        <v>25</v>
      </c>
      <c r="U13">
        <v>10</v>
      </c>
      <c r="AA13">
        <v>25</v>
      </c>
    </row>
    <row r="14" spans="12:27" x14ac:dyDescent="0.3">
      <c r="N14" s="2" t="s">
        <v>26</v>
      </c>
      <c r="O14">
        <v>10</v>
      </c>
      <c r="P14">
        <v>15</v>
      </c>
      <c r="Q14">
        <v>0</v>
      </c>
    </row>
    <row r="16" spans="12:27" x14ac:dyDescent="0.3">
      <c r="Q16" t="s">
        <v>48</v>
      </c>
      <c r="R16">
        <f>SUMPRODUCT(N4:P6,O12:Q14)</f>
        <v>1155</v>
      </c>
      <c r="V16">
        <v>15</v>
      </c>
    </row>
    <row r="18" spans="14:27" x14ac:dyDescent="0.3">
      <c r="N18" t="s">
        <v>56</v>
      </c>
      <c r="O18">
        <f>P12+Q12</f>
        <v>15</v>
      </c>
      <c r="P18" t="s">
        <v>54</v>
      </c>
      <c r="Q18">
        <v>15</v>
      </c>
    </row>
    <row r="19" spans="14:27" x14ac:dyDescent="0.3">
      <c r="O19">
        <f>O13+Q13</f>
        <v>35</v>
      </c>
      <c r="P19" t="s">
        <v>54</v>
      </c>
      <c r="Q19">
        <v>35</v>
      </c>
      <c r="V19">
        <v>10</v>
      </c>
    </row>
    <row r="20" spans="14:27" x14ac:dyDescent="0.3">
      <c r="O20">
        <f>P14+O14</f>
        <v>25</v>
      </c>
      <c r="P20" t="s">
        <v>54</v>
      </c>
      <c r="Q20">
        <v>25</v>
      </c>
    </row>
    <row r="21" spans="14:27" x14ac:dyDescent="0.3">
      <c r="N21" t="s">
        <v>55</v>
      </c>
      <c r="O21">
        <f>O13+O14</f>
        <v>20</v>
      </c>
      <c r="P21" t="s">
        <v>15</v>
      </c>
      <c r="Q21">
        <v>20</v>
      </c>
    </row>
    <row r="22" spans="14:27" x14ac:dyDescent="0.3">
      <c r="O22">
        <f>P12+P14</f>
        <v>30</v>
      </c>
      <c r="P22" t="s">
        <v>15</v>
      </c>
      <c r="Q22">
        <v>30</v>
      </c>
      <c r="S22">
        <v>30</v>
      </c>
      <c r="V22">
        <v>25</v>
      </c>
    </row>
    <row r="23" spans="14:27" x14ac:dyDescent="0.3">
      <c r="O23">
        <f>Q12+Q13</f>
        <v>25</v>
      </c>
      <c r="P23" t="s">
        <v>15</v>
      </c>
      <c r="Q23">
        <v>25</v>
      </c>
      <c r="AA23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47DA-D979-42F6-9B5B-532D656B92F9}">
  <dimension ref="A1:H32"/>
  <sheetViews>
    <sheetView workbookViewId="0">
      <selection activeCell="C10" sqref="C10"/>
    </sheetView>
  </sheetViews>
  <sheetFormatPr defaultRowHeight="14.4" x14ac:dyDescent="0.3"/>
  <sheetData>
    <row r="1" spans="1:8" x14ac:dyDescent="0.3">
      <c r="A1" t="s">
        <v>22</v>
      </c>
      <c r="B1" t="s">
        <v>23</v>
      </c>
      <c r="E1" t="s">
        <v>22</v>
      </c>
      <c r="F1" t="s">
        <v>24</v>
      </c>
    </row>
    <row r="2" spans="1:8" x14ac:dyDescent="0.3">
      <c r="A2" t="s">
        <v>25</v>
      </c>
      <c r="B2">
        <v>20</v>
      </c>
      <c r="E2" t="s">
        <v>25</v>
      </c>
      <c r="F2">
        <v>15</v>
      </c>
    </row>
    <row r="3" spans="1:8" x14ac:dyDescent="0.3">
      <c r="A3" t="s">
        <v>17</v>
      </c>
      <c r="B3">
        <v>30</v>
      </c>
      <c r="E3" t="s">
        <v>17</v>
      </c>
      <c r="F3">
        <v>35</v>
      </c>
    </row>
    <row r="4" spans="1:8" x14ac:dyDescent="0.3">
      <c r="A4" t="s">
        <v>26</v>
      </c>
      <c r="B4">
        <v>25</v>
      </c>
      <c r="E4" t="s">
        <v>26</v>
      </c>
      <c r="F4">
        <v>25</v>
      </c>
    </row>
    <row r="5" spans="1:8" x14ac:dyDescent="0.3">
      <c r="A5" t="s">
        <v>27</v>
      </c>
      <c r="B5">
        <f>SUM(B2:B4)</f>
        <v>75</v>
      </c>
      <c r="E5" t="s">
        <v>27</v>
      </c>
      <c r="F5">
        <f>SUM(F2:F4)</f>
        <v>75</v>
      </c>
    </row>
    <row r="6" spans="1:8" x14ac:dyDescent="0.3">
      <c r="H6" t="s">
        <v>18</v>
      </c>
    </row>
    <row r="7" spans="1:8" x14ac:dyDescent="0.3">
      <c r="H7" t="s">
        <v>19</v>
      </c>
    </row>
    <row r="8" spans="1:8" x14ac:dyDescent="0.3">
      <c r="A8" t="s">
        <v>28</v>
      </c>
      <c r="H8" t="s">
        <v>20</v>
      </c>
    </row>
    <row r="9" spans="1:8" x14ac:dyDescent="0.3">
      <c r="A9" t="s">
        <v>29</v>
      </c>
      <c r="B9" t="s">
        <v>25</v>
      </c>
      <c r="C9" t="s">
        <v>17</v>
      </c>
      <c r="D9" t="s">
        <v>26</v>
      </c>
      <c r="H9" t="s">
        <v>21</v>
      </c>
    </row>
    <row r="10" spans="1:8" x14ac:dyDescent="0.3">
      <c r="A10" t="s">
        <v>25</v>
      </c>
      <c r="B10">
        <v>0</v>
      </c>
      <c r="C10">
        <v>18</v>
      </c>
      <c r="D10">
        <v>12</v>
      </c>
    </row>
    <row r="11" spans="1:8" x14ac:dyDescent="0.3">
      <c r="A11" t="s">
        <v>17</v>
      </c>
      <c r="B11">
        <v>20</v>
      </c>
      <c r="C11">
        <v>0</v>
      </c>
      <c r="D11">
        <v>15</v>
      </c>
    </row>
    <row r="12" spans="1:8" x14ac:dyDescent="0.3">
      <c r="A12" t="s">
        <v>26</v>
      </c>
      <c r="B12">
        <v>10</v>
      </c>
      <c r="C12">
        <v>14</v>
      </c>
      <c r="D12">
        <v>0</v>
      </c>
    </row>
    <row r="15" spans="1:8" x14ac:dyDescent="0.3">
      <c r="A15" t="s">
        <v>30</v>
      </c>
    </row>
    <row r="16" spans="1:8" x14ac:dyDescent="0.3">
      <c r="A16" t="s">
        <v>29</v>
      </c>
      <c r="B16" t="s">
        <v>25</v>
      </c>
      <c r="C16" t="s">
        <v>17</v>
      </c>
      <c r="D16" t="s">
        <v>26</v>
      </c>
      <c r="E16" t="s">
        <v>31</v>
      </c>
    </row>
    <row r="17" spans="1:5" x14ac:dyDescent="0.3">
      <c r="A17" t="s">
        <v>25</v>
      </c>
      <c r="B17">
        <v>0</v>
      </c>
      <c r="C17">
        <v>15</v>
      </c>
      <c r="D17">
        <v>0</v>
      </c>
      <c r="E17">
        <f>SUM(B13:D13)</f>
        <v>0</v>
      </c>
    </row>
    <row r="18" spans="1:5" x14ac:dyDescent="0.3">
      <c r="A18" t="s">
        <v>17</v>
      </c>
      <c r="B18">
        <v>10</v>
      </c>
      <c r="C18">
        <v>0</v>
      </c>
      <c r="D18">
        <v>25</v>
      </c>
      <c r="E18">
        <f>SUM(B14:D14)</f>
        <v>0</v>
      </c>
    </row>
    <row r="19" spans="1:5" x14ac:dyDescent="0.3">
      <c r="A19" t="s">
        <v>26</v>
      </c>
      <c r="B19">
        <v>10</v>
      </c>
      <c r="C19">
        <v>15</v>
      </c>
      <c r="D19">
        <v>0</v>
      </c>
      <c r="E19">
        <f>SUM(B15:D15)</f>
        <v>0</v>
      </c>
    </row>
    <row r="23" spans="1:5" x14ac:dyDescent="0.3">
      <c r="A23" t="s">
        <v>32</v>
      </c>
    </row>
    <row r="24" spans="1:5" x14ac:dyDescent="0.3">
      <c r="A24">
        <f>SUMPRODUCT(B10:D12,B17:D19)</f>
        <v>1155</v>
      </c>
    </row>
    <row r="27" spans="1:5" x14ac:dyDescent="0.3">
      <c r="B27">
        <f>B18+B19</f>
        <v>20</v>
      </c>
      <c r="D27">
        <v>20</v>
      </c>
    </row>
    <row r="28" spans="1:5" x14ac:dyDescent="0.3">
      <c r="B28">
        <f>C17+C19</f>
        <v>30</v>
      </c>
      <c r="D28">
        <v>30</v>
      </c>
    </row>
    <row r="29" spans="1:5" x14ac:dyDescent="0.3">
      <c r="B29">
        <f>D17+D18</f>
        <v>25</v>
      </c>
      <c r="D29">
        <v>25</v>
      </c>
    </row>
    <row r="30" spans="1:5" x14ac:dyDescent="0.3">
      <c r="B30">
        <f>C17+D17</f>
        <v>15</v>
      </c>
      <c r="D30">
        <v>15</v>
      </c>
    </row>
    <row r="31" spans="1:5" x14ac:dyDescent="0.3">
      <c r="B31">
        <f>B18+D18</f>
        <v>35</v>
      </c>
      <c r="D31">
        <v>35</v>
      </c>
    </row>
    <row r="32" spans="1:5" x14ac:dyDescent="0.3">
      <c r="B32">
        <f>B19+C19</f>
        <v>25</v>
      </c>
      <c r="D32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296D-E643-4421-8376-88E84B6EEB25}">
  <dimension ref="L4:AE27"/>
  <sheetViews>
    <sheetView topLeftCell="L16" workbookViewId="0">
      <selection activeCell="Z25" sqref="Z25"/>
    </sheetView>
  </sheetViews>
  <sheetFormatPr defaultRowHeight="14.4" x14ac:dyDescent="0.3"/>
  <sheetData>
    <row r="4" spans="12:31" ht="43.2" x14ac:dyDescent="0.3"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R4" s="1" t="s">
        <v>45</v>
      </c>
      <c r="V4" s="1" t="s">
        <v>33</v>
      </c>
      <c r="W4" s="1" t="s">
        <v>34</v>
      </c>
      <c r="X4" s="1" t="s">
        <v>35</v>
      </c>
      <c r="Y4" s="1" t="s">
        <v>36</v>
      </c>
      <c r="Z4" s="1" t="s">
        <v>37</v>
      </c>
      <c r="AA4" s="1" t="s">
        <v>57</v>
      </c>
      <c r="AB4" s="1" t="s">
        <v>58</v>
      </c>
      <c r="AC4" s="1" t="s">
        <v>59</v>
      </c>
      <c r="AE4" s="1" t="s">
        <v>45</v>
      </c>
    </row>
    <row r="5" spans="12:31" x14ac:dyDescent="0.3">
      <c r="L5" s="2" t="s">
        <v>38</v>
      </c>
      <c r="M5" s="2">
        <v>85</v>
      </c>
      <c r="N5" s="2">
        <v>60</v>
      </c>
      <c r="O5" s="2">
        <v>55</v>
      </c>
      <c r="P5" s="2">
        <v>8</v>
      </c>
      <c r="R5" s="2">
        <v>1</v>
      </c>
      <c r="V5" s="2" t="s">
        <v>38</v>
      </c>
      <c r="W5" s="2">
        <v>85</v>
      </c>
      <c r="X5" s="2">
        <v>60</v>
      </c>
      <c r="Y5" s="2">
        <v>55</v>
      </c>
      <c r="Z5" s="2">
        <v>8</v>
      </c>
      <c r="AA5" s="2">
        <v>1</v>
      </c>
      <c r="AB5" s="2">
        <v>0</v>
      </c>
      <c r="AC5" s="2">
        <v>0</v>
      </c>
      <c r="AE5" s="2">
        <v>0</v>
      </c>
    </row>
    <row r="6" spans="12:31" x14ac:dyDescent="0.3">
      <c r="L6" s="2" t="s">
        <v>39</v>
      </c>
      <c r="M6" s="2">
        <v>70</v>
      </c>
      <c r="N6" s="2">
        <v>80</v>
      </c>
      <c r="O6" s="2">
        <v>75</v>
      </c>
      <c r="P6" s="2">
        <v>5</v>
      </c>
      <c r="R6" s="2">
        <v>1</v>
      </c>
      <c r="V6" s="2" t="s">
        <v>39</v>
      </c>
      <c r="W6" s="2">
        <v>70</v>
      </c>
      <c r="X6" s="2">
        <v>80</v>
      </c>
      <c r="Y6" s="2">
        <v>75</v>
      </c>
      <c r="Z6" s="2">
        <v>5</v>
      </c>
      <c r="AA6" s="2">
        <v>0</v>
      </c>
      <c r="AB6" s="2">
        <v>1</v>
      </c>
      <c r="AC6" s="2">
        <v>0</v>
      </c>
      <c r="AE6" s="2">
        <v>1</v>
      </c>
    </row>
    <row r="7" spans="12:31" x14ac:dyDescent="0.3">
      <c r="L7" s="2" t="s">
        <v>40</v>
      </c>
      <c r="M7" s="2">
        <v>90</v>
      </c>
      <c r="N7" s="2">
        <v>50</v>
      </c>
      <c r="O7" s="2">
        <v>45</v>
      </c>
      <c r="P7" s="2">
        <v>9</v>
      </c>
      <c r="R7" s="2">
        <v>0</v>
      </c>
      <c r="V7" s="2" t="s">
        <v>40</v>
      </c>
      <c r="W7" s="2">
        <v>90</v>
      </c>
      <c r="X7" s="2">
        <v>50</v>
      </c>
      <c r="Y7" s="2">
        <v>45</v>
      </c>
      <c r="Z7" s="2">
        <v>9</v>
      </c>
      <c r="AA7" s="2">
        <v>0</v>
      </c>
      <c r="AB7" s="2">
        <v>0</v>
      </c>
      <c r="AC7" s="2">
        <v>1</v>
      </c>
      <c r="AE7" s="2">
        <v>0</v>
      </c>
    </row>
    <row r="8" spans="12:31" x14ac:dyDescent="0.3">
      <c r="L8" s="2" t="s">
        <v>41</v>
      </c>
      <c r="M8" s="2">
        <v>65</v>
      </c>
      <c r="N8" s="2">
        <v>85</v>
      </c>
      <c r="O8" s="2">
        <v>80</v>
      </c>
      <c r="P8" s="2">
        <v>4</v>
      </c>
      <c r="R8" s="2">
        <v>1</v>
      </c>
      <c r="V8" s="2" t="s">
        <v>41</v>
      </c>
      <c r="W8" s="2">
        <v>65</v>
      </c>
      <c r="X8" s="2">
        <v>85</v>
      </c>
      <c r="Y8" s="2">
        <v>80</v>
      </c>
      <c r="Z8" s="2">
        <v>4</v>
      </c>
      <c r="AA8" s="2">
        <v>0</v>
      </c>
      <c r="AB8" s="2">
        <v>1</v>
      </c>
      <c r="AC8" s="2">
        <v>0</v>
      </c>
      <c r="AE8" s="2">
        <v>1</v>
      </c>
    </row>
    <row r="9" spans="12:31" x14ac:dyDescent="0.3">
      <c r="L9" s="2" t="s">
        <v>42</v>
      </c>
      <c r="M9" s="2">
        <v>78</v>
      </c>
      <c r="N9" s="2">
        <v>72</v>
      </c>
      <c r="O9" s="2">
        <v>70</v>
      </c>
      <c r="P9" s="2">
        <v>6</v>
      </c>
      <c r="R9" s="2">
        <v>1</v>
      </c>
      <c r="V9" s="2" t="s">
        <v>42</v>
      </c>
      <c r="W9" s="2">
        <v>78</v>
      </c>
      <c r="X9" s="2">
        <v>72</v>
      </c>
      <c r="Y9" s="2">
        <v>70</v>
      </c>
      <c r="Z9" s="2">
        <v>6</v>
      </c>
      <c r="AA9" s="2">
        <v>0</v>
      </c>
      <c r="AB9" s="2">
        <v>0</v>
      </c>
      <c r="AC9" s="2">
        <v>0</v>
      </c>
      <c r="AE9" s="2">
        <v>1</v>
      </c>
    </row>
    <row r="10" spans="12:31" x14ac:dyDescent="0.3">
      <c r="L10" s="2" t="s">
        <v>43</v>
      </c>
      <c r="M10" s="2">
        <v>88</v>
      </c>
      <c r="N10" s="2">
        <v>58</v>
      </c>
      <c r="O10" s="2">
        <v>50</v>
      </c>
      <c r="P10" s="2">
        <v>8</v>
      </c>
      <c r="R10" s="2">
        <v>0</v>
      </c>
      <c r="V10" s="2" t="s">
        <v>43</v>
      </c>
      <c r="W10" s="2">
        <v>88</v>
      </c>
      <c r="X10" s="2">
        <v>58</v>
      </c>
      <c r="Y10" s="2">
        <v>50</v>
      </c>
      <c r="Z10" s="2">
        <v>8</v>
      </c>
      <c r="AA10" s="2">
        <v>1</v>
      </c>
      <c r="AB10" s="2">
        <v>0</v>
      </c>
      <c r="AC10" s="2">
        <v>1</v>
      </c>
      <c r="AE10" s="2">
        <v>1</v>
      </c>
    </row>
    <row r="12" spans="12:31" x14ac:dyDescent="0.3">
      <c r="AA12" t="s">
        <v>63</v>
      </c>
    </row>
    <row r="13" spans="12:31" x14ac:dyDescent="0.3">
      <c r="Y13" t="s">
        <v>60</v>
      </c>
      <c r="Z13">
        <f>SUMPRODUCT(W5:W10,AE5:AE10)</f>
        <v>301</v>
      </c>
      <c r="AA13" s="2">
        <v>0.5</v>
      </c>
    </row>
    <row r="14" spans="12:31" x14ac:dyDescent="0.3">
      <c r="Y14" t="s">
        <v>61</v>
      </c>
      <c r="Z14">
        <f>SUMPRODUCT(X5:X10,AE5:AE10)</f>
        <v>295</v>
      </c>
      <c r="AA14" s="2">
        <v>0.3</v>
      </c>
    </row>
    <row r="15" spans="12:31" x14ac:dyDescent="0.3">
      <c r="L15" t="s">
        <v>44</v>
      </c>
      <c r="M15">
        <f>0.5*SUMPRODUCT(M5:M10,R5:R10)+0.3*SUMPRODUCT(N5:N10,R5:R10)+0.2*SUMPRODUCT(O5:O10,R5:R10)</f>
        <v>294.10000000000002</v>
      </c>
      <c r="V15" t="s">
        <v>44</v>
      </c>
      <c r="W15">
        <f>0.5*SUMPRODUCT(W5:W10,AE5:AE10)+0.3*SUMPRODUCT(X5:X10,AE5:AE10)+0.2*SUMPRODUCT(Y5:Y10,AE5:AE10)</f>
        <v>294</v>
      </c>
      <c r="Y15" t="s">
        <v>62</v>
      </c>
      <c r="Z15">
        <f>SUMPRODUCT(Y5:Y10,AE5:AE10)</f>
        <v>275</v>
      </c>
      <c r="AA15" s="2">
        <v>0.2</v>
      </c>
    </row>
    <row r="17" spans="14:27" x14ac:dyDescent="0.3">
      <c r="Y17" t="s">
        <v>49</v>
      </c>
      <c r="Z17">
        <f>SUMPRODUCT(Z13:Z15,AA13:AA15)</f>
        <v>294</v>
      </c>
    </row>
    <row r="23" spans="14:27" x14ac:dyDescent="0.3">
      <c r="N23" t="s">
        <v>49</v>
      </c>
      <c r="O23">
        <f>SUM(R5:R10)</f>
        <v>4</v>
      </c>
      <c r="P23" t="s">
        <v>15</v>
      </c>
      <c r="Q23">
        <v>4</v>
      </c>
      <c r="X23" t="s">
        <v>49</v>
      </c>
      <c r="Y23">
        <f>SUM(AE5:AE10)</f>
        <v>4</v>
      </c>
      <c r="Z23" t="s">
        <v>15</v>
      </c>
      <c r="AA23">
        <v>4</v>
      </c>
    </row>
    <row r="24" spans="14:27" x14ac:dyDescent="0.3">
      <c r="N24" t="s">
        <v>50</v>
      </c>
      <c r="O24">
        <f>SUMPRODUCT(P5:P10,R5:R10)</f>
        <v>23</v>
      </c>
      <c r="P24" t="s">
        <v>15</v>
      </c>
      <c r="Q24">
        <f>6.5*(SUM(R5:R10))</f>
        <v>26</v>
      </c>
      <c r="X24" t="s">
        <v>50</v>
      </c>
      <c r="Y24">
        <f>SUMPRODUCT(Z5:Z10,AE5:AE10)</f>
        <v>23</v>
      </c>
      <c r="Z24" t="s">
        <v>15</v>
      </c>
      <c r="AA24">
        <f>6.5*(SUM(AE5:AE10))</f>
        <v>26</v>
      </c>
    </row>
    <row r="25" spans="14:27" x14ac:dyDescent="0.3">
      <c r="O25">
        <f>R7+R10</f>
        <v>0</v>
      </c>
      <c r="P25" t="s">
        <v>15</v>
      </c>
      <c r="Q25">
        <v>1</v>
      </c>
      <c r="Y25">
        <f>SUMPRODUCT(AA5:AA10,AE5:AE10)</f>
        <v>1</v>
      </c>
      <c r="Z25" t="s">
        <v>15</v>
      </c>
      <c r="AA25">
        <v>1</v>
      </c>
    </row>
    <row r="26" spans="14:27" x14ac:dyDescent="0.3">
      <c r="O26">
        <f>R6+R8</f>
        <v>2</v>
      </c>
      <c r="P26" t="s">
        <v>51</v>
      </c>
      <c r="Q26">
        <v>1</v>
      </c>
      <c r="Y26">
        <f>SUMPRODUCT(AB5:AB10,AE5:AE10)</f>
        <v>2</v>
      </c>
      <c r="Z26" t="s">
        <v>51</v>
      </c>
      <c r="AA26">
        <v>1</v>
      </c>
    </row>
    <row r="27" spans="14:27" x14ac:dyDescent="0.3">
      <c r="O27">
        <f>R5+R7+R10</f>
        <v>1</v>
      </c>
      <c r="P27" t="s">
        <v>51</v>
      </c>
      <c r="Q27">
        <v>1</v>
      </c>
      <c r="Y27">
        <f>SUMPRODUCT(AC5:AC10,AE5:AE10)</f>
        <v>1</v>
      </c>
      <c r="Z27" t="s">
        <v>51</v>
      </c>
      <c r="AA27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065F-D45B-497C-B4DD-E80A731813EB}">
  <dimension ref="I1:Q33"/>
  <sheetViews>
    <sheetView workbookViewId="0">
      <selection activeCell="B2" sqref="B2"/>
    </sheetView>
  </sheetViews>
  <sheetFormatPr defaultRowHeight="14.4" x14ac:dyDescent="0.3"/>
  <sheetData>
    <row r="1" spans="9:17" x14ac:dyDescent="0.3">
      <c r="K1" s="1">
        <v>1</v>
      </c>
      <c r="L1" s="1">
        <v>2</v>
      </c>
      <c r="M1" s="1">
        <v>3</v>
      </c>
      <c r="N1" s="1">
        <v>4</v>
      </c>
      <c r="O1" s="1">
        <v>5</v>
      </c>
      <c r="P1" s="1"/>
      <c r="Q1" t="s">
        <v>73</v>
      </c>
    </row>
    <row r="2" spans="9:17" x14ac:dyDescent="0.3">
      <c r="I2" t="s">
        <v>72</v>
      </c>
      <c r="J2" s="1"/>
      <c r="K2">
        <v>48</v>
      </c>
      <c r="L2">
        <v>31</v>
      </c>
      <c r="M2">
        <v>39</v>
      </c>
      <c r="N2">
        <v>43</v>
      </c>
      <c r="O2">
        <v>15</v>
      </c>
    </row>
    <row r="3" spans="9:17" x14ac:dyDescent="0.3">
      <c r="I3" s="3" t="s">
        <v>64</v>
      </c>
      <c r="J3" s="2"/>
      <c r="K3" s="2">
        <f>$K$2</f>
        <v>48</v>
      </c>
      <c r="L3" s="2">
        <v>0</v>
      </c>
      <c r="M3" s="2">
        <v>0</v>
      </c>
      <c r="N3" s="2">
        <v>0</v>
      </c>
      <c r="O3" s="2">
        <v>0</v>
      </c>
      <c r="P3" s="2"/>
      <c r="Q3">
        <v>48</v>
      </c>
    </row>
    <row r="4" spans="9:17" x14ac:dyDescent="0.3">
      <c r="I4" t="s">
        <v>65</v>
      </c>
      <c r="J4" s="2"/>
      <c r="K4" s="2">
        <f t="shared" ref="K4:K6" si="0">$K$2</f>
        <v>48</v>
      </c>
      <c r="L4" s="2">
        <f>$L$2</f>
        <v>31</v>
      </c>
      <c r="M4" s="2">
        <v>0</v>
      </c>
      <c r="N4" s="2">
        <v>0</v>
      </c>
      <c r="O4" s="2">
        <v>0</v>
      </c>
      <c r="P4" s="2"/>
      <c r="Q4">
        <v>79</v>
      </c>
    </row>
    <row r="5" spans="9:17" x14ac:dyDescent="0.3">
      <c r="I5" t="s">
        <v>66</v>
      </c>
      <c r="J5" s="2"/>
      <c r="K5" s="2">
        <f t="shared" si="0"/>
        <v>48</v>
      </c>
      <c r="L5" s="2">
        <f t="shared" ref="L5:L7" si="1">$L$2</f>
        <v>31</v>
      </c>
      <c r="M5" s="2">
        <v>0</v>
      </c>
      <c r="N5" s="2">
        <v>0</v>
      </c>
      <c r="O5" s="2">
        <v>0</v>
      </c>
      <c r="P5" s="2"/>
      <c r="Q5">
        <v>65</v>
      </c>
    </row>
    <row r="6" spans="9:17" x14ac:dyDescent="0.3">
      <c r="I6" t="s">
        <v>67</v>
      </c>
      <c r="J6" s="2"/>
      <c r="K6" s="2">
        <f t="shared" si="0"/>
        <v>48</v>
      </c>
      <c r="L6" s="2">
        <f t="shared" si="1"/>
        <v>31</v>
      </c>
      <c r="M6" s="2">
        <f>$M$2</f>
        <v>39</v>
      </c>
      <c r="N6" s="2">
        <v>0</v>
      </c>
      <c r="O6" s="2">
        <v>0</v>
      </c>
      <c r="P6" s="2"/>
      <c r="Q6">
        <v>87</v>
      </c>
    </row>
    <row r="7" spans="9:17" x14ac:dyDescent="0.3">
      <c r="I7" t="s">
        <v>68</v>
      </c>
      <c r="J7" s="2"/>
      <c r="K7" s="2">
        <v>0</v>
      </c>
      <c r="L7" s="2">
        <f t="shared" si="1"/>
        <v>31</v>
      </c>
      <c r="M7" s="2">
        <f t="shared" ref="M7:M9" si="2">$M$2</f>
        <v>39</v>
      </c>
      <c r="N7" s="2">
        <v>0</v>
      </c>
      <c r="O7" s="2">
        <v>0</v>
      </c>
      <c r="P7" s="2"/>
      <c r="Q7">
        <v>64</v>
      </c>
    </row>
    <row r="8" spans="9:17" x14ac:dyDescent="0.3">
      <c r="I8" t="s">
        <v>69</v>
      </c>
      <c r="J8" s="2"/>
      <c r="K8" s="2">
        <v>0</v>
      </c>
      <c r="L8" s="2">
        <v>0</v>
      </c>
      <c r="M8" s="2">
        <f t="shared" si="2"/>
        <v>39</v>
      </c>
      <c r="N8" s="2">
        <f>$N$2</f>
        <v>43</v>
      </c>
      <c r="O8" s="2">
        <v>0</v>
      </c>
      <c r="P8" s="2"/>
      <c r="Q8">
        <v>73</v>
      </c>
    </row>
    <row r="9" spans="9:17" x14ac:dyDescent="0.3">
      <c r="I9" t="s">
        <v>70</v>
      </c>
      <c r="K9" s="2">
        <v>0</v>
      </c>
      <c r="L9" s="2">
        <v>0</v>
      </c>
      <c r="M9" s="2">
        <f t="shared" si="2"/>
        <v>39</v>
      </c>
      <c r="N9" s="2">
        <f t="shared" ref="N9:N11" si="3">$N$2</f>
        <v>43</v>
      </c>
      <c r="O9" s="2">
        <v>0</v>
      </c>
      <c r="Q9">
        <v>82</v>
      </c>
    </row>
    <row r="10" spans="9:17" x14ac:dyDescent="0.3">
      <c r="I10" t="s">
        <v>65</v>
      </c>
      <c r="K10" s="2">
        <v>0</v>
      </c>
      <c r="L10" s="2">
        <v>0</v>
      </c>
      <c r="M10" s="2">
        <v>0</v>
      </c>
      <c r="N10" s="2">
        <f t="shared" si="3"/>
        <v>43</v>
      </c>
      <c r="O10" s="2">
        <v>0</v>
      </c>
      <c r="Q10">
        <v>43</v>
      </c>
    </row>
    <row r="11" spans="9:17" x14ac:dyDescent="0.3">
      <c r="I11" t="s">
        <v>66</v>
      </c>
      <c r="K11" s="2">
        <v>0</v>
      </c>
      <c r="L11" s="2">
        <v>0</v>
      </c>
      <c r="M11" s="2">
        <v>0</v>
      </c>
      <c r="N11" s="2">
        <f t="shared" si="3"/>
        <v>43</v>
      </c>
      <c r="O11" s="2">
        <f>$O$2</f>
        <v>15</v>
      </c>
      <c r="Q11">
        <v>52</v>
      </c>
    </row>
    <row r="12" spans="9:17" x14ac:dyDescent="0.3">
      <c r="I12" t="s">
        <v>71</v>
      </c>
      <c r="K12" s="2">
        <v>0</v>
      </c>
      <c r="L12" s="2">
        <v>0</v>
      </c>
      <c r="M12" s="2">
        <v>0</v>
      </c>
      <c r="N12" s="2">
        <v>0</v>
      </c>
      <c r="O12" s="2">
        <f>$O$2</f>
        <v>15</v>
      </c>
      <c r="Q12">
        <v>15</v>
      </c>
    </row>
    <row r="14" spans="9:17" x14ac:dyDescent="0.3">
      <c r="I14" t="s">
        <v>74</v>
      </c>
      <c r="K14">
        <v>170</v>
      </c>
      <c r="L14">
        <v>160</v>
      </c>
      <c r="M14">
        <v>175</v>
      </c>
      <c r="N14">
        <v>180</v>
      </c>
      <c r="O14">
        <v>195</v>
      </c>
    </row>
    <row r="19" spans="11:13" x14ac:dyDescent="0.3">
      <c r="K19" t="s">
        <v>75</v>
      </c>
      <c r="L19">
        <f>SUMPRODUCT(K2:O2,K14:O14)</f>
        <v>30610</v>
      </c>
    </row>
    <row r="23" spans="11:13" x14ac:dyDescent="0.3">
      <c r="K23" t="s">
        <v>14</v>
      </c>
    </row>
    <row r="24" spans="11:13" x14ac:dyDescent="0.3">
      <c r="K24">
        <f>SUM(K3:O3)</f>
        <v>48</v>
      </c>
      <c r="L24" t="s">
        <v>15</v>
      </c>
      <c r="M24">
        <f>Q3</f>
        <v>48</v>
      </c>
    </row>
    <row r="25" spans="11:13" x14ac:dyDescent="0.3">
      <c r="K25">
        <f t="shared" ref="K25:K32" si="4">SUM(K4:O4)</f>
        <v>79</v>
      </c>
      <c r="L25" t="s">
        <v>15</v>
      </c>
      <c r="M25">
        <f t="shared" ref="M25:M33" si="5">Q4</f>
        <v>79</v>
      </c>
    </row>
    <row r="26" spans="11:13" x14ac:dyDescent="0.3">
      <c r="K26">
        <f t="shared" si="4"/>
        <v>79</v>
      </c>
      <c r="L26" t="s">
        <v>15</v>
      </c>
      <c r="M26">
        <f t="shared" si="5"/>
        <v>65</v>
      </c>
    </row>
    <row r="27" spans="11:13" x14ac:dyDescent="0.3">
      <c r="K27">
        <f t="shared" si="4"/>
        <v>118</v>
      </c>
      <c r="L27" t="s">
        <v>15</v>
      </c>
      <c r="M27">
        <f t="shared" si="5"/>
        <v>87</v>
      </c>
    </row>
    <row r="28" spans="11:13" x14ac:dyDescent="0.3">
      <c r="K28">
        <f t="shared" si="4"/>
        <v>70</v>
      </c>
      <c r="L28" t="s">
        <v>15</v>
      </c>
      <c r="M28">
        <f t="shared" si="5"/>
        <v>64</v>
      </c>
    </row>
    <row r="29" spans="11:13" x14ac:dyDescent="0.3">
      <c r="K29">
        <f t="shared" si="4"/>
        <v>82</v>
      </c>
      <c r="L29" t="s">
        <v>15</v>
      </c>
      <c r="M29">
        <f t="shared" si="5"/>
        <v>73</v>
      </c>
    </row>
    <row r="30" spans="11:13" x14ac:dyDescent="0.3">
      <c r="K30">
        <f t="shared" si="4"/>
        <v>82</v>
      </c>
      <c r="L30" t="s">
        <v>15</v>
      </c>
      <c r="M30">
        <f t="shared" si="5"/>
        <v>82</v>
      </c>
    </row>
    <row r="31" spans="11:13" x14ac:dyDescent="0.3">
      <c r="K31">
        <f t="shared" si="4"/>
        <v>43</v>
      </c>
      <c r="L31" t="s">
        <v>15</v>
      </c>
      <c r="M31">
        <f t="shared" si="5"/>
        <v>43</v>
      </c>
    </row>
    <row r="32" spans="11:13" x14ac:dyDescent="0.3">
      <c r="K32">
        <f t="shared" si="4"/>
        <v>58</v>
      </c>
      <c r="L32" t="s">
        <v>15</v>
      </c>
      <c r="M32">
        <f t="shared" si="5"/>
        <v>52</v>
      </c>
    </row>
    <row r="33" spans="11:13" x14ac:dyDescent="0.3">
      <c r="K33">
        <f>SUM(K12:O12)</f>
        <v>15</v>
      </c>
      <c r="L33" t="s">
        <v>15</v>
      </c>
      <c r="M33">
        <f t="shared" si="5"/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3ED3-8EB4-4102-9F34-E686375E5E1B}">
  <dimension ref="E2:K33"/>
  <sheetViews>
    <sheetView tabSelected="1" workbookViewId="0">
      <selection activeCell="P13" sqref="P13"/>
    </sheetView>
  </sheetViews>
  <sheetFormatPr defaultRowHeight="14.4" x14ac:dyDescent="0.3"/>
  <cols>
    <col min="5" max="5" width="15.296875" bestFit="1" customWidth="1"/>
  </cols>
  <sheetData>
    <row r="2" spans="6:11" x14ac:dyDescent="0.3">
      <c r="G2" t="s">
        <v>76</v>
      </c>
      <c r="H2" t="s">
        <v>77</v>
      </c>
      <c r="I2" t="s">
        <v>78</v>
      </c>
      <c r="J2" t="s">
        <v>79</v>
      </c>
      <c r="K2" t="s">
        <v>80</v>
      </c>
    </row>
    <row r="3" spans="6:11" x14ac:dyDescent="0.3">
      <c r="F3" t="s">
        <v>76</v>
      </c>
      <c r="G3">
        <v>0</v>
      </c>
      <c r="H3">
        <v>200</v>
      </c>
      <c r="I3">
        <v>400</v>
      </c>
      <c r="J3">
        <v>900</v>
      </c>
      <c r="K3">
        <v>0</v>
      </c>
    </row>
    <row r="4" spans="6:11" x14ac:dyDescent="0.3">
      <c r="F4" t="s">
        <v>77</v>
      </c>
      <c r="G4">
        <v>0</v>
      </c>
      <c r="H4">
        <v>0</v>
      </c>
      <c r="I4">
        <v>300</v>
      </c>
      <c r="J4">
        <v>0</v>
      </c>
      <c r="K4">
        <v>0</v>
      </c>
    </row>
    <row r="5" spans="6:11" x14ac:dyDescent="0.3">
      <c r="F5" t="s">
        <v>78</v>
      </c>
      <c r="G5">
        <v>0</v>
      </c>
      <c r="H5">
        <v>0</v>
      </c>
      <c r="I5">
        <v>0</v>
      </c>
      <c r="J5">
        <v>0</v>
      </c>
      <c r="K5">
        <v>100</v>
      </c>
    </row>
    <row r="6" spans="6:11" x14ac:dyDescent="0.3">
      <c r="F6" t="s">
        <v>79</v>
      </c>
      <c r="G6">
        <v>0</v>
      </c>
      <c r="H6">
        <v>0</v>
      </c>
      <c r="I6">
        <v>0</v>
      </c>
      <c r="J6">
        <v>0</v>
      </c>
      <c r="K6">
        <v>300</v>
      </c>
    </row>
    <row r="7" spans="6:11" x14ac:dyDescent="0.3">
      <c r="F7" t="s">
        <v>80</v>
      </c>
      <c r="G7">
        <v>0</v>
      </c>
      <c r="H7">
        <v>0</v>
      </c>
      <c r="I7">
        <v>0</v>
      </c>
      <c r="J7">
        <v>200</v>
      </c>
      <c r="K7">
        <v>0</v>
      </c>
    </row>
    <row r="9" spans="6:11" x14ac:dyDescent="0.3"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 spans="6:11" x14ac:dyDescent="0.3">
      <c r="F10" t="s">
        <v>76</v>
      </c>
      <c r="G10">
        <v>0</v>
      </c>
      <c r="H10">
        <v>0</v>
      </c>
      <c r="I10">
        <v>40</v>
      </c>
      <c r="J10">
        <v>10</v>
      </c>
      <c r="K10">
        <v>0</v>
      </c>
    </row>
    <row r="11" spans="6:11" x14ac:dyDescent="0.3">
      <c r="F11" t="s">
        <v>77</v>
      </c>
      <c r="G11">
        <v>0</v>
      </c>
      <c r="H11">
        <v>0</v>
      </c>
      <c r="I11">
        <v>40</v>
      </c>
      <c r="J11">
        <v>0</v>
      </c>
      <c r="K11">
        <v>0</v>
      </c>
    </row>
    <row r="12" spans="6:11" x14ac:dyDescent="0.3">
      <c r="F12" t="s">
        <v>78</v>
      </c>
      <c r="G12">
        <v>0</v>
      </c>
      <c r="H12">
        <v>0</v>
      </c>
      <c r="I12">
        <v>0</v>
      </c>
      <c r="J12">
        <v>0</v>
      </c>
      <c r="K12">
        <v>80</v>
      </c>
    </row>
    <row r="13" spans="6:11" x14ac:dyDescent="0.3">
      <c r="F13" t="s">
        <v>79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6:11" x14ac:dyDescent="0.3">
      <c r="F14" t="s">
        <v>80</v>
      </c>
      <c r="G14">
        <v>0</v>
      </c>
      <c r="H14">
        <v>0</v>
      </c>
      <c r="I14">
        <v>0</v>
      </c>
      <c r="J14">
        <v>20</v>
      </c>
      <c r="K14">
        <v>0</v>
      </c>
    </row>
    <row r="16" spans="6:11" x14ac:dyDescent="0.3">
      <c r="F16" t="s">
        <v>114</v>
      </c>
      <c r="H16">
        <f>SUMPRODUCT(G3:K7,G10:K14)</f>
        <v>49000</v>
      </c>
    </row>
    <row r="17" spans="5:9" x14ac:dyDescent="0.3">
      <c r="E17" t="s">
        <v>115</v>
      </c>
      <c r="G17" t="s">
        <v>116</v>
      </c>
      <c r="I17" t="s">
        <v>117</v>
      </c>
    </row>
    <row r="18" spans="5:9" x14ac:dyDescent="0.3">
      <c r="F18" t="s">
        <v>76</v>
      </c>
      <c r="G18">
        <f>H10+I10+J10</f>
        <v>50</v>
      </c>
      <c r="H18" t="s">
        <v>15</v>
      </c>
      <c r="I18">
        <v>50</v>
      </c>
    </row>
    <row r="19" spans="5:9" x14ac:dyDescent="0.3">
      <c r="F19" t="s">
        <v>77</v>
      </c>
      <c r="G19">
        <f>I11-H10</f>
        <v>40</v>
      </c>
      <c r="H19" t="s">
        <v>15</v>
      </c>
      <c r="I19">
        <v>40</v>
      </c>
    </row>
    <row r="21" spans="5:9" x14ac:dyDescent="0.3">
      <c r="E21" t="s">
        <v>118</v>
      </c>
      <c r="G21" t="s">
        <v>119</v>
      </c>
    </row>
    <row r="23" spans="5:9" x14ac:dyDescent="0.3">
      <c r="F23">
        <f>I10+I11</f>
        <v>80</v>
      </c>
      <c r="G23" t="s">
        <v>16</v>
      </c>
      <c r="H23">
        <f>K12</f>
        <v>80</v>
      </c>
    </row>
    <row r="25" spans="5:9" x14ac:dyDescent="0.3">
      <c r="E25" t="s">
        <v>120</v>
      </c>
    </row>
    <row r="26" spans="5:9" x14ac:dyDescent="0.3">
      <c r="E26" t="s">
        <v>121</v>
      </c>
      <c r="F26">
        <f>J10+J14-K13</f>
        <v>30</v>
      </c>
      <c r="G26" t="s">
        <v>54</v>
      </c>
      <c r="H26">
        <v>30</v>
      </c>
    </row>
    <row r="29" spans="5:9" x14ac:dyDescent="0.3">
      <c r="E29" t="s">
        <v>122</v>
      </c>
    </row>
    <row r="30" spans="5:9" x14ac:dyDescent="0.3">
      <c r="E30" t="s">
        <v>123</v>
      </c>
      <c r="F30">
        <f>K12+K13-J14</f>
        <v>60</v>
      </c>
      <c r="G30" t="s">
        <v>54</v>
      </c>
      <c r="H30">
        <v>60</v>
      </c>
    </row>
    <row r="32" spans="5:9" x14ac:dyDescent="0.3">
      <c r="E32" t="s">
        <v>124</v>
      </c>
    </row>
    <row r="33" spans="5:8" x14ac:dyDescent="0.3">
      <c r="E33" t="s">
        <v>125</v>
      </c>
      <c r="F33">
        <f>K12</f>
        <v>80</v>
      </c>
      <c r="G33" t="s">
        <v>15</v>
      </c>
      <c r="H33">
        <v>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E3CD-0D89-4737-B02A-7D61A4A50F17}">
  <dimension ref="L2:U30"/>
  <sheetViews>
    <sheetView topLeftCell="C13" workbookViewId="0">
      <selection activeCell="M20" sqref="M20"/>
    </sheetView>
  </sheetViews>
  <sheetFormatPr defaultRowHeight="14.4" x14ac:dyDescent="0.3"/>
  <sheetData>
    <row r="2" spans="12:21" x14ac:dyDescent="0.3">
      <c r="M2" t="s">
        <v>95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47</v>
      </c>
    </row>
    <row r="3" spans="12:21" x14ac:dyDescent="0.3">
      <c r="L3" t="s">
        <v>76</v>
      </c>
      <c r="M3" t="s">
        <v>96</v>
      </c>
      <c r="N3">
        <v>200</v>
      </c>
      <c r="O3">
        <v>400</v>
      </c>
      <c r="P3">
        <v>900</v>
      </c>
      <c r="Q3" t="s">
        <v>96</v>
      </c>
      <c r="R3">
        <v>50</v>
      </c>
    </row>
    <row r="4" spans="12:21" x14ac:dyDescent="0.3">
      <c r="L4" t="s">
        <v>77</v>
      </c>
      <c r="M4" t="s">
        <v>96</v>
      </c>
      <c r="N4" t="s">
        <v>96</v>
      </c>
      <c r="O4">
        <v>300</v>
      </c>
      <c r="P4" t="s">
        <v>96</v>
      </c>
      <c r="Q4" t="s">
        <v>96</v>
      </c>
      <c r="R4">
        <v>40</v>
      </c>
    </row>
    <row r="5" spans="12:21" x14ac:dyDescent="0.3">
      <c r="L5" t="s">
        <v>78</v>
      </c>
      <c r="M5" t="s">
        <v>96</v>
      </c>
      <c r="N5" t="s">
        <v>96</v>
      </c>
      <c r="O5" t="s">
        <v>96</v>
      </c>
      <c r="P5">
        <v>200</v>
      </c>
      <c r="Q5">
        <v>100</v>
      </c>
      <c r="R5">
        <v>0</v>
      </c>
    </row>
    <row r="6" spans="12:21" x14ac:dyDescent="0.3">
      <c r="L6" t="s">
        <v>79</v>
      </c>
      <c r="M6" t="s">
        <v>96</v>
      </c>
      <c r="N6" t="s">
        <v>96</v>
      </c>
      <c r="O6" t="s">
        <v>96</v>
      </c>
      <c r="P6" t="s">
        <v>96</v>
      </c>
      <c r="Q6">
        <v>300</v>
      </c>
      <c r="R6">
        <v>-30</v>
      </c>
    </row>
    <row r="7" spans="12:21" x14ac:dyDescent="0.3">
      <c r="L7" t="s">
        <v>80</v>
      </c>
      <c r="M7" t="s">
        <v>96</v>
      </c>
      <c r="N7" t="s">
        <v>96</v>
      </c>
      <c r="O7" t="s">
        <v>96</v>
      </c>
      <c r="P7">
        <v>300</v>
      </c>
      <c r="Q7" t="s">
        <v>96</v>
      </c>
      <c r="R7">
        <v>-60</v>
      </c>
    </row>
    <row r="10" spans="12:21" x14ac:dyDescent="0.3">
      <c r="Q10" t="s">
        <v>81</v>
      </c>
      <c r="R10" t="s">
        <v>82</v>
      </c>
      <c r="S10" t="s">
        <v>84</v>
      </c>
      <c r="T10" t="s">
        <v>83</v>
      </c>
      <c r="U10" t="s">
        <v>85</v>
      </c>
    </row>
    <row r="11" spans="12:21" x14ac:dyDescent="0.3">
      <c r="Q11" t="s">
        <v>76</v>
      </c>
      <c r="R11" t="s">
        <v>79</v>
      </c>
      <c r="S11">
        <v>50</v>
      </c>
      <c r="T11">
        <v>900</v>
      </c>
      <c r="U11" t="s">
        <v>86</v>
      </c>
    </row>
    <row r="12" spans="12:21" x14ac:dyDescent="0.3">
      <c r="Q12" t="s">
        <v>76</v>
      </c>
      <c r="R12" t="s">
        <v>77</v>
      </c>
      <c r="S12">
        <v>0</v>
      </c>
      <c r="T12">
        <v>200</v>
      </c>
      <c r="U12">
        <v>10</v>
      </c>
    </row>
    <row r="13" spans="12:21" x14ac:dyDescent="0.3">
      <c r="Q13" t="s">
        <v>76</v>
      </c>
      <c r="R13" t="s">
        <v>78</v>
      </c>
      <c r="S13">
        <v>0</v>
      </c>
      <c r="T13">
        <v>400</v>
      </c>
      <c r="U13" t="s">
        <v>86</v>
      </c>
    </row>
    <row r="14" spans="12:21" x14ac:dyDescent="0.3">
      <c r="Q14" t="s">
        <v>77</v>
      </c>
      <c r="R14" t="s">
        <v>78</v>
      </c>
      <c r="S14">
        <v>40</v>
      </c>
      <c r="T14">
        <v>300</v>
      </c>
      <c r="U14" t="s">
        <v>86</v>
      </c>
    </row>
    <row r="15" spans="12:21" x14ac:dyDescent="0.3">
      <c r="Q15" t="s">
        <v>78</v>
      </c>
      <c r="R15" t="s">
        <v>79</v>
      </c>
      <c r="S15">
        <v>0</v>
      </c>
      <c r="T15">
        <v>200</v>
      </c>
      <c r="U15" t="s">
        <v>86</v>
      </c>
    </row>
    <row r="16" spans="12:21" x14ac:dyDescent="0.3">
      <c r="Q16" t="s">
        <v>78</v>
      </c>
      <c r="R16" t="s">
        <v>80</v>
      </c>
      <c r="S16">
        <v>40</v>
      </c>
      <c r="T16">
        <v>100</v>
      </c>
      <c r="U16">
        <v>80</v>
      </c>
    </row>
    <row r="17" spans="13:21" x14ac:dyDescent="0.3">
      <c r="Q17" t="s">
        <v>79</v>
      </c>
      <c r="R17" t="s">
        <v>80</v>
      </c>
      <c r="S17">
        <v>20</v>
      </c>
      <c r="T17">
        <v>300</v>
      </c>
      <c r="U17" t="s">
        <v>86</v>
      </c>
    </row>
    <row r="18" spans="13:21" x14ac:dyDescent="0.3">
      <c r="Q18" t="s">
        <v>80</v>
      </c>
      <c r="R18" t="s">
        <v>79</v>
      </c>
      <c r="S18">
        <v>0</v>
      </c>
      <c r="T18">
        <v>300</v>
      </c>
      <c r="U18" t="s">
        <v>86</v>
      </c>
    </row>
    <row r="21" spans="13:21" x14ac:dyDescent="0.3">
      <c r="R21" t="s">
        <v>49</v>
      </c>
      <c r="S21">
        <f>SUMPRODUCT(S11:S18,T11:T18)</f>
        <v>67000</v>
      </c>
    </row>
    <row r="24" spans="13:21" x14ac:dyDescent="0.3">
      <c r="M24" t="s">
        <v>89</v>
      </c>
      <c r="N24" t="s">
        <v>90</v>
      </c>
      <c r="R24">
        <f>SUM(S11:S13)</f>
        <v>50</v>
      </c>
      <c r="S24" t="s">
        <v>16</v>
      </c>
      <c r="T24">
        <v>50</v>
      </c>
    </row>
    <row r="25" spans="13:21" x14ac:dyDescent="0.3">
      <c r="M25" t="s">
        <v>87</v>
      </c>
      <c r="N25" t="s">
        <v>91</v>
      </c>
      <c r="R25">
        <f>S14-S12</f>
        <v>40</v>
      </c>
      <c r="S25" t="s">
        <v>16</v>
      </c>
      <c r="T25">
        <v>40</v>
      </c>
    </row>
    <row r="26" spans="13:21" x14ac:dyDescent="0.3">
      <c r="M26" t="s">
        <v>88</v>
      </c>
      <c r="N26" t="s">
        <v>92</v>
      </c>
      <c r="R26">
        <f>S13+S14</f>
        <v>40</v>
      </c>
      <c r="S26" t="s">
        <v>16</v>
      </c>
      <c r="T26">
        <f>S15+S16</f>
        <v>40</v>
      </c>
    </row>
    <row r="27" spans="13:21" x14ac:dyDescent="0.3">
      <c r="M27" t="s">
        <v>93</v>
      </c>
      <c r="N27" t="s">
        <v>94</v>
      </c>
      <c r="R27">
        <f>S11+S15+S18-S17</f>
        <v>30</v>
      </c>
      <c r="S27" t="s">
        <v>16</v>
      </c>
      <c r="T27">
        <v>30</v>
      </c>
    </row>
    <row r="28" spans="13:21" x14ac:dyDescent="0.3">
      <c r="R28">
        <f>S16+S17-S18</f>
        <v>60</v>
      </c>
      <c r="S28" t="s">
        <v>16</v>
      </c>
      <c r="T28">
        <v>60</v>
      </c>
    </row>
    <row r="29" spans="13:21" x14ac:dyDescent="0.3">
      <c r="R29">
        <f>S12</f>
        <v>0</v>
      </c>
      <c r="S29" t="s">
        <v>15</v>
      </c>
      <c r="T29">
        <v>10</v>
      </c>
    </row>
    <row r="30" spans="13:21" x14ac:dyDescent="0.3">
      <c r="R30">
        <f>S16</f>
        <v>40</v>
      </c>
      <c r="S30" t="s">
        <v>15</v>
      </c>
      <c r="T30">
        <v>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5E74-FB3B-4C51-AB27-BDF9571060FC}">
  <dimension ref="E1:V5001"/>
  <sheetViews>
    <sheetView topLeftCell="D1" workbookViewId="0">
      <selection activeCell="O7" sqref="O7"/>
    </sheetView>
  </sheetViews>
  <sheetFormatPr defaultRowHeight="14.4" x14ac:dyDescent="0.3"/>
  <cols>
    <col min="21" max="21" width="23" bestFit="1" customWidth="1"/>
  </cols>
  <sheetData>
    <row r="1" spans="5:22" x14ac:dyDescent="0.3">
      <c r="S1" t="s">
        <v>107</v>
      </c>
    </row>
    <row r="2" spans="5:22" x14ac:dyDescent="0.3">
      <c r="I2" t="s">
        <v>106</v>
      </c>
      <c r="K2" t="s">
        <v>104</v>
      </c>
      <c r="L2">
        <f ca="1">I6*I7*12</f>
        <v>703560</v>
      </c>
      <c r="O2" s="4"/>
      <c r="P2">
        <v>1</v>
      </c>
      <c r="Q2">
        <f ca="1">L5</f>
        <v>-216077</v>
      </c>
      <c r="S2">
        <v>-492885</v>
      </c>
      <c r="U2" t="s">
        <v>13</v>
      </c>
      <c r="V2">
        <f>MIN(datapoints)</f>
        <v>-903822</v>
      </c>
    </row>
    <row r="3" spans="5:22" x14ac:dyDescent="0.3">
      <c r="E3" t="s">
        <v>97</v>
      </c>
      <c r="F3">
        <v>10000</v>
      </c>
      <c r="G3">
        <v>25000</v>
      </c>
      <c r="I3">
        <f ca="1">RANDBETWEEN(F3,G3)</f>
        <v>14621</v>
      </c>
      <c r="K3" t="s">
        <v>105</v>
      </c>
      <c r="L3">
        <f ca="1">I3+I4*12+I5*12</f>
        <v>919637</v>
      </c>
      <c r="P3">
        <v>2</v>
      </c>
      <c r="Q3">
        <f t="dataTable" ref="Q3:Q5001" dt2D="0" dtr="0" r1="S6" ca="1"/>
        <v>177345</v>
      </c>
      <c r="S3">
        <v>617610</v>
      </c>
      <c r="U3" t="s">
        <v>49</v>
      </c>
      <c r="V3">
        <f>MAX(datapoints)</f>
        <v>1199633</v>
      </c>
    </row>
    <row r="4" spans="5:22" x14ac:dyDescent="0.3">
      <c r="E4" t="s">
        <v>98</v>
      </c>
      <c r="F4">
        <v>5000</v>
      </c>
      <c r="G4">
        <v>7500</v>
      </c>
      <c r="I4">
        <f ca="1">RANDBETWEEN(F4,G4)</f>
        <v>5008</v>
      </c>
      <c r="P4">
        <v>3</v>
      </c>
      <c r="Q4">
        <v>-97138</v>
      </c>
      <c r="S4">
        <v>348003</v>
      </c>
      <c r="U4" t="s">
        <v>108</v>
      </c>
      <c r="V4">
        <f>COUNTIF(datapoints,"&gt;=0")</f>
        <v>2580</v>
      </c>
    </row>
    <row r="5" spans="5:22" x14ac:dyDescent="0.3">
      <c r="E5" t="s">
        <v>99</v>
      </c>
      <c r="F5">
        <v>40000</v>
      </c>
      <c r="G5">
        <v>80000</v>
      </c>
      <c r="I5">
        <f t="shared" ref="I5:I7" ca="1" si="0">RANDBETWEEN(F5,G5)</f>
        <v>70410</v>
      </c>
      <c r="K5" t="s">
        <v>100</v>
      </c>
      <c r="L5">
        <f ca="1">L2-L3</f>
        <v>-216077</v>
      </c>
      <c r="P5">
        <v>4</v>
      </c>
      <c r="Q5">
        <v>218754</v>
      </c>
      <c r="S5">
        <v>-105918</v>
      </c>
      <c r="U5" t="s">
        <v>109</v>
      </c>
      <c r="V5">
        <f>V4/5000</f>
        <v>0.51600000000000001</v>
      </c>
    </row>
    <row r="6" spans="5:22" x14ac:dyDescent="0.3">
      <c r="E6" t="s">
        <v>100</v>
      </c>
      <c r="F6">
        <v>20</v>
      </c>
      <c r="G6">
        <v>30</v>
      </c>
      <c r="I6">
        <f t="shared" ca="1" si="0"/>
        <v>26</v>
      </c>
      <c r="P6">
        <v>5</v>
      </c>
      <c r="Q6">
        <v>938489</v>
      </c>
      <c r="S6">
        <v>-343309</v>
      </c>
    </row>
    <row r="7" spans="5:22" x14ac:dyDescent="0.3">
      <c r="E7" t="s">
        <v>101</v>
      </c>
      <c r="F7">
        <v>500</v>
      </c>
      <c r="G7">
        <v>5000</v>
      </c>
      <c r="I7">
        <f t="shared" ca="1" si="0"/>
        <v>2255</v>
      </c>
      <c r="P7">
        <v>6</v>
      </c>
      <c r="Q7">
        <v>474215</v>
      </c>
      <c r="S7">
        <v>147360</v>
      </c>
    </row>
    <row r="8" spans="5:22" x14ac:dyDescent="0.3">
      <c r="P8">
        <v>7</v>
      </c>
      <c r="Q8">
        <v>-312193</v>
      </c>
      <c r="S8">
        <v>259709</v>
      </c>
      <c r="U8" t="s">
        <v>110</v>
      </c>
      <c r="V8">
        <f>COUNTIF(datapoints,"&gt;=500000")/5000</f>
        <v>0.15540000000000001</v>
      </c>
    </row>
    <row r="9" spans="5:22" x14ac:dyDescent="0.3">
      <c r="P9">
        <v>8</v>
      </c>
      <c r="Q9">
        <v>-141026</v>
      </c>
      <c r="S9">
        <v>710790</v>
      </c>
    </row>
    <row r="10" spans="5:22" x14ac:dyDescent="0.3">
      <c r="F10" t="s">
        <v>102</v>
      </c>
      <c r="G10" t="s">
        <v>103</v>
      </c>
      <c r="P10">
        <v>9</v>
      </c>
      <c r="Q10">
        <v>-581119</v>
      </c>
      <c r="S10">
        <v>-794697</v>
      </c>
    </row>
    <row r="11" spans="5:22" x14ac:dyDescent="0.3">
      <c r="F11">
        <f>G3</f>
        <v>25000</v>
      </c>
      <c r="G11">
        <f>F3</f>
        <v>10000</v>
      </c>
      <c r="I11" t="s">
        <v>104</v>
      </c>
      <c r="J11">
        <f>F6*F7*12</f>
        <v>120000</v>
      </c>
      <c r="K11">
        <f>G6*G7*12</f>
        <v>1800000</v>
      </c>
      <c r="P11">
        <v>10</v>
      </c>
      <c r="Q11">
        <v>206320</v>
      </c>
      <c r="S11">
        <v>198089</v>
      </c>
      <c r="U11" t="s">
        <v>111</v>
      </c>
      <c r="V11">
        <f>COUNTIF(datapoints,"&gt;=300000")/5000</f>
        <v>0.28620000000000001</v>
      </c>
    </row>
    <row r="12" spans="5:22" x14ac:dyDescent="0.3">
      <c r="F12">
        <f t="shared" ref="F12:F13" si="1">G4</f>
        <v>7500</v>
      </c>
      <c r="G12">
        <f t="shared" ref="G12:G13" si="2">F4</f>
        <v>5000</v>
      </c>
      <c r="I12" t="s">
        <v>105</v>
      </c>
      <c r="J12">
        <f>G3+G4*12+G5*12</f>
        <v>1075000</v>
      </c>
      <c r="K12">
        <f>F3+F4*12+F5*12</f>
        <v>550000</v>
      </c>
      <c r="P12">
        <v>11</v>
      </c>
      <c r="Q12">
        <v>-547716</v>
      </c>
      <c r="S12">
        <v>560262</v>
      </c>
    </row>
    <row r="13" spans="5:22" x14ac:dyDescent="0.3">
      <c r="F13">
        <f t="shared" si="1"/>
        <v>80000</v>
      </c>
      <c r="G13">
        <f t="shared" si="2"/>
        <v>40000</v>
      </c>
      <c r="P13">
        <v>12</v>
      </c>
      <c r="Q13">
        <v>-261668</v>
      </c>
      <c r="S13">
        <v>-329154</v>
      </c>
      <c r="U13" t="s">
        <v>112</v>
      </c>
      <c r="V13">
        <f>COUNTIF(datapoints,"&gt;=-200000")/5000</f>
        <v>0.65559999999999996</v>
      </c>
    </row>
    <row r="14" spans="5:22" x14ac:dyDescent="0.3">
      <c r="F14">
        <f>F6</f>
        <v>20</v>
      </c>
      <c r="G14" cm="1">
        <f t="array" ref="G14:G15">G6:G7</f>
        <v>30</v>
      </c>
      <c r="I14" t="s">
        <v>100</v>
      </c>
      <c r="J14">
        <f>J11-J12</f>
        <v>-955000</v>
      </c>
      <c r="K14">
        <f>K11-K12</f>
        <v>1250000</v>
      </c>
      <c r="P14">
        <v>13</v>
      </c>
      <c r="Q14">
        <v>-398808</v>
      </c>
      <c r="S14">
        <v>417476</v>
      </c>
    </row>
    <row r="15" spans="5:22" x14ac:dyDescent="0.3">
      <c r="F15">
        <f>F7</f>
        <v>500</v>
      </c>
      <c r="G15">
        <v>5000</v>
      </c>
      <c r="P15">
        <v>14</v>
      </c>
      <c r="Q15">
        <v>476987</v>
      </c>
      <c r="S15">
        <v>-356959</v>
      </c>
      <c r="U15" t="s">
        <v>113</v>
      </c>
      <c r="V15">
        <f>COUNTIF(datapoints,"&gt;=-100000")/5000</f>
        <v>0.57820000000000005</v>
      </c>
    </row>
    <row r="16" spans="5:22" x14ac:dyDescent="0.3">
      <c r="P16">
        <v>15</v>
      </c>
      <c r="Q16">
        <v>-40843</v>
      </c>
      <c r="S16">
        <v>-346433</v>
      </c>
    </row>
    <row r="17" spans="16:19" x14ac:dyDescent="0.3">
      <c r="P17">
        <v>16</v>
      </c>
      <c r="Q17">
        <v>-284268</v>
      </c>
      <c r="S17">
        <v>-369353</v>
      </c>
    </row>
    <row r="18" spans="16:19" x14ac:dyDescent="0.3">
      <c r="P18">
        <v>17</v>
      </c>
      <c r="Q18">
        <v>261606</v>
      </c>
      <c r="S18">
        <v>-512108</v>
      </c>
    </row>
    <row r="19" spans="16:19" x14ac:dyDescent="0.3">
      <c r="P19">
        <v>18</v>
      </c>
      <c r="Q19">
        <v>-376226</v>
      </c>
      <c r="S19">
        <v>-372169</v>
      </c>
    </row>
    <row r="20" spans="16:19" x14ac:dyDescent="0.3">
      <c r="P20">
        <v>19</v>
      </c>
      <c r="Q20">
        <v>-772429</v>
      </c>
      <c r="S20">
        <v>255575</v>
      </c>
    </row>
    <row r="21" spans="16:19" x14ac:dyDescent="0.3">
      <c r="P21">
        <v>20</v>
      </c>
      <c r="Q21">
        <v>53641</v>
      </c>
      <c r="S21">
        <v>-441839</v>
      </c>
    </row>
    <row r="22" spans="16:19" x14ac:dyDescent="0.3">
      <c r="P22">
        <v>21</v>
      </c>
      <c r="Q22">
        <v>-193003</v>
      </c>
      <c r="S22">
        <v>-248950</v>
      </c>
    </row>
    <row r="23" spans="16:19" x14ac:dyDescent="0.3">
      <c r="P23">
        <v>22</v>
      </c>
      <c r="Q23">
        <v>277892</v>
      </c>
      <c r="S23">
        <v>-163935</v>
      </c>
    </row>
    <row r="24" spans="16:19" x14ac:dyDescent="0.3">
      <c r="P24">
        <v>23</v>
      </c>
      <c r="Q24">
        <v>-581239</v>
      </c>
      <c r="S24">
        <v>-606988</v>
      </c>
    </row>
    <row r="25" spans="16:19" x14ac:dyDescent="0.3">
      <c r="P25">
        <v>24</v>
      </c>
      <c r="Q25">
        <v>-225970</v>
      </c>
      <c r="S25">
        <v>178786</v>
      </c>
    </row>
    <row r="26" spans="16:19" x14ac:dyDescent="0.3">
      <c r="P26">
        <v>25</v>
      </c>
      <c r="Q26">
        <v>484750</v>
      </c>
      <c r="S26">
        <v>258189</v>
      </c>
    </row>
    <row r="27" spans="16:19" x14ac:dyDescent="0.3">
      <c r="P27">
        <v>26</v>
      </c>
      <c r="Q27">
        <v>99114</v>
      </c>
      <c r="S27">
        <v>-875004</v>
      </c>
    </row>
    <row r="28" spans="16:19" x14ac:dyDescent="0.3">
      <c r="P28">
        <v>27</v>
      </c>
      <c r="Q28">
        <v>458836</v>
      </c>
      <c r="S28">
        <v>487297</v>
      </c>
    </row>
    <row r="29" spans="16:19" x14ac:dyDescent="0.3">
      <c r="P29">
        <v>28</v>
      </c>
      <c r="Q29">
        <v>-806</v>
      </c>
      <c r="S29">
        <v>-258493</v>
      </c>
    </row>
    <row r="30" spans="16:19" x14ac:dyDescent="0.3">
      <c r="P30">
        <v>29</v>
      </c>
      <c r="Q30">
        <v>423702</v>
      </c>
      <c r="S30">
        <v>-34108</v>
      </c>
    </row>
    <row r="31" spans="16:19" x14ac:dyDescent="0.3">
      <c r="P31">
        <v>30</v>
      </c>
      <c r="Q31">
        <v>714973</v>
      </c>
      <c r="S31">
        <v>-555383</v>
      </c>
    </row>
    <row r="32" spans="16:19" x14ac:dyDescent="0.3">
      <c r="P32">
        <v>31</v>
      </c>
      <c r="Q32">
        <v>-334734</v>
      </c>
      <c r="S32">
        <v>-277760</v>
      </c>
    </row>
    <row r="33" spans="16:19" x14ac:dyDescent="0.3">
      <c r="P33">
        <v>32</v>
      </c>
      <c r="Q33">
        <v>-724681</v>
      </c>
      <c r="S33">
        <v>-169671</v>
      </c>
    </row>
    <row r="34" spans="16:19" x14ac:dyDescent="0.3">
      <c r="P34">
        <v>33</v>
      </c>
      <c r="Q34">
        <v>-12223</v>
      </c>
      <c r="S34">
        <v>-644797</v>
      </c>
    </row>
    <row r="35" spans="16:19" x14ac:dyDescent="0.3">
      <c r="P35">
        <v>34</v>
      </c>
      <c r="Q35">
        <v>-258316</v>
      </c>
      <c r="S35">
        <v>239163</v>
      </c>
    </row>
    <row r="36" spans="16:19" x14ac:dyDescent="0.3">
      <c r="P36">
        <v>35</v>
      </c>
      <c r="Q36">
        <v>-279559</v>
      </c>
      <c r="S36">
        <v>564835</v>
      </c>
    </row>
    <row r="37" spans="16:19" x14ac:dyDescent="0.3">
      <c r="P37">
        <v>36</v>
      </c>
      <c r="Q37">
        <v>563306</v>
      </c>
      <c r="S37">
        <v>512199</v>
      </c>
    </row>
    <row r="38" spans="16:19" x14ac:dyDescent="0.3">
      <c r="P38">
        <v>37</v>
      </c>
      <c r="Q38">
        <v>-181498</v>
      </c>
      <c r="S38">
        <v>184174</v>
      </c>
    </row>
    <row r="39" spans="16:19" x14ac:dyDescent="0.3">
      <c r="P39">
        <v>38</v>
      </c>
      <c r="Q39">
        <v>29234</v>
      </c>
      <c r="S39">
        <v>-229609</v>
      </c>
    </row>
    <row r="40" spans="16:19" x14ac:dyDescent="0.3">
      <c r="P40">
        <v>39</v>
      </c>
      <c r="Q40">
        <v>730602</v>
      </c>
      <c r="S40">
        <v>-82776</v>
      </c>
    </row>
    <row r="41" spans="16:19" x14ac:dyDescent="0.3">
      <c r="P41">
        <v>40</v>
      </c>
      <c r="Q41">
        <v>-505801</v>
      </c>
      <c r="S41">
        <v>-163487</v>
      </c>
    </row>
    <row r="42" spans="16:19" x14ac:dyDescent="0.3">
      <c r="P42">
        <v>41</v>
      </c>
      <c r="Q42">
        <v>-770249</v>
      </c>
      <c r="S42">
        <v>-77746</v>
      </c>
    </row>
    <row r="43" spans="16:19" x14ac:dyDescent="0.3">
      <c r="P43">
        <v>42</v>
      </c>
      <c r="Q43">
        <v>179984</v>
      </c>
      <c r="S43">
        <v>440489</v>
      </c>
    </row>
    <row r="44" spans="16:19" x14ac:dyDescent="0.3">
      <c r="P44">
        <v>43</v>
      </c>
      <c r="Q44">
        <v>-747285</v>
      </c>
      <c r="S44">
        <v>-16790</v>
      </c>
    </row>
    <row r="45" spans="16:19" x14ac:dyDescent="0.3">
      <c r="P45">
        <v>44</v>
      </c>
      <c r="Q45">
        <v>-234062</v>
      </c>
      <c r="S45">
        <v>-245158</v>
      </c>
    </row>
    <row r="46" spans="16:19" x14ac:dyDescent="0.3">
      <c r="P46">
        <v>45</v>
      </c>
      <c r="Q46">
        <v>302505</v>
      </c>
      <c r="S46">
        <v>206764</v>
      </c>
    </row>
    <row r="47" spans="16:19" x14ac:dyDescent="0.3">
      <c r="P47">
        <v>46</v>
      </c>
      <c r="Q47">
        <v>255792</v>
      </c>
      <c r="S47">
        <v>705021</v>
      </c>
    </row>
    <row r="48" spans="16:19" x14ac:dyDescent="0.3">
      <c r="P48">
        <v>47</v>
      </c>
      <c r="Q48">
        <v>-281102</v>
      </c>
      <c r="S48">
        <v>546764</v>
      </c>
    </row>
    <row r="49" spans="16:19" x14ac:dyDescent="0.3">
      <c r="P49">
        <v>48</v>
      </c>
      <c r="Q49">
        <v>-554886</v>
      </c>
      <c r="S49">
        <v>-273961</v>
      </c>
    </row>
    <row r="50" spans="16:19" x14ac:dyDescent="0.3">
      <c r="P50">
        <v>49</v>
      </c>
      <c r="Q50">
        <v>-279900</v>
      </c>
      <c r="S50">
        <v>393603</v>
      </c>
    </row>
    <row r="51" spans="16:19" x14ac:dyDescent="0.3">
      <c r="P51">
        <v>50</v>
      </c>
      <c r="Q51">
        <v>-47997</v>
      </c>
      <c r="S51">
        <v>-171014</v>
      </c>
    </row>
    <row r="52" spans="16:19" x14ac:dyDescent="0.3">
      <c r="P52">
        <v>51</v>
      </c>
      <c r="Q52">
        <v>840044</v>
      </c>
      <c r="S52">
        <v>401124</v>
      </c>
    </row>
    <row r="53" spans="16:19" x14ac:dyDescent="0.3">
      <c r="P53">
        <v>52</v>
      </c>
      <c r="Q53">
        <v>496435</v>
      </c>
      <c r="S53">
        <v>-18837</v>
      </c>
    </row>
    <row r="54" spans="16:19" x14ac:dyDescent="0.3">
      <c r="P54">
        <v>53</v>
      </c>
      <c r="Q54">
        <v>344259</v>
      </c>
      <c r="S54">
        <v>357187</v>
      </c>
    </row>
    <row r="55" spans="16:19" x14ac:dyDescent="0.3">
      <c r="P55">
        <v>54</v>
      </c>
      <c r="Q55">
        <v>62005</v>
      </c>
      <c r="S55">
        <v>345586</v>
      </c>
    </row>
    <row r="56" spans="16:19" x14ac:dyDescent="0.3">
      <c r="P56">
        <v>55</v>
      </c>
      <c r="Q56">
        <v>617713</v>
      </c>
      <c r="S56">
        <v>-409880</v>
      </c>
    </row>
    <row r="57" spans="16:19" x14ac:dyDescent="0.3">
      <c r="P57">
        <v>56</v>
      </c>
      <c r="Q57">
        <v>-612569</v>
      </c>
      <c r="S57">
        <v>-385227</v>
      </c>
    </row>
    <row r="58" spans="16:19" x14ac:dyDescent="0.3">
      <c r="P58">
        <v>57</v>
      </c>
      <c r="Q58">
        <v>-299509</v>
      </c>
      <c r="S58">
        <v>50920</v>
      </c>
    </row>
    <row r="59" spans="16:19" x14ac:dyDescent="0.3">
      <c r="P59">
        <v>58</v>
      </c>
      <c r="Q59">
        <v>-581120</v>
      </c>
      <c r="S59">
        <v>842761</v>
      </c>
    </row>
    <row r="60" spans="16:19" x14ac:dyDescent="0.3">
      <c r="P60">
        <v>59</v>
      </c>
      <c r="Q60">
        <v>827801</v>
      </c>
      <c r="S60">
        <v>-214461</v>
      </c>
    </row>
    <row r="61" spans="16:19" x14ac:dyDescent="0.3">
      <c r="P61">
        <v>60</v>
      </c>
      <c r="Q61">
        <v>370979</v>
      </c>
      <c r="S61">
        <v>399040</v>
      </c>
    </row>
    <row r="62" spans="16:19" x14ac:dyDescent="0.3">
      <c r="P62">
        <v>61</v>
      </c>
      <c r="Q62">
        <v>-746085</v>
      </c>
      <c r="S62">
        <v>-435583</v>
      </c>
    </row>
    <row r="63" spans="16:19" x14ac:dyDescent="0.3">
      <c r="P63">
        <v>62</v>
      </c>
      <c r="Q63">
        <v>657068</v>
      </c>
      <c r="S63">
        <v>953612</v>
      </c>
    </row>
    <row r="64" spans="16:19" x14ac:dyDescent="0.3">
      <c r="P64">
        <v>63</v>
      </c>
      <c r="Q64">
        <v>-565898</v>
      </c>
      <c r="S64">
        <v>400519</v>
      </c>
    </row>
    <row r="65" spans="16:19" x14ac:dyDescent="0.3">
      <c r="P65">
        <v>64</v>
      </c>
      <c r="Q65">
        <v>472899</v>
      </c>
      <c r="S65">
        <v>-647222</v>
      </c>
    </row>
    <row r="66" spans="16:19" x14ac:dyDescent="0.3">
      <c r="P66">
        <v>65</v>
      </c>
      <c r="Q66">
        <v>398404</v>
      </c>
      <c r="S66">
        <v>688142</v>
      </c>
    </row>
    <row r="67" spans="16:19" x14ac:dyDescent="0.3">
      <c r="P67">
        <v>66</v>
      </c>
      <c r="Q67">
        <v>-117581</v>
      </c>
      <c r="S67">
        <v>-492191</v>
      </c>
    </row>
    <row r="68" spans="16:19" x14ac:dyDescent="0.3">
      <c r="P68">
        <v>67</v>
      </c>
      <c r="Q68">
        <v>635819</v>
      </c>
      <c r="S68">
        <v>-544986</v>
      </c>
    </row>
    <row r="69" spans="16:19" x14ac:dyDescent="0.3">
      <c r="P69">
        <v>68</v>
      </c>
      <c r="Q69">
        <v>68501</v>
      </c>
      <c r="S69">
        <v>-466039</v>
      </c>
    </row>
    <row r="70" spans="16:19" x14ac:dyDescent="0.3">
      <c r="P70">
        <v>69</v>
      </c>
      <c r="Q70">
        <v>411226</v>
      </c>
      <c r="S70">
        <v>416739</v>
      </c>
    </row>
    <row r="71" spans="16:19" x14ac:dyDescent="0.3">
      <c r="P71">
        <v>70</v>
      </c>
      <c r="Q71">
        <v>-319319</v>
      </c>
      <c r="S71">
        <v>571682</v>
      </c>
    </row>
    <row r="72" spans="16:19" x14ac:dyDescent="0.3">
      <c r="P72">
        <v>71</v>
      </c>
      <c r="Q72">
        <v>190047</v>
      </c>
      <c r="S72">
        <v>-230736</v>
      </c>
    </row>
    <row r="73" spans="16:19" x14ac:dyDescent="0.3">
      <c r="P73">
        <v>72</v>
      </c>
      <c r="Q73">
        <v>435100</v>
      </c>
      <c r="S73">
        <v>470017</v>
      </c>
    </row>
    <row r="74" spans="16:19" x14ac:dyDescent="0.3">
      <c r="P74">
        <v>73</v>
      </c>
      <c r="Q74">
        <v>202903</v>
      </c>
      <c r="S74">
        <v>-498197</v>
      </c>
    </row>
    <row r="75" spans="16:19" x14ac:dyDescent="0.3">
      <c r="P75">
        <v>74</v>
      </c>
      <c r="Q75">
        <v>303808</v>
      </c>
      <c r="S75">
        <v>416960</v>
      </c>
    </row>
    <row r="76" spans="16:19" x14ac:dyDescent="0.3">
      <c r="P76">
        <v>75</v>
      </c>
      <c r="Q76">
        <v>-88860</v>
      </c>
      <c r="S76">
        <v>-359258</v>
      </c>
    </row>
    <row r="77" spans="16:19" x14ac:dyDescent="0.3">
      <c r="P77">
        <v>76</v>
      </c>
      <c r="Q77">
        <v>-795947</v>
      </c>
      <c r="S77">
        <v>-389361</v>
      </c>
    </row>
    <row r="78" spans="16:19" x14ac:dyDescent="0.3">
      <c r="P78">
        <v>77</v>
      </c>
      <c r="Q78">
        <v>-250071</v>
      </c>
      <c r="S78">
        <v>-389088</v>
      </c>
    </row>
    <row r="79" spans="16:19" x14ac:dyDescent="0.3">
      <c r="P79">
        <v>78</v>
      </c>
      <c r="Q79">
        <v>703847</v>
      </c>
      <c r="S79">
        <v>169136</v>
      </c>
    </row>
    <row r="80" spans="16:19" x14ac:dyDescent="0.3">
      <c r="P80">
        <v>79</v>
      </c>
      <c r="Q80">
        <v>-268620</v>
      </c>
      <c r="S80">
        <v>442918</v>
      </c>
    </row>
    <row r="81" spans="16:19" x14ac:dyDescent="0.3">
      <c r="P81">
        <v>80</v>
      </c>
      <c r="Q81">
        <v>-408162</v>
      </c>
      <c r="S81">
        <v>-312077</v>
      </c>
    </row>
    <row r="82" spans="16:19" x14ac:dyDescent="0.3">
      <c r="P82">
        <v>81</v>
      </c>
      <c r="Q82">
        <v>356092</v>
      </c>
      <c r="S82">
        <v>292327</v>
      </c>
    </row>
    <row r="83" spans="16:19" x14ac:dyDescent="0.3">
      <c r="P83">
        <v>82</v>
      </c>
      <c r="Q83">
        <v>-560138</v>
      </c>
      <c r="S83">
        <v>171318</v>
      </c>
    </row>
    <row r="84" spans="16:19" x14ac:dyDescent="0.3">
      <c r="P84">
        <v>83</v>
      </c>
      <c r="Q84">
        <v>590362</v>
      </c>
      <c r="S84">
        <v>-698306</v>
      </c>
    </row>
    <row r="85" spans="16:19" x14ac:dyDescent="0.3">
      <c r="P85">
        <v>84</v>
      </c>
      <c r="Q85">
        <v>563404</v>
      </c>
      <c r="S85">
        <v>-444315</v>
      </c>
    </row>
    <row r="86" spans="16:19" x14ac:dyDescent="0.3">
      <c r="P86">
        <v>85</v>
      </c>
      <c r="Q86">
        <v>-336634</v>
      </c>
      <c r="S86">
        <v>397770</v>
      </c>
    </row>
    <row r="87" spans="16:19" x14ac:dyDescent="0.3">
      <c r="P87">
        <v>86</v>
      </c>
      <c r="Q87">
        <v>211463</v>
      </c>
      <c r="S87">
        <v>-684608</v>
      </c>
    </row>
    <row r="88" spans="16:19" x14ac:dyDescent="0.3">
      <c r="P88">
        <v>87</v>
      </c>
      <c r="Q88">
        <v>-529935</v>
      </c>
      <c r="S88">
        <v>37184</v>
      </c>
    </row>
    <row r="89" spans="16:19" x14ac:dyDescent="0.3">
      <c r="P89">
        <v>88</v>
      </c>
      <c r="Q89">
        <v>108096</v>
      </c>
      <c r="S89">
        <v>-460454</v>
      </c>
    </row>
    <row r="90" spans="16:19" x14ac:dyDescent="0.3">
      <c r="P90">
        <v>89</v>
      </c>
      <c r="Q90">
        <v>146871</v>
      </c>
      <c r="S90">
        <v>-204341</v>
      </c>
    </row>
    <row r="91" spans="16:19" x14ac:dyDescent="0.3">
      <c r="P91">
        <v>90</v>
      </c>
      <c r="Q91">
        <v>692357</v>
      </c>
      <c r="S91">
        <v>185282</v>
      </c>
    </row>
    <row r="92" spans="16:19" x14ac:dyDescent="0.3">
      <c r="P92">
        <v>91</v>
      </c>
      <c r="Q92">
        <v>40479</v>
      </c>
      <c r="S92">
        <v>294271</v>
      </c>
    </row>
    <row r="93" spans="16:19" x14ac:dyDescent="0.3">
      <c r="P93">
        <v>92</v>
      </c>
      <c r="Q93">
        <v>-600018</v>
      </c>
      <c r="S93">
        <v>167823</v>
      </c>
    </row>
    <row r="94" spans="16:19" x14ac:dyDescent="0.3">
      <c r="P94">
        <v>93</v>
      </c>
      <c r="Q94">
        <v>-486511</v>
      </c>
      <c r="S94">
        <v>-191038</v>
      </c>
    </row>
    <row r="95" spans="16:19" x14ac:dyDescent="0.3">
      <c r="P95">
        <v>94</v>
      </c>
      <c r="Q95">
        <v>382972</v>
      </c>
      <c r="S95">
        <v>339290</v>
      </c>
    </row>
    <row r="96" spans="16:19" x14ac:dyDescent="0.3">
      <c r="P96">
        <v>95</v>
      </c>
      <c r="Q96">
        <v>-103843</v>
      </c>
      <c r="S96">
        <v>-394575</v>
      </c>
    </row>
    <row r="97" spans="16:19" x14ac:dyDescent="0.3">
      <c r="P97">
        <v>96</v>
      </c>
      <c r="Q97">
        <v>6132</v>
      </c>
      <c r="S97">
        <v>-373083</v>
      </c>
    </row>
    <row r="98" spans="16:19" x14ac:dyDescent="0.3">
      <c r="P98">
        <v>97</v>
      </c>
      <c r="Q98">
        <v>-546299</v>
      </c>
      <c r="S98">
        <v>1044225</v>
      </c>
    </row>
    <row r="99" spans="16:19" x14ac:dyDescent="0.3">
      <c r="P99">
        <v>98</v>
      </c>
      <c r="Q99">
        <v>-667905</v>
      </c>
      <c r="S99">
        <v>-777227</v>
      </c>
    </row>
    <row r="100" spans="16:19" x14ac:dyDescent="0.3">
      <c r="P100">
        <v>99</v>
      </c>
      <c r="Q100">
        <v>382807</v>
      </c>
      <c r="S100">
        <v>688210</v>
      </c>
    </row>
    <row r="101" spans="16:19" x14ac:dyDescent="0.3">
      <c r="P101">
        <v>100</v>
      </c>
      <c r="Q101">
        <v>-181771</v>
      </c>
      <c r="S101">
        <v>181514</v>
      </c>
    </row>
    <row r="102" spans="16:19" x14ac:dyDescent="0.3">
      <c r="P102">
        <v>101</v>
      </c>
      <c r="Q102">
        <v>489606</v>
      </c>
      <c r="S102">
        <v>-677281</v>
      </c>
    </row>
    <row r="103" spans="16:19" x14ac:dyDescent="0.3">
      <c r="P103">
        <v>102</v>
      </c>
      <c r="Q103">
        <v>-906098</v>
      </c>
      <c r="S103">
        <v>-335693</v>
      </c>
    </row>
    <row r="104" spans="16:19" x14ac:dyDescent="0.3">
      <c r="P104">
        <v>103</v>
      </c>
      <c r="Q104">
        <v>319374</v>
      </c>
      <c r="S104">
        <v>-188999</v>
      </c>
    </row>
    <row r="105" spans="16:19" x14ac:dyDescent="0.3">
      <c r="P105">
        <v>104</v>
      </c>
      <c r="Q105">
        <v>739486</v>
      </c>
      <c r="S105">
        <v>29299</v>
      </c>
    </row>
    <row r="106" spans="16:19" x14ac:dyDescent="0.3">
      <c r="P106">
        <v>105</v>
      </c>
      <c r="Q106">
        <v>68778</v>
      </c>
      <c r="S106">
        <v>693280</v>
      </c>
    </row>
    <row r="107" spans="16:19" x14ac:dyDescent="0.3">
      <c r="P107">
        <v>106</v>
      </c>
      <c r="Q107">
        <v>-433516</v>
      </c>
      <c r="S107">
        <v>-30388</v>
      </c>
    </row>
    <row r="108" spans="16:19" x14ac:dyDescent="0.3">
      <c r="P108">
        <v>107</v>
      </c>
      <c r="Q108">
        <v>914395</v>
      </c>
      <c r="S108">
        <v>228530</v>
      </c>
    </row>
    <row r="109" spans="16:19" x14ac:dyDescent="0.3">
      <c r="P109">
        <v>108</v>
      </c>
      <c r="Q109">
        <v>250899</v>
      </c>
      <c r="S109">
        <v>-609333</v>
      </c>
    </row>
    <row r="110" spans="16:19" x14ac:dyDescent="0.3">
      <c r="P110">
        <v>109</v>
      </c>
      <c r="Q110">
        <v>-582519</v>
      </c>
      <c r="S110">
        <v>-391196</v>
      </c>
    </row>
    <row r="111" spans="16:19" x14ac:dyDescent="0.3">
      <c r="P111">
        <v>110</v>
      </c>
      <c r="Q111">
        <v>-175531</v>
      </c>
      <c r="S111">
        <v>34308</v>
      </c>
    </row>
    <row r="112" spans="16:19" x14ac:dyDescent="0.3">
      <c r="P112">
        <v>111</v>
      </c>
      <c r="Q112">
        <v>524442</v>
      </c>
      <c r="S112">
        <v>617554</v>
      </c>
    </row>
    <row r="113" spans="16:19" x14ac:dyDescent="0.3">
      <c r="P113">
        <v>112</v>
      </c>
      <c r="Q113">
        <v>451391</v>
      </c>
      <c r="S113">
        <v>545032</v>
      </c>
    </row>
    <row r="114" spans="16:19" x14ac:dyDescent="0.3">
      <c r="P114">
        <v>113</v>
      </c>
      <c r="Q114">
        <v>-48944</v>
      </c>
      <c r="S114">
        <v>-670903</v>
      </c>
    </row>
    <row r="115" spans="16:19" x14ac:dyDescent="0.3">
      <c r="P115">
        <v>114</v>
      </c>
      <c r="Q115">
        <v>116632</v>
      </c>
      <c r="S115">
        <v>-458178</v>
      </c>
    </row>
    <row r="116" spans="16:19" x14ac:dyDescent="0.3">
      <c r="P116">
        <v>115</v>
      </c>
      <c r="Q116">
        <v>9281</v>
      </c>
      <c r="S116">
        <v>248384</v>
      </c>
    </row>
    <row r="117" spans="16:19" x14ac:dyDescent="0.3">
      <c r="P117">
        <v>116</v>
      </c>
      <c r="Q117">
        <v>-113400</v>
      </c>
      <c r="S117">
        <v>531957</v>
      </c>
    </row>
    <row r="118" spans="16:19" x14ac:dyDescent="0.3">
      <c r="P118">
        <v>117</v>
      </c>
      <c r="Q118">
        <v>96426</v>
      </c>
      <c r="S118">
        <v>-371538</v>
      </c>
    </row>
    <row r="119" spans="16:19" x14ac:dyDescent="0.3">
      <c r="P119">
        <v>118</v>
      </c>
      <c r="Q119">
        <v>-326497</v>
      </c>
      <c r="S119">
        <v>-195423</v>
      </c>
    </row>
    <row r="120" spans="16:19" x14ac:dyDescent="0.3">
      <c r="P120">
        <v>119</v>
      </c>
      <c r="Q120">
        <v>850916</v>
      </c>
      <c r="S120">
        <v>-312150</v>
      </c>
    </row>
    <row r="121" spans="16:19" x14ac:dyDescent="0.3">
      <c r="P121">
        <v>120</v>
      </c>
      <c r="Q121">
        <v>314850</v>
      </c>
      <c r="S121">
        <v>-736596</v>
      </c>
    </row>
    <row r="122" spans="16:19" x14ac:dyDescent="0.3">
      <c r="P122">
        <v>121</v>
      </c>
      <c r="Q122">
        <v>959557</v>
      </c>
      <c r="S122">
        <v>-382822</v>
      </c>
    </row>
    <row r="123" spans="16:19" x14ac:dyDescent="0.3">
      <c r="P123">
        <v>122</v>
      </c>
      <c r="Q123">
        <v>819058</v>
      </c>
      <c r="S123">
        <v>597391</v>
      </c>
    </row>
    <row r="124" spans="16:19" x14ac:dyDescent="0.3">
      <c r="P124">
        <v>123</v>
      </c>
      <c r="Q124">
        <v>-435544</v>
      </c>
      <c r="S124">
        <v>-475531</v>
      </c>
    </row>
    <row r="125" spans="16:19" x14ac:dyDescent="0.3">
      <c r="P125">
        <v>124</v>
      </c>
      <c r="Q125">
        <v>159260</v>
      </c>
      <c r="S125">
        <v>-679290</v>
      </c>
    </row>
    <row r="126" spans="16:19" x14ac:dyDescent="0.3">
      <c r="P126">
        <v>125</v>
      </c>
      <c r="Q126">
        <v>-580317</v>
      </c>
      <c r="S126">
        <v>240749</v>
      </c>
    </row>
    <row r="127" spans="16:19" x14ac:dyDescent="0.3">
      <c r="P127">
        <v>126</v>
      </c>
      <c r="Q127">
        <v>-22703</v>
      </c>
      <c r="S127">
        <v>-85257</v>
      </c>
    </row>
    <row r="128" spans="16:19" x14ac:dyDescent="0.3">
      <c r="P128">
        <v>127</v>
      </c>
      <c r="Q128">
        <v>257655</v>
      </c>
      <c r="S128">
        <v>-198702</v>
      </c>
    </row>
    <row r="129" spans="16:19" x14ac:dyDescent="0.3">
      <c r="P129">
        <v>128</v>
      </c>
      <c r="Q129">
        <v>-165537</v>
      </c>
      <c r="S129">
        <v>392575</v>
      </c>
    </row>
    <row r="130" spans="16:19" x14ac:dyDescent="0.3">
      <c r="P130">
        <v>129</v>
      </c>
      <c r="Q130">
        <v>13736</v>
      </c>
      <c r="S130">
        <v>-161997</v>
      </c>
    </row>
    <row r="131" spans="16:19" x14ac:dyDescent="0.3">
      <c r="P131">
        <v>130</v>
      </c>
      <c r="Q131">
        <v>98947</v>
      </c>
      <c r="S131">
        <v>470320</v>
      </c>
    </row>
    <row r="132" spans="16:19" x14ac:dyDescent="0.3">
      <c r="P132">
        <v>131</v>
      </c>
      <c r="Q132">
        <v>-594102</v>
      </c>
      <c r="S132">
        <v>-358181</v>
      </c>
    </row>
    <row r="133" spans="16:19" x14ac:dyDescent="0.3">
      <c r="P133">
        <v>132</v>
      </c>
      <c r="Q133">
        <v>-54022</v>
      </c>
      <c r="S133">
        <v>-808249</v>
      </c>
    </row>
    <row r="134" spans="16:19" x14ac:dyDescent="0.3">
      <c r="P134">
        <v>133</v>
      </c>
      <c r="Q134">
        <v>-168232</v>
      </c>
      <c r="S134">
        <v>578364</v>
      </c>
    </row>
    <row r="135" spans="16:19" x14ac:dyDescent="0.3">
      <c r="P135">
        <v>134</v>
      </c>
      <c r="Q135">
        <v>-57112</v>
      </c>
      <c r="S135">
        <v>666822</v>
      </c>
    </row>
    <row r="136" spans="16:19" x14ac:dyDescent="0.3">
      <c r="P136">
        <v>135</v>
      </c>
      <c r="Q136">
        <v>439478</v>
      </c>
      <c r="S136">
        <v>-447899</v>
      </c>
    </row>
    <row r="137" spans="16:19" x14ac:dyDescent="0.3">
      <c r="P137">
        <v>136</v>
      </c>
      <c r="Q137">
        <v>-355982</v>
      </c>
      <c r="S137">
        <v>-231262</v>
      </c>
    </row>
    <row r="138" spans="16:19" x14ac:dyDescent="0.3">
      <c r="P138">
        <v>137</v>
      </c>
      <c r="Q138">
        <v>1222</v>
      </c>
      <c r="S138">
        <v>361634</v>
      </c>
    </row>
    <row r="139" spans="16:19" x14ac:dyDescent="0.3">
      <c r="P139">
        <v>138</v>
      </c>
      <c r="Q139">
        <v>-622959</v>
      </c>
      <c r="S139">
        <v>-486906</v>
      </c>
    </row>
    <row r="140" spans="16:19" x14ac:dyDescent="0.3">
      <c r="P140">
        <v>139</v>
      </c>
      <c r="Q140">
        <v>70221</v>
      </c>
      <c r="S140">
        <v>276360</v>
      </c>
    </row>
    <row r="141" spans="16:19" x14ac:dyDescent="0.3">
      <c r="P141">
        <v>140</v>
      </c>
      <c r="Q141">
        <v>615575</v>
      </c>
      <c r="S141">
        <v>-288792</v>
      </c>
    </row>
    <row r="142" spans="16:19" x14ac:dyDescent="0.3">
      <c r="P142">
        <v>141</v>
      </c>
      <c r="Q142">
        <v>753621</v>
      </c>
      <c r="S142">
        <v>216147</v>
      </c>
    </row>
    <row r="143" spans="16:19" x14ac:dyDescent="0.3">
      <c r="P143">
        <v>142</v>
      </c>
      <c r="Q143">
        <v>-535152</v>
      </c>
      <c r="S143">
        <v>-401848</v>
      </c>
    </row>
    <row r="144" spans="16:19" x14ac:dyDescent="0.3">
      <c r="P144">
        <v>143</v>
      </c>
      <c r="Q144">
        <v>-467942</v>
      </c>
      <c r="S144">
        <v>-561177</v>
      </c>
    </row>
    <row r="145" spans="16:19" x14ac:dyDescent="0.3">
      <c r="P145">
        <v>144</v>
      </c>
      <c r="Q145">
        <v>391214</v>
      </c>
      <c r="S145">
        <v>-601875</v>
      </c>
    </row>
    <row r="146" spans="16:19" x14ac:dyDescent="0.3">
      <c r="P146">
        <v>145</v>
      </c>
      <c r="Q146">
        <v>-606192</v>
      </c>
      <c r="S146">
        <v>-273786</v>
      </c>
    </row>
    <row r="147" spans="16:19" x14ac:dyDescent="0.3">
      <c r="P147">
        <v>146</v>
      </c>
      <c r="Q147">
        <v>294307</v>
      </c>
      <c r="S147">
        <v>43642</v>
      </c>
    </row>
    <row r="148" spans="16:19" x14ac:dyDescent="0.3">
      <c r="P148">
        <v>147</v>
      </c>
      <c r="Q148">
        <v>-10707</v>
      </c>
      <c r="S148">
        <v>-7355</v>
      </c>
    </row>
    <row r="149" spans="16:19" x14ac:dyDescent="0.3">
      <c r="P149">
        <v>148</v>
      </c>
      <c r="Q149">
        <v>735662</v>
      </c>
      <c r="S149">
        <v>-262652</v>
      </c>
    </row>
    <row r="150" spans="16:19" x14ac:dyDescent="0.3">
      <c r="P150">
        <v>149</v>
      </c>
      <c r="Q150">
        <v>567128</v>
      </c>
      <c r="S150">
        <v>-136076</v>
      </c>
    </row>
    <row r="151" spans="16:19" x14ac:dyDescent="0.3">
      <c r="P151">
        <v>150</v>
      </c>
      <c r="Q151">
        <v>-10506</v>
      </c>
      <c r="S151">
        <v>148660</v>
      </c>
    </row>
    <row r="152" spans="16:19" x14ac:dyDescent="0.3">
      <c r="P152">
        <v>151</v>
      </c>
      <c r="Q152">
        <v>-51446</v>
      </c>
      <c r="S152">
        <v>62311</v>
      </c>
    </row>
    <row r="153" spans="16:19" x14ac:dyDescent="0.3">
      <c r="P153">
        <v>152</v>
      </c>
      <c r="Q153">
        <v>-165368</v>
      </c>
      <c r="S153">
        <v>155482</v>
      </c>
    </row>
    <row r="154" spans="16:19" x14ac:dyDescent="0.3">
      <c r="P154">
        <v>153</v>
      </c>
      <c r="Q154">
        <v>-385572</v>
      </c>
      <c r="S154">
        <v>-54184</v>
      </c>
    </row>
    <row r="155" spans="16:19" x14ac:dyDescent="0.3">
      <c r="P155">
        <v>154</v>
      </c>
      <c r="Q155">
        <v>-250334</v>
      </c>
      <c r="S155">
        <v>-130178</v>
      </c>
    </row>
    <row r="156" spans="16:19" x14ac:dyDescent="0.3">
      <c r="P156">
        <v>155</v>
      </c>
      <c r="Q156">
        <v>-414782</v>
      </c>
      <c r="S156">
        <v>686033</v>
      </c>
    </row>
    <row r="157" spans="16:19" x14ac:dyDescent="0.3">
      <c r="P157">
        <v>156</v>
      </c>
      <c r="Q157">
        <v>85257</v>
      </c>
      <c r="S157">
        <v>717493</v>
      </c>
    </row>
    <row r="158" spans="16:19" x14ac:dyDescent="0.3">
      <c r="P158">
        <v>157</v>
      </c>
      <c r="Q158">
        <v>90364</v>
      </c>
      <c r="S158">
        <v>749603</v>
      </c>
    </row>
    <row r="159" spans="16:19" x14ac:dyDescent="0.3">
      <c r="P159">
        <v>158</v>
      </c>
      <c r="Q159">
        <v>670624</v>
      </c>
      <c r="S159">
        <v>-684846</v>
      </c>
    </row>
    <row r="160" spans="16:19" x14ac:dyDescent="0.3">
      <c r="P160">
        <v>159</v>
      </c>
      <c r="Q160">
        <v>31272</v>
      </c>
      <c r="S160">
        <v>-352547</v>
      </c>
    </row>
    <row r="161" spans="16:19" x14ac:dyDescent="0.3">
      <c r="P161">
        <v>160</v>
      </c>
      <c r="Q161">
        <v>-61709</v>
      </c>
      <c r="S161">
        <v>-597794</v>
      </c>
    </row>
    <row r="162" spans="16:19" x14ac:dyDescent="0.3">
      <c r="P162">
        <v>161</v>
      </c>
      <c r="Q162">
        <v>-225762</v>
      </c>
      <c r="S162">
        <v>-153205</v>
      </c>
    </row>
    <row r="163" spans="16:19" x14ac:dyDescent="0.3">
      <c r="P163">
        <v>162</v>
      </c>
      <c r="Q163">
        <v>-616326</v>
      </c>
      <c r="S163">
        <v>369776</v>
      </c>
    </row>
    <row r="164" spans="16:19" x14ac:dyDescent="0.3">
      <c r="P164">
        <v>163</v>
      </c>
      <c r="Q164">
        <v>-405229</v>
      </c>
      <c r="S164">
        <v>194846</v>
      </c>
    </row>
    <row r="165" spans="16:19" x14ac:dyDescent="0.3">
      <c r="P165">
        <v>164</v>
      </c>
      <c r="Q165">
        <v>576955</v>
      </c>
      <c r="S165">
        <v>-274624</v>
      </c>
    </row>
    <row r="166" spans="16:19" x14ac:dyDescent="0.3">
      <c r="P166">
        <v>165</v>
      </c>
      <c r="Q166">
        <v>-527045</v>
      </c>
      <c r="S166">
        <v>-304304</v>
      </c>
    </row>
    <row r="167" spans="16:19" x14ac:dyDescent="0.3">
      <c r="P167">
        <v>166</v>
      </c>
      <c r="Q167">
        <v>35020</v>
      </c>
      <c r="S167">
        <v>-748767</v>
      </c>
    </row>
    <row r="168" spans="16:19" x14ac:dyDescent="0.3">
      <c r="P168">
        <v>167</v>
      </c>
      <c r="Q168">
        <v>609078</v>
      </c>
      <c r="S168">
        <v>-319728</v>
      </c>
    </row>
    <row r="169" spans="16:19" x14ac:dyDescent="0.3">
      <c r="P169">
        <v>168</v>
      </c>
      <c r="Q169">
        <v>-28542</v>
      </c>
      <c r="S169">
        <v>639597</v>
      </c>
    </row>
    <row r="170" spans="16:19" x14ac:dyDescent="0.3">
      <c r="P170">
        <v>169</v>
      </c>
      <c r="Q170">
        <v>-602957</v>
      </c>
      <c r="S170">
        <v>21933</v>
      </c>
    </row>
    <row r="171" spans="16:19" x14ac:dyDescent="0.3">
      <c r="P171">
        <v>170</v>
      </c>
      <c r="Q171">
        <v>500087</v>
      </c>
      <c r="S171">
        <v>-510343</v>
      </c>
    </row>
    <row r="172" spans="16:19" x14ac:dyDescent="0.3">
      <c r="P172">
        <v>171</v>
      </c>
      <c r="Q172">
        <v>-867625</v>
      </c>
      <c r="S172">
        <v>153748</v>
      </c>
    </row>
    <row r="173" spans="16:19" x14ac:dyDescent="0.3">
      <c r="P173">
        <v>172</v>
      </c>
      <c r="Q173">
        <v>-787220</v>
      </c>
      <c r="S173">
        <v>135452</v>
      </c>
    </row>
    <row r="174" spans="16:19" x14ac:dyDescent="0.3">
      <c r="P174">
        <v>173</v>
      </c>
      <c r="Q174">
        <v>-772480</v>
      </c>
      <c r="S174">
        <v>-2973</v>
      </c>
    </row>
    <row r="175" spans="16:19" x14ac:dyDescent="0.3">
      <c r="P175">
        <v>174</v>
      </c>
      <c r="Q175">
        <v>-364461</v>
      </c>
      <c r="S175">
        <v>399282</v>
      </c>
    </row>
    <row r="176" spans="16:19" x14ac:dyDescent="0.3">
      <c r="P176">
        <v>175</v>
      </c>
      <c r="Q176">
        <v>233243</v>
      </c>
      <c r="S176">
        <v>631460</v>
      </c>
    </row>
    <row r="177" spans="16:19" x14ac:dyDescent="0.3">
      <c r="P177">
        <v>176</v>
      </c>
      <c r="Q177">
        <v>-271726</v>
      </c>
      <c r="S177">
        <v>-26278</v>
      </c>
    </row>
    <row r="178" spans="16:19" x14ac:dyDescent="0.3">
      <c r="P178">
        <v>177</v>
      </c>
      <c r="Q178">
        <v>-586564</v>
      </c>
      <c r="S178">
        <v>655283</v>
      </c>
    </row>
    <row r="179" spans="16:19" x14ac:dyDescent="0.3">
      <c r="P179">
        <v>178</v>
      </c>
      <c r="Q179">
        <v>-48855</v>
      </c>
      <c r="S179">
        <v>-724822</v>
      </c>
    </row>
    <row r="180" spans="16:19" x14ac:dyDescent="0.3">
      <c r="P180">
        <v>179</v>
      </c>
      <c r="Q180">
        <v>392323</v>
      </c>
      <c r="S180">
        <v>77080</v>
      </c>
    </row>
    <row r="181" spans="16:19" x14ac:dyDescent="0.3">
      <c r="P181">
        <v>180</v>
      </c>
      <c r="Q181">
        <v>394561</v>
      </c>
      <c r="S181">
        <v>-166340</v>
      </c>
    </row>
    <row r="182" spans="16:19" x14ac:dyDescent="0.3">
      <c r="P182">
        <v>181</v>
      </c>
      <c r="Q182">
        <v>41995</v>
      </c>
      <c r="S182">
        <v>496226</v>
      </c>
    </row>
    <row r="183" spans="16:19" x14ac:dyDescent="0.3">
      <c r="P183">
        <v>182</v>
      </c>
      <c r="Q183">
        <v>458027</v>
      </c>
      <c r="S183">
        <v>319639</v>
      </c>
    </row>
    <row r="184" spans="16:19" x14ac:dyDescent="0.3">
      <c r="P184">
        <v>183</v>
      </c>
      <c r="Q184">
        <v>301447</v>
      </c>
      <c r="S184">
        <v>545116</v>
      </c>
    </row>
    <row r="185" spans="16:19" x14ac:dyDescent="0.3">
      <c r="P185">
        <v>184</v>
      </c>
      <c r="Q185">
        <v>181210</v>
      </c>
      <c r="S185">
        <v>-850183</v>
      </c>
    </row>
    <row r="186" spans="16:19" x14ac:dyDescent="0.3">
      <c r="P186">
        <v>185</v>
      </c>
      <c r="Q186">
        <v>-404731</v>
      </c>
      <c r="S186">
        <v>436518</v>
      </c>
    </row>
    <row r="187" spans="16:19" x14ac:dyDescent="0.3">
      <c r="P187">
        <v>186</v>
      </c>
      <c r="Q187">
        <v>-89245</v>
      </c>
      <c r="S187">
        <v>-38978</v>
      </c>
    </row>
    <row r="188" spans="16:19" x14ac:dyDescent="0.3">
      <c r="P188">
        <v>187</v>
      </c>
      <c r="Q188">
        <v>633780</v>
      </c>
      <c r="S188">
        <v>-403007</v>
      </c>
    </row>
    <row r="189" spans="16:19" x14ac:dyDescent="0.3">
      <c r="P189">
        <v>188</v>
      </c>
      <c r="Q189">
        <v>-125513</v>
      </c>
      <c r="S189">
        <v>549977</v>
      </c>
    </row>
    <row r="190" spans="16:19" x14ac:dyDescent="0.3">
      <c r="P190">
        <v>189</v>
      </c>
      <c r="Q190">
        <v>341277</v>
      </c>
      <c r="S190">
        <v>-170241</v>
      </c>
    </row>
    <row r="191" spans="16:19" x14ac:dyDescent="0.3">
      <c r="P191">
        <v>190</v>
      </c>
      <c r="Q191">
        <v>-215518</v>
      </c>
      <c r="S191">
        <v>-272305</v>
      </c>
    </row>
    <row r="192" spans="16:19" x14ac:dyDescent="0.3">
      <c r="P192">
        <v>191</v>
      </c>
      <c r="Q192">
        <v>16079</v>
      </c>
      <c r="S192">
        <v>172690</v>
      </c>
    </row>
    <row r="193" spans="16:19" x14ac:dyDescent="0.3">
      <c r="P193">
        <v>192</v>
      </c>
      <c r="Q193">
        <v>338315</v>
      </c>
      <c r="S193">
        <v>162076</v>
      </c>
    </row>
    <row r="194" spans="16:19" x14ac:dyDescent="0.3">
      <c r="P194">
        <v>193</v>
      </c>
      <c r="Q194">
        <v>429586</v>
      </c>
      <c r="S194">
        <v>-18810</v>
      </c>
    </row>
    <row r="195" spans="16:19" x14ac:dyDescent="0.3">
      <c r="P195">
        <v>194</v>
      </c>
      <c r="Q195">
        <v>-521850</v>
      </c>
      <c r="S195">
        <v>-373801</v>
      </c>
    </row>
    <row r="196" spans="16:19" x14ac:dyDescent="0.3">
      <c r="P196">
        <v>195</v>
      </c>
      <c r="Q196">
        <v>491083</v>
      </c>
      <c r="S196">
        <v>-555465</v>
      </c>
    </row>
    <row r="197" spans="16:19" x14ac:dyDescent="0.3">
      <c r="P197">
        <v>196</v>
      </c>
      <c r="Q197">
        <v>-478711</v>
      </c>
      <c r="S197">
        <v>691059</v>
      </c>
    </row>
    <row r="198" spans="16:19" x14ac:dyDescent="0.3">
      <c r="P198">
        <v>197</v>
      </c>
      <c r="Q198">
        <v>-323315</v>
      </c>
      <c r="S198">
        <v>76182</v>
      </c>
    </row>
    <row r="199" spans="16:19" x14ac:dyDescent="0.3">
      <c r="P199">
        <v>198</v>
      </c>
      <c r="Q199">
        <v>3495</v>
      </c>
      <c r="S199">
        <v>-297633</v>
      </c>
    </row>
    <row r="200" spans="16:19" x14ac:dyDescent="0.3">
      <c r="P200">
        <v>199</v>
      </c>
      <c r="Q200">
        <v>755603</v>
      </c>
      <c r="S200">
        <v>-24770</v>
      </c>
    </row>
    <row r="201" spans="16:19" x14ac:dyDescent="0.3">
      <c r="P201">
        <v>200</v>
      </c>
      <c r="Q201">
        <v>412333</v>
      </c>
      <c r="S201">
        <v>326618</v>
      </c>
    </row>
    <row r="202" spans="16:19" x14ac:dyDescent="0.3">
      <c r="P202">
        <v>201</v>
      </c>
      <c r="Q202">
        <v>-101848</v>
      </c>
      <c r="S202">
        <v>-155543</v>
      </c>
    </row>
    <row r="203" spans="16:19" x14ac:dyDescent="0.3">
      <c r="P203">
        <v>202</v>
      </c>
      <c r="Q203">
        <v>-305894</v>
      </c>
      <c r="S203">
        <v>-405183</v>
      </c>
    </row>
    <row r="204" spans="16:19" x14ac:dyDescent="0.3">
      <c r="P204">
        <v>203</v>
      </c>
      <c r="Q204">
        <v>275688</v>
      </c>
      <c r="S204">
        <v>596346</v>
      </c>
    </row>
    <row r="205" spans="16:19" x14ac:dyDescent="0.3">
      <c r="P205">
        <v>204</v>
      </c>
      <c r="Q205">
        <v>324411</v>
      </c>
      <c r="S205">
        <v>-460981</v>
      </c>
    </row>
    <row r="206" spans="16:19" x14ac:dyDescent="0.3">
      <c r="P206">
        <v>205</v>
      </c>
      <c r="Q206">
        <v>-71358</v>
      </c>
      <c r="S206">
        <v>-346483</v>
      </c>
    </row>
    <row r="207" spans="16:19" x14ac:dyDescent="0.3">
      <c r="P207">
        <v>206</v>
      </c>
      <c r="Q207">
        <v>38571</v>
      </c>
      <c r="S207">
        <v>-16939</v>
      </c>
    </row>
    <row r="208" spans="16:19" x14ac:dyDescent="0.3">
      <c r="P208">
        <v>207</v>
      </c>
      <c r="Q208">
        <v>-107223</v>
      </c>
      <c r="S208">
        <v>271343</v>
      </c>
    </row>
    <row r="209" spans="16:19" x14ac:dyDescent="0.3">
      <c r="P209">
        <v>208</v>
      </c>
      <c r="Q209">
        <v>-298715</v>
      </c>
      <c r="S209">
        <v>497007</v>
      </c>
    </row>
    <row r="210" spans="16:19" x14ac:dyDescent="0.3">
      <c r="P210">
        <v>209</v>
      </c>
      <c r="Q210">
        <v>357514</v>
      </c>
      <c r="S210">
        <v>470903</v>
      </c>
    </row>
    <row r="211" spans="16:19" x14ac:dyDescent="0.3">
      <c r="P211">
        <v>210</v>
      </c>
      <c r="Q211">
        <v>-11098</v>
      </c>
      <c r="S211">
        <v>467055</v>
      </c>
    </row>
    <row r="212" spans="16:19" x14ac:dyDescent="0.3">
      <c r="P212">
        <v>211</v>
      </c>
      <c r="Q212">
        <v>-495478</v>
      </c>
      <c r="S212">
        <v>-78904</v>
      </c>
    </row>
    <row r="213" spans="16:19" x14ac:dyDescent="0.3">
      <c r="P213">
        <v>212</v>
      </c>
      <c r="Q213">
        <v>769167</v>
      </c>
      <c r="S213">
        <v>-667710</v>
      </c>
    </row>
    <row r="214" spans="16:19" x14ac:dyDescent="0.3">
      <c r="P214">
        <v>213</v>
      </c>
      <c r="Q214">
        <v>5286</v>
      </c>
      <c r="S214">
        <v>297748</v>
      </c>
    </row>
    <row r="215" spans="16:19" x14ac:dyDescent="0.3">
      <c r="P215">
        <v>214</v>
      </c>
      <c r="Q215">
        <v>502604</v>
      </c>
      <c r="S215">
        <v>-164425</v>
      </c>
    </row>
    <row r="216" spans="16:19" x14ac:dyDescent="0.3">
      <c r="P216">
        <v>215</v>
      </c>
      <c r="Q216">
        <v>277310</v>
      </c>
      <c r="S216">
        <v>53936</v>
      </c>
    </row>
    <row r="217" spans="16:19" x14ac:dyDescent="0.3">
      <c r="P217">
        <v>216</v>
      </c>
      <c r="Q217">
        <v>-634263</v>
      </c>
      <c r="S217">
        <v>-536250</v>
      </c>
    </row>
    <row r="218" spans="16:19" x14ac:dyDescent="0.3">
      <c r="P218">
        <v>217</v>
      </c>
      <c r="Q218">
        <v>-264506</v>
      </c>
      <c r="S218">
        <v>647939</v>
      </c>
    </row>
    <row r="219" spans="16:19" x14ac:dyDescent="0.3">
      <c r="P219">
        <v>218</v>
      </c>
      <c r="Q219">
        <v>171039</v>
      </c>
      <c r="S219">
        <v>-508835</v>
      </c>
    </row>
    <row r="220" spans="16:19" x14ac:dyDescent="0.3">
      <c r="P220">
        <v>219</v>
      </c>
      <c r="Q220">
        <v>-530527</v>
      </c>
      <c r="S220">
        <v>711785</v>
      </c>
    </row>
    <row r="221" spans="16:19" x14ac:dyDescent="0.3">
      <c r="P221">
        <v>220</v>
      </c>
      <c r="Q221">
        <v>294855</v>
      </c>
      <c r="S221">
        <v>406986</v>
      </c>
    </row>
    <row r="222" spans="16:19" x14ac:dyDescent="0.3">
      <c r="P222">
        <v>221</v>
      </c>
      <c r="Q222">
        <v>407889</v>
      </c>
      <c r="S222">
        <v>486542</v>
      </c>
    </row>
    <row r="223" spans="16:19" x14ac:dyDescent="0.3">
      <c r="P223">
        <v>222</v>
      </c>
      <c r="Q223">
        <v>-648429</v>
      </c>
      <c r="S223">
        <v>-640804</v>
      </c>
    </row>
    <row r="224" spans="16:19" x14ac:dyDescent="0.3">
      <c r="P224">
        <v>223</v>
      </c>
      <c r="Q224">
        <v>185003</v>
      </c>
      <c r="S224">
        <v>-91888</v>
      </c>
    </row>
    <row r="225" spans="16:19" x14ac:dyDescent="0.3">
      <c r="P225">
        <v>224</v>
      </c>
      <c r="Q225">
        <v>-416638</v>
      </c>
      <c r="S225">
        <v>1105536</v>
      </c>
    </row>
    <row r="226" spans="16:19" x14ac:dyDescent="0.3">
      <c r="P226">
        <v>225</v>
      </c>
      <c r="Q226">
        <v>993202</v>
      </c>
      <c r="S226">
        <v>107753</v>
      </c>
    </row>
    <row r="227" spans="16:19" x14ac:dyDescent="0.3">
      <c r="P227">
        <v>226</v>
      </c>
      <c r="Q227">
        <v>109496</v>
      </c>
      <c r="S227">
        <v>-692256</v>
      </c>
    </row>
    <row r="228" spans="16:19" x14ac:dyDescent="0.3">
      <c r="P228">
        <v>227</v>
      </c>
      <c r="Q228">
        <v>16099</v>
      </c>
      <c r="S228">
        <v>98209</v>
      </c>
    </row>
    <row r="229" spans="16:19" x14ac:dyDescent="0.3">
      <c r="P229">
        <v>228</v>
      </c>
      <c r="Q229">
        <v>-257284</v>
      </c>
      <c r="S229">
        <v>384370</v>
      </c>
    </row>
    <row r="230" spans="16:19" x14ac:dyDescent="0.3">
      <c r="P230">
        <v>229</v>
      </c>
      <c r="Q230">
        <v>-294617</v>
      </c>
      <c r="S230">
        <v>-732220</v>
      </c>
    </row>
    <row r="231" spans="16:19" x14ac:dyDescent="0.3">
      <c r="P231">
        <v>230</v>
      </c>
      <c r="Q231">
        <v>-196348</v>
      </c>
      <c r="S231">
        <v>-297918</v>
      </c>
    </row>
    <row r="232" spans="16:19" x14ac:dyDescent="0.3">
      <c r="P232">
        <v>231</v>
      </c>
      <c r="Q232">
        <v>624540</v>
      </c>
      <c r="S232">
        <v>783141</v>
      </c>
    </row>
    <row r="233" spans="16:19" x14ac:dyDescent="0.3">
      <c r="P233">
        <v>232</v>
      </c>
      <c r="Q233">
        <v>-233221</v>
      </c>
      <c r="S233">
        <v>626243</v>
      </c>
    </row>
    <row r="234" spans="16:19" x14ac:dyDescent="0.3">
      <c r="P234">
        <v>233</v>
      </c>
      <c r="Q234">
        <v>-264385</v>
      </c>
      <c r="S234">
        <v>-783903</v>
      </c>
    </row>
    <row r="235" spans="16:19" x14ac:dyDescent="0.3">
      <c r="P235">
        <v>234</v>
      </c>
      <c r="Q235">
        <v>-331900</v>
      </c>
      <c r="S235">
        <v>-500193</v>
      </c>
    </row>
    <row r="236" spans="16:19" x14ac:dyDescent="0.3">
      <c r="P236">
        <v>235</v>
      </c>
      <c r="Q236">
        <v>604433</v>
      </c>
      <c r="S236">
        <v>290813</v>
      </c>
    </row>
    <row r="237" spans="16:19" x14ac:dyDescent="0.3">
      <c r="P237">
        <v>236</v>
      </c>
      <c r="Q237">
        <v>410346</v>
      </c>
      <c r="S237">
        <v>-710014</v>
      </c>
    </row>
    <row r="238" spans="16:19" x14ac:dyDescent="0.3">
      <c r="P238">
        <v>237</v>
      </c>
      <c r="Q238">
        <v>-283748</v>
      </c>
      <c r="S238">
        <v>237336</v>
      </c>
    </row>
    <row r="239" spans="16:19" x14ac:dyDescent="0.3">
      <c r="P239">
        <v>238</v>
      </c>
      <c r="Q239">
        <v>-340982</v>
      </c>
      <c r="S239">
        <v>201495</v>
      </c>
    </row>
    <row r="240" spans="16:19" x14ac:dyDescent="0.3">
      <c r="P240">
        <v>239</v>
      </c>
      <c r="Q240">
        <v>221786</v>
      </c>
      <c r="S240">
        <v>-371540</v>
      </c>
    </row>
    <row r="241" spans="16:19" x14ac:dyDescent="0.3">
      <c r="P241">
        <v>240</v>
      </c>
      <c r="Q241">
        <v>-353410</v>
      </c>
      <c r="S241">
        <v>-470319</v>
      </c>
    </row>
    <row r="242" spans="16:19" x14ac:dyDescent="0.3">
      <c r="P242">
        <v>241</v>
      </c>
      <c r="Q242">
        <v>-342573</v>
      </c>
      <c r="S242">
        <v>-432295</v>
      </c>
    </row>
    <row r="243" spans="16:19" x14ac:dyDescent="0.3">
      <c r="P243">
        <v>242</v>
      </c>
      <c r="Q243">
        <v>181485</v>
      </c>
      <c r="S243">
        <v>-702115</v>
      </c>
    </row>
    <row r="244" spans="16:19" x14ac:dyDescent="0.3">
      <c r="P244">
        <v>243</v>
      </c>
      <c r="Q244">
        <v>642636</v>
      </c>
      <c r="S244">
        <v>794960</v>
      </c>
    </row>
    <row r="245" spans="16:19" x14ac:dyDescent="0.3">
      <c r="P245">
        <v>244</v>
      </c>
      <c r="Q245">
        <v>-570458</v>
      </c>
      <c r="S245">
        <v>-373907</v>
      </c>
    </row>
    <row r="246" spans="16:19" x14ac:dyDescent="0.3">
      <c r="P246">
        <v>245</v>
      </c>
      <c r="Q246">
        <v>25348</v>
      </c>
      <c r="S246">
        <v>536992</v>
      </c>
    </row>
    <row r="247" spans="16:19" x14ac:dyDescent="0.3">
      <c r="P247">
        <v>246</v>
      </c>
      <c r="Q247">
        <v>-124465</v>
      </c>
      <c r="S247">
        <v>181663</v>
      </c>
    </row>
    <row r="248" spans="16:19" x14ac:dyDescent="0.3">
      <c r="P248">
        <v>247</v>
      </c>
      <c r="Q248">
        <v>-42126</v>
      </c>
      <c r="S248">
        <v>122923</v>
      </c>
    </row>
    <row r="249" spans="16:19" x14ac:dyDescent="0.3">
      <c r="P249">
        <v>248</v>
      </c>
      <c r="Q249">
        <v>493337</v>
      </c>
      <c r="S249">
        <v>-483581</v>
      </c>
    </row>
    <row r="250" spans="16:19" x14ac:dyDescent="0.3">
      <c r="P250">
        <v>249</v>
      </c>
      <c r="Q250">
        <v>371072</v>
      </c>
      <c r="S250">
        <v>578682</v>
      </c>
    </row>
    <row r="251" spans="16:19" x14ac:dyDescent="0.3">
      <c r="P251">
        <v>250</v>
      </c>
      <c r="Q251">
        <v>569707</v>
      </c>
      <c r="S251">
        <v>-203538</v>
      </c>
    </row>
    <row r="252" spans="16:19" x14ac:dyDescent="0.3">
      <c r="P252">
        <v>251</v>
      </c>
      <c r="Q252">
        <v>-370054</v>
      </c>
      <c r="S252">
        <v>-71614</v>
      </c>
    </row>
    <row r="253" spans="16:19" x14ac:dyDescent="0.3">
      <c r="P253">
        <v>252</v>
      </c>
      <c r="Q253">
        <v>-416787</v>
      </c>
      <c r="S253">
        <v>-120480</v>
      </c>
    </row>
    <row r="254" spans="16:19" x14ac:dyDescent="0.3">
      <c r="P254">
        <v>253</v>
      </c>
      <c r="Q254">
        <v>43220</v>
      </c>
      <c r="S254">
        <v>131140</v>
      </c>
    </row>
    <row r="255" spans="16:19" x14ac:dyDescent="0.3">
      <c r="P255">
        <v>254</v>
      </c>
      <c r="Q255">
        <v>802299</v>
      </c>
      <c r="S255">
        <v>85327</v>
      </c>
    </row>
    <row r="256" spans="16:19" x14ac:dyDescent="0.3">
      <c r="P256">
        <v>255</v>
      </c>
      <c r="Q256">
        <v>-348948</v>
      </c>
      <c r="S256">
        <v>364275</v>
      </c>
    </row>
    <row r="257" spans="16:19" x14ac:dyDescent="0.3">
      <c r="P257">
        <v>256</v>
      </c>
      <c r="Q257">
        <v>-398403</v>
      </c>
      <c r="S257">
        <v>781811</v>
      </c>
    </row>
    <row r="258" spans="16:19" x14ac:dyDescent="0.3">
      <c r="P258">
        <v>257</v>
      </c>
      <c r="Q258">
        <v>-110478</v>
      </c>
      <c r="S258">
        <v>877456</v>
      </c>
    </row>
    <row r="259" spans="16:19" x14ac:dyDescent="0.3">
      <c r="P259">
        <v>258</v>
      </c>
      <c r="Q259">
        <v>-99653</v>
      </c>
      <c r="S259">
        <v>610915</v>
      </c>
    </row>
    <row r="260" spans="16:19" x14ac:dyDescent="0.3">
      <c r="P260">
        <v>259</v>
      </c>
      <c r="Q260">
        <v>-409563</v>
      </c>
      <c r="S260">
        <v>-343247</v>
      </c>
    </row>
    <row r="261" spans="16:19" x14ac:dyDescent="0.3">
      <c r="P261">
        <v>260</v>
      </c>
      <c r="Q261">
        <v>-686475</v>
      </c>
      <c r="S261">
        <v>-152065</v>
      </c>
    </row>
    <row r="262" spans="16:19" x14ac:dyDescent="0.3">
      <c r="P262">
        <v>261</v>
      </c>
      <c r="Q262">
        <v>106855</v>
      </c>
      <c r="S262">
        <v>-543492</v>
      </c>
    </row>
    <row r="263" spans="16:19" x14ac:dyDescent="0.3">
      <c r="P263">
        <v>262</v>
      </c>
      <c r="Q263">
        <v>-132579</v>
      </c>
      <c r="S263">
        <v>-169414</v>
      </c>
    </row>
    <row r="264" spans="16:19" x14ac:dyDescent="0.3">
      <c r="P264">
        <v>263</v>
      </c>
      <c r="Q264">
        <v>-26984</v>
      </c>
      <c r="S264">
        <v>167605</v>
      </c>
    </row>
    <row r="265" spans="16:19" x14ac:dyDescent="0.3">
      <c r="P265">
        <v>264</v>
      </c>
      <c r="Q265">
        <v>-117287</v>
      </c>
      <c r="S265">
        <v>528161</v>
      </c>
    </row>
    <row r="266" spans="16:19" x14ac:dyDescent="0.3">
      <c r="P266">
        <v>265</v>
      </c>
      <c r="Q266">
        <v>320070</v>
      </c>
      <c r="S266">
        <v>-241297</v>
      </c>
    </row>
    <row r="267" spans="16:19" x14ac:dyDescent="0.3">
      <c r="P267">
        <v>266</v>
      </c>
      <c r="Q267">
        <v>-563683</v>
      </c>
      <c r="S267">
        <v>-33805</v>
      </c>
    </row>
    <row r="268" spans="16:19" x14ac:dyDescent="0.3">
      <c r="P268">
        <v>267</v>
      </c>
      <c r="Q268">
        <v>350114</v>
      </c>
      <c r="S268">
        <v>46979</v>
      </c>
    </row>
    <row r="269" spans="16:19" x14ac:dyDescent="0.3">
      <c r="P269">
        <v>268</v>
      </c>
      <c r="Q269">
        <v>242216</v>
      </c>
      <c r="S269">
        <v>310345</v>
      </c>
    </row>
    <row r="270" spans="16:19" x14ac:dyDescent="0.3">
      <c r="P270">
        <v>269</v>
      </c>
      <c r="Q270">
        <v>-711065</v>
      </c>
      <c r="S270">
        <v>-298779</v>
      </c>
    </row>
    <row r="271" spans="16:19" x14ac:dyDescent="0.3">
      <c r="P271">
        <v>270</v>
      </c>
      <c r="Q271">
        <v>-163984</v>
      </c>
      <c r="S271">
        <v>-661553</v>
      </c>
    </row>
    <row r="272" spans="16:19" x14ac:dyDescent="0.3">
      <c r="P272">
        <v>271</v>
      </c>
      <c r="Q272">
        <v>-651801</v>
      </c>
      <c r="S272">
        <v>17606</v>
      </c>
    </row>
    <row r="273" spans="16:19" x14ac:dyDescent="0.3">
      <c r="P273">
        <v>272</v>
      </c>
      <c r="Q273">
        <v>-384313</v>
      </c>
      <c r="S273">
        <v>537414</v>
      </c>
    </row>
    <row r="274" spans="16:19" x14ac:dyDescent="0.3">
      <c r="P274">
        <v>273</v>
      </c>
      <c r="Q274">
        <v>15913</v>
      </c>
      <c r="S274">
        <v>795640</v>
      </c>
    </row>
    <row r="275" spans="16:19" x14ac:dyDescent="0.3">
      <c r="P275">
        <v>274</v>
      </c>
      <c r="Q275">
        <v>167061</v>
      </c>
      <c r="S275">
        <v>-117809</v>
      </c>
    </row>
    <row r="276" spans="16:19" x14ac:dyDescent="0.3">
      <c r="P276">
        <v>275</v>
      </c>
      <c r="Q276">
        <v>339588</v>
      </c>
      <c r="S276">
        <v>-628614</v>
      </c>
    </row>
    <row r="277" spans="16:19" x14ac:dyDescent="0.3">
      <c r="P277">
        <v>276</v>
      </c>
      <c r="Q277">
        <v>-2365</v>
      </c>
      <c r="S277">
        <v>-155</v>
      </c>
    </row>
    <row r="278" spans="16:19" x14ac:dyDescent="0.3">
      <c r="P278">
        <v>277</v>
      </c>
      <c r="Q278">
        <v>-133256</v>
      </c>
      <c r="S278">
        <v>226594</v>
      </c>
    </row>
    <row r="279" spans="16:19" x14ac:dyDescent="0.3">
      <c r="P279">
        <v>278</v>
      </c>
      <c r="Q279">
        <v>3864</v>
      </c>
      <c r="S279">
        <v>-716991</v>
      </c>
    </row>
    <row r="280" spans="16:19" x14ac:dyDescent="0.3">
      <c r="P280">
        <v>279</v>
      </c>
      <c r="Q280">
        <v>-509342</v>
      </c>
      <c r="S280">
        <v>-518992</v>
      </c>
    </row>
    <row r="281" spans="16:19" x14ac:dyDescent="0.3">
      <c r="P281">
        <v>280</v>
      </c>
      <c r="Q281">
        <v>-106624</v>
      </c>
      <c r="S281">
        <v>135331</v>
      </c>
    </row>
    <row r="282" spans="16:19" x14ac:dyDescent="0.3">
      <c r="P282">
        <v>281</v>
      </c>
      <c r="Q282">
        <v>-489967</v>
      </c>
      <c r="S282">
        <v>563823</v>
      </c>
    </row>
    <row r="283" spans="16:19" x14ac:dyDescent="0.3">
      <c r="P283">
        <v>282</v>
      </c>
      <c r="Q283">
        <v>346230</v>
      </c>
      <c r="S283">
        <v>671028</v>
      </c>
    </row>
    <row r="284" spans="16:19" x14ac:dyDescent="0.3">
      <c r="P284">
        <v>283</v>
      </c>
      <c r="Q284">
        <v>484120</v>
      </c>
      <c r="S284">
        <v>-146155</v>
      </c>
    </row>
    <row r="285" spans="16:19" x14ac:dyDescent="0.3">
      <c r="P285">
        <v>284</v>
      </c>
      <c r="Q285">
        <v>-106173</v>
      </c>
      <c r="S285">
        <v>-513794</v>
      </c>
    </row>
    <row r="286" spans="16:19" x14ac:dyDescent="0.3">
      <c r="P286">
        <v>285</v>
      </c>
      <c r="Q286">
        <v>-382481</v>
      </c>
      <c r="S286">
        <v>-134704</v>
      </c>
    </row>
    <row r="287" spans="16:19" x14ac:dyDescent="0.3">
      <c r="P287">
        <v>286</v>
      </c>
      <c r="Q287">
        <v>-142631</v>
      </c>
      <c r="S287">
        <v>-513520</v>
      </c>
    </row>
    <row r="288" spans="16:19" x14ac:dyDescent="0.3">
      <c r="P288">
        <v>287</v>
      </c>
      <c r="Q288">
        <v>430554</v>
      </c>
      <c r="S288">
        <v>-565855</v>
      </c>
    </row>
    <row r="289" spans="16:19" x14ac:dyDescent="0.3">
      <c r="P289">
        <v>288</v>
      </c>
      <c r="Q289">
        <v>-77873</v>
      </c>
      <c r="S289">
        <v>-412891</v>
      </c>
    </row>
    <row r="290" spans="16:19" x14ac:dyDescent="0.3">
      <c r="P290">
        <v>289</v>
      </c>
      <c r="Q290">
        <v>-101865</v>
      </c>
      <c r="S290">
        <v>-195727</v>
      </c>
    </row>
    <row r="291" spans="16:19" x14ac:dyDescent="0.3">
      <c r="P291">
        <v>290</v>
      </c>
      <c r="Q291">
        <v>66485</v>
      </c>
      <c r="S291">
        <v>-312309</v>
      </c>
    </row>
    <row r="292" spans="16:19" x14ac:dyDescent="0.3">
      <c r="P292">
        <v>291</v>
      </c>
      <c r="Q292">
        <v>84129</v>
      </c>
      <c r="S292">
        <v>14126</v>
      </c>
    </row>
    <row r="293" spans="16:19" x14ac:dyDescent="0.3">
      <c r="P293">
        <v>292</v>
      </c>
      <c r="Q293">
        <v>45600</v>
      </c>
      <c r="S293">
        <v>-354041</v>
      </c>
    </row>
    <row r="294" spans="16:19" x14ac:dyDescent="0.3">
      <c r="P294">
        <v>293</v>
      </c>
      <c r="Q294">
        <v>215061</v>
      </c>
      <c r="S294">
        <v>-492660</v>
      </c>
    </row>
    <row r="295" spans="16:19" x14ac:dyDescent="0.3">
      <c r="P295">
        <v>294</v>
      </c>
      <c r="Q295">
        <v>-94337</v>
      </c>
      <c r="S295">
        <v>294339</v>
      </c>
    </row>
    <row r="296" spans="16:19" x14ac:dyDescent="0.3">
      <c r="P296">
        <v>295</v>
      </c>
      <c r="Q296">
        <v>-330870</v>
      </c>
      <c r="S296">
        <v>373413</v>
      </c>
    </row>
    <row r="297" spans="16:19" x14ac:dyDescent="0.3">
      <c r="P297">
        <v>296</v>
      </c>
      <c r="Q297">
        <v>-831271</v>
      </c>
      <c r="S297">
        <v>-127371</v>
      </c>
    </row>
    <row r="298" spans="16:19" x14ac:dyDescent="0.3">
      <c r="P298">
        <v>297</v>
      </c>
      <c r="Q298">
        <v>922854</v>
      </c>
      <c r="S298">
        <v>-530437</v>
      </c>
    </row>
    <row r="299" spans="16:19" x14ac:dyDescent="0.3">
      <c r="P299">
        <v>298</v>
      </c>
      <c r="Q299">
        <v>447660</v>
      </c>
      <c r="S299">
        <v>322731</v>
      </c>
    </row>
    <row r="300" spans="16:19" x14ac:dyDescent="0.3">
      <c r="P300">
        <v>299</v>
      </c>
      <c r="Q300">
        <v>-743092</v>
      </c>
      <c r="S300">
        <v>554492</v>
      </c>
    </row>
    <row r="301" spans="16:19" x14ac:dyDescent="0.3">
      <c r="P301">
        <v>300</v>
      </c>
      <c r="Q301">
        <v>549977</v>
      </c>
      <c r="S301">
        <v>-587776</v>
      </c>
    </row>
    <row r="302" spans="16:19" x14ac:dyDescent="0.3">
      <c r="P302">
        <v>301</v>
      </c>
      <c r="Q302">
        <v>213179</v>
      </c>
      <c r="S302">
        <v>-349047</v>
      </c>
    </row>
    <row r="303" spans="16:19" x14ac:dyDescent="0.3">
      <c r="P303">
        <v>302</v>
      </c>
      <c r="Q303">
        <v>928118</v>
      </c>
      <c r="S303">
        <v>-119071</v>
      </c>
    </row>
    <row r="304" spans="16:19" x14ac:dyDescent="0.3">
      <c r="P304">
        <v>303</v>
      </c>
      <c r="Q304">
        <v>527310</v>
      </c>
      <c r="S304">
        <v>-104098</v>
      </c>
    </row>
    <row r="305" spans="16:19" x14ac:dyDescent="0.3">
      <c r="P305">
        <v>304</v>
      </c>
      <c r="Q305">
        <v>-221146</v>
      </c>
      <c r="S305">
        <v>-206474</v>
      </c>
    </row>
    <row r="306" spans="16:19" x14ac:dyDescent="0.3">
      <c r="P306">
        <v>305</v>
      </c>
      <c r="Q306">
        <v>127638</v>
      </c>
      <c r="S306">
        <v>-261553</v>
      </c>
    </row>
    <row r="307" spans="16:19" x14ac:dyDescent="0.3">
      <c r="P307">
        <v>306</v>
      </c>
      <c r="Q307">
        <v>245463</v>
      </c>
      <c r="S307">
        <v>-252693</v>
      </c>
    </row>
    <row r="308" spans="16:19" x14ac:dyDescent="0.3">
      <c r="P308">
        <v>307</v>
      </c>
      <c r="Q308">
        <v>-185766</v>
      </c>
      <c r="S308">
        <v>68009</v>
      </c>
    </row>
    <row r="309" spans="16:19" x14ac:dyDescent="0.3">
      <c r="P309">
        <v>308</v>
      </c>
      <c r="Q309">
        <v>-494855</v>
      </c>
      <c r="S309">
        <v>-512931</v>
      </c>
    </row>
    <row r="310" spans="16:19" x14ac:dyDescent="0.3">
      <c r="P310">
        <v>309</v>
      </c>
      <c r="Q310">
        <v>96378</v>
      </c>
      <c r="S310">
        <v>-103397</v>
      </c>
    </row>
    <row r="311" spans="16:19" x14ac:dyDescent="0.3">
      <c r="P311">
        <v>310</v>
      </c>
      <c r="Q311">
        <v>-166063</v>
      </c>
      <c r="S311">
        <v>202097</v>
      </c>
    </row>
    <row r="312" spans="16:19" x14ac:dyDescent="0.3">
      <c r="P312">
        <v>311</v>
      </c>
      <c r="Q312">
        <v>958377</v>
      </c>
      <c r="S312">
        <v>-618224</v>
      </c>
    </row>
    <row r="313" spans="16:19" x14ac:dyDescent="0.3">
      <c r="P313">
        <v>312</v>
      </c>
      <c r="Q313">
        <v>191471</v>
      </c>
      <c r="S313">
        <v>781477</v>
      </c>
    </row>
    <row r="314" spans="16:19" x14ac:dyDescent="0.3">
      <c r="P314">
        <v>313</v>
      </c>
      <c r="Q314">
        <v>105219</v>
      </c>
      <c r="S314">
        <v>-291782</v>
      </c>
    </row>
    <row r="315" spans="16:19" x14ac:dyDescent="0.3">
      <c r="P315">
        <v>314</v>
      </c>
      <c r="Q315">
        <v>-613044</v>
      </c>
      <c r="S315">
        <v>352692</v>
      </c>
    </row>
    <row r="316" spans="16:19" x14ac:dyDescent="0.3">
      <c r="P316">
        <v>315</v>
      </c>
      <c r="Q316">
        <v>308175</v>
      </c>
      <c r="S316">
        <v>-241744</v>
      </c>
    </row>
    <row r="317" spans="16:19" x14ac:dyDescent="0.3">
      <c r="P317">
        <v>316</v>
      </c>
      <c r="Q317">
        <v>-94549</v>
      </c>
      <c r="S317">
        <v>865556</v>
      </c>
    </row>
    <row r="318" spans="16:19" x14ac:dyDescent="0.3">
      <c r="P318">
        <v>317</v>
      </c>
      <c r="Q318">
        <v>-24746</v>
      </c>
      <c r="S318">
        <v>-550228</v>
      </c>
    </row>
    <row r="319" spans="16:19" x14ac:dyDescent="0.3">
      <c r="P319">
        <v>318</v>
      </c>
      <c r="Q319">
        <v>107574</v>
      </c>
      <c r="S319">
        <v>11504</v>
      </c>
    </row>
    <row r="320" spans="16:19" x14ac:dyDescent="0.3">
      <c r="P320">
        <v>319</v>
      </c>
      <c r="Q320">
        <v>-42742</v>
      </c>
      <c r="S320">
        <v>-469899</v>
      </c>
    </row>
    <row r="321" spans="16:19" x14ac:dyDescent="0.3">
      <c r="P321">
        <v>320</v>
      </c>
      <c r="Q321">
        <v>-274390</v>
      </c>
      <c r="S321">
        <v>406201</v>
      </c>
    </row>
    <row r="322" spans="16:19" x14ac:dyDescent="0.3">
      <c r="P322">
        <v>321</v>
      </c>
      <c r="Q322">
        <v>-198648</v>
      </c>
      <c r="S322">
        <v>132071</v>
      </c>
    </row>
    <row r="323" spans="16:19" x14ac:dyDescent="0.3">
      <c r="P323">
        <v>322</v>
      </c>
      <c r="Q323">
        <v>948381</v>
      </c>
      <c r="S323">
        <v>-617471</v>
      </c>
    </row>
    <row r="324" spans="16:19" x14ac:dyDescent="0.3">
      <c r="P324">
        <v>323</v>
      </c>
      <c r="Q324">
        <v>-304843</v>
      </c>
      <c r="S324">
        <v>861583</v>
      </c>
    </row>
    <row r="325" spans="16:19" x14ac:dyDescent="0.3">
      <c r="P325">
        <v>324</v>
      </c>
      <c r="Q325">
        <v>24059</v>
      </c>
      <c r="S325">
        <v>239724</v>
      </c>
    </row>
    <row r="326" spans="16:19" x14ac:dyDescent="0.3">
      <c r="P326">
        <v>325</v>
      </c>
      <c r="Q326">
        <v>-46384</v>
      </c>
      <c r="S326">
        <v>474582</v>
      </c>
    </row>
    <row r="327" spans="16:19" x14ac:dyDescent="0.3">
      <c r="P327">
        <v>326</v>
      </c>
      <c r="Q327">
        <v>418680</v>
      </c>
      <c r="S327">
        <v>-217291</v>
      </c>
    </row>
    <row r="328" spans="16:19" x14ac:dyDescent="0.3">
      <c r="P328">
        <v>327</v>
      </c>
      <c r="Q328">
        <v>623751</v>
      </c>
      <c r="S328">
        <v>-172353</v>
      </c>
    </row>
    <row r="329" spans="16:19" x14ac:dyDescent="0.3">
      <c r="P329">
        <v>328</v>
      </c>
      <c r="Q329">
        <v>-132652</v>
      </c>
      <c r="S329">
        <v>-369723</v>
      </c>
    </row>
    <row r="330" spans="16:19" x14ac:dyDescent="0.3">
      <c r="P330">
        <v>329</v>
      </c>
      <c r="Q330">
        <v>812538</v>
      </c>
      <c r="S330">
        <v>41311</v>
      </c>
    </row>
    <row r="331" spans="16:19" x14ac:dyDescent="0.3">
      <c r="P331">
        <v>330</v>
      </c>
      <c r="Q331">
        <v>-94568</v>
      </c>
      <c r="S331">
        <v>278598</v>
      </c>
    </row>
    <row r="332" spans="16:19" x14ac:dyDescent="0.3">
      <c r="P332">
        <v>331</v>
      </c>
      <c r="Q332">
        <v>71527</v>
      </c>
      <c r="S332">
        <v>516396</v>
      </c>
    </row>
    <row r="333" spans="16:19" x14ac:dyDescent="0.3">
      <c r="P333">
        <v>332</v>
      </c>
      <c r="Q333">
        <v>-65461</v>
      </c>
      <c r="S333">
        <v>20600</v>
      </c>
    </row>
    <row r="334" spans="16:19" x14ac:dyDescent="0.3">
      <c r="P334">
        <v>333</v>
      </c>
      <c r="Q334">
        <v>514526</v>
      </c>
      <c r="S334">
        <v>853516</v>
      </c>
    </row>
    <row r="335" spans="16:19" x14ac:dyDescent="0.3">
      <c r="P335">
        <v>334</v>
      </c>
      <c r="Q335">
        <v>-810167</v>
      </c>
      <c r="S335">
        <v>-586965</v>
      </c>
    </row>
    <row r="336" spans="16:19" x14ac:dyDescent="0.3">
      <c r="P336">
        <v>335</v>
      </c>
      <c r="Q336">
        <v>48421</v>
      </c>
      <c r="S336">
        <v>-576402</v>
      </c>
    </row>
    <row r="337" spans="16:19" x14ac:dyDescent="0.3">
      <c r="P337">
        <v>336</v>
      </c>
      <c r="Q337">
        <v>64386</v>
      </c>
      <c r="S337">
        <v>430512</v>
      </c>
    </row>
    <row r="338" spans="16:19" x14ac:dyDescent="0.3">
      <c r="P338">
        <v>337</v>
      </c>
      <c r="Q338">
        <v>-469500</v>
      </c>
      <c r="S338">
        <v>-234718</v>
      </c>
    </row>
    <row r="339" spans="16:19" x14ac:dyDescent="0.3">
      <c r="P339">
        <v>338</v>
      </c>
      <c r="Q339">
        <v>194965</v>
      </c>
      <c r="S339">
        <v>865370</v>
      </c>
    </row>
    <row r="340" spans="16:19" x14ac:dyDescent="0.3">
      <c r="P340">
        <v>339</v>
      </c>
      <c r="Q340">
        <v>-140393</v>
      </c>
      <c r="S340">
        <v>-225460</v>
      </c>
    </row>
    <row r="341" spans="16:19" x14ac:dyDescent="0.3">
      <c r="P341">
        <v>340</v>
      </c>
      <c r="Q341">
        <v>-559867</v>
      </c>
      <c r="S341">
        <v>-185316</v>
      </c>
    </row>
    <row r="342" spans="16:19" x14ac:dyDescent="0.3">
      <c r="P342">
        <v>341</v>
      </c>
      <c r="Q342">
        <v>855266</v>
      </c>
      <c r="S342">
        <v>-273587</v>
      </c>
    </row>
    <row r="343" spans="16:19" x14ac:dyDescent="0.3">
      <c r="P343">
        <v>342</v>
      </c>
      <c r="Q343">
        <v>422405</v>
      </c>
      <c r="S343">
        <v>397783</v>
      </c>
    </row>
    <row r="344" spans="16:19" x14ac:dyDescent="0.3">
      <c r="P344">
        <v>343</v>
      </c>
      <c r="Q344">
        <v>-350947</v>
      </c>
      <c r="S344">
        <v>500123</v>
      </c>
    </row>
    <row r="345" spans="16:19" x14ac:dyDescent="0.3">
      <c r="P345">
        <v>344</v>
      </c>
      <c r="Q345">
        <v>-804880</v>
      </c>
      <c r="S345">
        <v>-167830</v>
      </c>
    </row>
    <row r="346" spans="16:19" x14ac:dyDescent="0.3">
      <c r="P346">
        <v>345</v>
      </c>
      <c r="Q346">
        <v>168450</v>
      </c>
      <c r="S346">
        <v>186565</v>
      </c>
    </row>
    <row r="347" spans="16:19" x14ac:dyDescent="0.3">
      <c r="P347">
        <v>346</v>
      </c>
      <c r="Q347">
        <v>5203</v>
      </c>
      <c r="S347">
        <v>476896</v>
      </c>
    </row>
    <row r="348" spans="16:19" x14ac:dyDescent="0.3">
      <c r="P348">
        <v>347</v>
      </c>
      <c r="Q348">
        <v>595398</v>
      </c>
      <c r="S348">
        <v>741312</v>
      </c>
    </row>
    <row r="349" spans="16:19" x14ac:dyDescent="0.3">
      <c r="P349">
        <v>348</v>
      </c>
      <c r="Q349">
        <v>483607</v>
      </c>
      <c r="S349">
        <v>353472</v>
      </c>
    </row>
    <row r="350" spans="16:19" x14ac:dyDescent="0.3">
      <c r="P350">
        <v>349</v>
      </c>
      <c r="Q350">
        <v>-252550</v>
      </c>
      <c r="S350">
        <v>511832</v>
      </c>
    </row>
    <row r="351" spans="16:19" x14ac:dyDescent="0.3">
      <c r="P351">
        <v>350</v>
      </c>
      <c r="Q351">
        <v>-395330</v>
      </c>
      <c r="S351">
        <v>-282283</v>
      </c>
    </row>
    <row r="352" spans="16:19" x14ac:dyDescent="0.3">
      <c r="P352">
        <v>351</v>
      </c>
      <c r="Q352">
        <v>-646533</v>
      </c>
      <c r="S352">
        <v>-203178</v>
      </c>
    </row>
    <row r="353" spans="16:19" x14ac:dyDescent="0.3">
      <c r="P353">
        <v>352</v>
      </c>
      <c r="Q353">
        <v>-578965</v>
      </c>
      <c r="S353">
        <v>-278096</v>
      </c>
    </row>
    <row r="354" spans="16:19" x14ac:dyDescent="0.3">
      <c r="P354">
        <v>353</v>
      </c>
      <c r="Q354">
        <v>62747</v>
      </c>
      <c r="S354">
        <v>-107319</v>
      </c>
    </row>
    <row r="355" spans="16:19" x14ac:dyDescent="0.3">
      <c r="P355">
        <v>354</v>
      </c>
      <c r="Q355">
        <v>484873</v>
      </c>
      <c r="S355">
        <v>-178718</v>
      </c>
    </row>
    <row r="356" spans="16:19" x14ac:dyDescent="0.3">
      <c r="P356">
        <v>355</v>
      </c>
      <c r="Q356">
        <v>201755</v>
      </c>
      <c r="S356">
        <v>-367312</v>
      </c>
    </row>
    <row r="357" spans="16:19" x14ac:dyDescent="0.3">
      <c r="P357">
        <v>356</v>
      </c>
      <c r="Q357">
        <v>292618</v>
      </c>
      <c r="S357">
        <v>-75460</v>
      </c>
    </row>
    <row r="358" spans="16:19" x14ac:dyDescent="0.3">
      <c r="P358">
        <v>357</v>
      </c>
      <c r="Q358">
        <v>348205</v>
      </c>
      <c r="S358">
        <v>288913</v>
      </c>
    </row>
    <row r="359" spans="16:19" x14ac:dyDescent="0.3">
      <c r="P359">
        <v>358</v>
      </c>
      <c r="Q359">
        <v>218515</v>
      </c>
      <c r="S359">
        <v>-679076</v>
      </c>
    </row>
    <row r="360" spans="16:19" x14ac:dyDescent="0.3">
      <c r="P360">
        <v>359</v>
      </c>
      <c r="Q360">
        <v>-444469</v>
      </c>
      <c r="S360">
        <v>-301352</v>
      </c>
    </row>
    <row r="361" spans="16:19" x14ac:dyDescent="0.3">
      <c r="P361">
        <v>360</v>
      </c>
      <c r="Q361">
        <v>502311</v>
      </c>
      <c r="S361">
        <v>456409</v>
      </c>
    </row>
    <row r="362" spans="16:19" x14ac:dyDescent="0.3">
      <c r="P362">
        <v>361</v>
      </c>
      <c r="Q362">
        <v>122544</v>
      </c>
      <c r="S362">
        <v>433711</v>
      </c>
    </row>
    <row r="363" spans="16:19" x14ac:dyDescent="0.3">
      <c r="P363">
        <v>362</v>
      </c>
      <c r="Q363">
        <v>256471</v>
      </c>
      <c r="S363">
        <v>-520713</v>
      </c>
    </row>
    <row r="364" spans="16:19" x14ac:dyDescent="0.3">
      <c r="P364">
        <v>363</v>
      </c>
      <c r="Q364">
        <v>76218</v>
      </c>
      <c r="S364">
        <v>-470181</v>
      </c>
    </row>
    <row r="365" spans="16:19" x14ac:dyDescent="0.3">
      <c r="P365">
        <v>364</v>
      </c>
      <c r="Q365">
        <v>-618233</v>
      </c>
      <c r="S365">
        <v>-10568</v>
      </c>
    </row>
    <row r="366" spans="16:19" x14ac:dyDescent="0.3">
      <c r="P366">
        <v>365</v>
      </c>
      <c r="Q366">
        <v>544760</v>
      </c>
      <c r="S366">
        <v>-472987</v>
      </c>
    </row>
    <row r="367" spans="16:19" x14ac:dyDescent="0.3">
      <c r="P367">
        <v>366</v>
      </c>
      <c r="Q367">
        <v>-306418</v>
      </c>
      <c r="S367">
        <v>-160147</v>
      </c>
    </row>
    <row r="368" spans="16:19" x14ac:dyDescent="0.3">
      <c r="P368">
        <v>367</v>
      </c>
      <c r="Q368">
        <v>-589971</v>
      </c>
      <c r="S368">
        <v>-454996</v>
      </c>
    </row>
    <row r="369" spans="16:19" x14ac:dyDescent="0.3">
      <c r="P369">
        <v>368</v>
      </c>
      <c r="Q369">
        <v>-564477</v>
      </c>
      <c r="S369">
        <v>620204</v>
      </c>
    </row>
    <row r="370" spans="16:19" x14ac:dyDescent="0.3">
      <c r="P370">
        <v>369</v>
      </c>
      <c r="Q370">
        <v>98362</v>
      </c>
      <c r="S370">
        <v>138897</v>
      </c>
    </row>
    <row r="371" spans="16:19" x14ac:dyDescent="0.3">
      <c r="P371">
        <v>370</v>
      </c>
      <c r="Q371">
        <v>-78571</v>
      </c>
      <c r="S371">
        <v>-48151</v>
      </c>
    </row>
    <row r="372" spans="16:19" x14ac:dyDescent="0.3">
      <c r="P372">
        <v>371</v>
      </c>
      <c r="Q372">
        <v>301679</v>
      </c>
      <c r="S372">
        <v>-535083</v>
      </c>
    </row>
    <row r="373" spans="16:19" x14ac:dyDescent="0.3">
      <c r="P373">
        <v>372</v>
      </c>
      <c r="Q373">
        <v>105252</v>
      </c>
      <c r="S373">
        <v>-512125</v>
      </c>
    </row>
    <row r="374" spans="16:19" x14ac:dyDescent="0.3">
      <c r="P374">
        <v>373</v>
      </c>
      <c r="Q374">
        <v>54187</v>
      </c>
      <c r="S374">
        <v>347080</v>
      </c>
    </row>
    <row r="375" spans="16:19" x14ac:dyDescent="0.3">
      <c r="P375">
        <v>374</v>
      </c>
      <c r="Q375">
        <v>515349</v>
      </c>
      <c r="S375">
        <v>575571</v>
      </c>
    </row>
    <row r="376" spans="16:19" x14ac:dyDescent="0.3">
      <c r="P376">
        <v>375</v>
      </c>
      <c r="Q376">
        <v>171010</v>
      </c>
      <c r="S376">
        <v>-484573</v>
      </c>
    </row>
    <row r="377" spans="16:19" x14ac:dyDescent="0.3">
      <c r="P377">
        <v>376</v>
      </c>
      <c r="Q377">
        <v>376145</v>
      </c>
      <c r="S377">
        <v>-559535</v>
      </c>
    </row>
    <row r="378" spans="16:19" x14ac:dyDescent="0.3">
      <c r="P378">
        <v>377</v>
      </c>
      <c r="Q378">
        <v>-109819</v>
      </c>
      <c r="S378">
        <v>185427</v>
      </c>
    </row>
    <row r="379" spans="16:19" x14ac:dyDescent="0.3">
      <c r="P379">
        <v>378</v>
      </c>
      <c r="Q379">
        <v>-222200</v>
      </c>
      <c r="S379">
        <v>-767160</v>
      </c>
    </row>
    <row r="380" spans="16:19" x14ac:dyDescent="0.3">
      <c r="P380">
        <v>379</v>
      </c>
      <c r="Q380">
        <v>-722447</v>
      </c>
      <c r="S380">
        <v>116504</v>
      </c>
    </row>
    <row r="381" spans="16:19" x14ac:dyDescent="0.3">
      <c r="P381">
        <v>380</v>
      </c>
      <c r="Q381">
        <v>471100</v>
      </c>
      <c r="S381">
        <v>452951</v>
      </c>
    </row>
    <row r="382" spans="16:19" x14ac:dyDescent="0.3">
      <c r="P382">
        <v>381</v>
      </c>
      <c r="Q382">
        <v>530403</v>
      </c>
      <c r="S382">
        <v>219196</v>
      </c>
    </row>
    <row r="383" spans="16:19" x14ac:dyDescent="0.3">
      <c r="P383">
        <v>382</v>
      </c>
      <c r="Q383">
        <v>-418803</v>
      </c>
      <c r="S383">
        <v>721667</v>
      </c>
    </row>
    <row r="384" spans="16:19" x14ac:dyDescent="0.3">
      <c r="P384">
        <v>383</v>
      </c>
      <c r="Q384">
        <v>320983</v>
      </c>
      <c r="S384">
        <v>281314</v>
      </c>
    </row>
    <row r="385" spans="16:19" x14ac:dyDescent="0.3">
      <c r="P385">
        <v>384</v>
      </c>
      <c r="Q385">
        <v>-497711</v>
      </c>
      <c r="S385">
        <v>-415609</v>
      </c>
    </row>
    <row r="386" spans="16:19" x14ac:dyDescent="0.3">
      <c r="P386">
        <v>385</v>
      </c>
      <c r="Q386">
        <v>64950</v>
      </c>
      <c r="S386">
        <v>684096</v>
      </c>
    </row>
    <row r="387" spans="16:19" x14ac:dyDescent="0.3">
      <c r="P387">
        <v>386</v>
      </c>
      <c r="Q387">
        <v>-372300</v>
      </c>
      <c r="S387">
        <v>-38823</v>
      </c>
    </row>
    <row r="388" spans="16:19" x14ac:dyDescent="0.3">
      <c r="P388">
        <v>387</v>
      </c>
      <c r="Q388">
        <v>212566</v>
      </c>
      <c r="S388">
        <v>364140</v>
      </c>
    </row>
    <row r="389" spans="16:19" x14ac:dyDescent="0.3">
      <c r="P389">
        <v>388</v>
      </c>
      <c r="Q389">
        <v>-539407</v>
      </c>
      <c r="S389">
        <v>611472</v>
      </c>
    </row>
    <row r="390" spans="16:19" x14ac:dyDescent="0.3">
      <c r="P390">
        <v>389</v>
      </c>
      <c r="Q390">
        <v>-327238</v>
      </c>
      <c r="S390">
        <v>-315235</v>
      </c>
    </row>
    <row r="391" spans="16:19" x14ac:dyDescent="0.3">
      <c r="P391">
        <v>390</v>
      </c>
      <c r="Q391">
        <v>-42820</v>
      </c>
      <c r="S391">
        <v>-207898</v>
      </c>
    </row>
    <row r="392" spans="16:19" x14ac:dyDescent="0.3">
      <c r="P392">
        <v>391</v>
      </c>
      <c r="Q392">
        <v>-72844</v>
      </c>
      <c r="S392">
        <v>408928</v>
      </c>
    </row>
    <row r="393" spans="16:19" x14ac:dyDescent="0.3">
      <c r="P393">
        <v>392</v>
      </c>
      <c r="Q393">
        <v>-325836</v>
      </c>
      <c r="S393">
        <v>430966</v>
      </c>
    </row>
    <row r="394" spans="16:19" x14ac:dyDescent="0.3">
      <c r="P394">
        <v>393</v>
      </c>
      <c r="Q394">
        <v>-114608</v>
      </c>
      <c r="S394">
        <v>333913</v>
      </c>
    </row>
    <row r="395" spans="16:19" x14ac:dyDescent="0.3">
      <c r="P395">
        <v>394</v>
      </c>
      <c r="Q395">
        <v>436417</v>
      </c>
      <c r="S395">
        <v>-498653</v>
      </c>
    </row>
    <row r="396" spans="16:19" x14ac:dyDescent="0.3">
      <c r="P396">
        <v>395</v>
      </c>
      <c r="Q396">
        <v>105013</v>
      </c>
      <c r="S396">
        <v>-662825</v>
      </c>
    </row>
    <row r="397" spans="16:19" x14ac:dyDescent="0.3">
      <c r="P397">
        <v>396</v>
      </c>
      <c r="Q397">
        <v>-771883</v>
      </c>
      <c r="S397">
        <v>-292806</v>
      </c>
    </row>
    <row r="398" spans="16:19" x14ac:dyDescent="0.3">
      <c r="P398">
        <v>397</v>
      </c>
      <c r="Q398">
        <v>62380</v>
      </c>
      <c r="S398">
        <v>395580</v>
      </c>
    </row>
    <row r="399" spans="16:19" x14ac:dyDescent="0.3">
      <c r="P399">
        <v>398</v>
      </c>
      <c r="Q399">
        <v>-289778</v>
      </c>
      <c r="S399">
        <v>948495</v>
      </c>
    </row>
    <row r="400" spans="16:19" x14ac:dyDescent="0.3">
      <c r="P400">
        <v>399</v>
      </c>
      <c r="Q400">
        <v>416534</v>
      </c>
      <c r="S400">
        <v>646821</v>
      </c>
    </row>
    <row r="401" spans="16:19" x14ac:dyDescent="0.3">
      <c r="P401">
        <v>400</v>
      </c>
      <c r="Q401">
        <v>-28487</v>
      </c>
      <c r="S401">
        <v>510527</v>
      </c>
    </row>
    <row r="402" spans="16:19" x14ac:dyDescent="0.3">
      <c r="P402">
        <v>401</v>
      </c>
      <c r="Q402">
        <v>-428414</v>
      </c>
      <c r="S402">
        <v>-520209</v>
      </c>
    </row>
    <row r="403" spans="16:19" x14ac:dyDescent="0.3">
      <c r="P403">
        <v>402</v>
      </c>
      <c r="Q403">
        <v>328320</v>
      </c>
      <c r="S403">
        <v>687468</v>
      </c>
    </row>
    <row r="404" spans="16:19" x14ac:dyDescent="0.3">
      <c r="P404">
        <v>403</v>
      </c>
      <c r="Q404">
        <v>-639428</v>
      </c>
      <c r="S404">
        <v>-458543</v>
      </c>
    </row>
    <row r="405" spans="16:19" x14ac:dyDescent="0.3">
      <c r="P405">
        <v>404</v>
      </c>
      <c r="Q405">
        <v>-113925</v>
      </c>
      <c r="S405">
        <v>-128562</v>
      </c>
    </row>
    <row r="406" spans="16:19" x14ac:dyDescent="0.3">
      <c r="P406">
        <v>405</v>
      </c>
      <c r="Q406">
        <v>24328</v>
      </c>
      <c r="S406">
        <v>-392298</v>
      </c>
    </row>
    <row r="407" spans="16:19" x14ac:dyDescent="0.3">
      <c r="P407">
        <v>406</v>
      </c>
      <c r="Q407">
        <v>670533</v>
      </c>
      <c r="S407">
        <v>923975</v>
      </c>
    </row>
    <row r="408" spans="16:19" x14ac:dyDescent="0.3">
      <c r="P408">
        <v>407</v>
      </c>
      <c r="Q408">
        <v>-361758</v>
      </c>
      <c r="S408">
        <v>685570</v>
      </c>
    </row>
    <row r="409" spans="16:19" x14ac:dyDescent="0.3">
      <c r="P409">
        <v>408</v>
      </c>
      <c r="Q409">
        <v>65864</v>
      </c>
      <c r="S409">
        <v>225909</v>
      </c>
    </row>
    <row r="410" spans="16:19" x14ac:dyDescent="0.3">
      <c r="P410">
        <v>409</v>
      </c>
      <c r="Q410">
        <v>132182</v>
      </c>
      <c r="S410">
        <v>-787076</v>
      </c>
    </row>
    <row r="411" spans="16:19" x14ac:dyDescent="0.3">
      <c r="P411">
        <v>410</v>
      </c>
      <c r="Q411">
        <v>666889</v>
      </c>
      <c r="S411">
        <v>863431</v>
      </c>
    </row>
    <row r="412" spans="16:19" x14ac:dyDescent="0.3">
      <c r="P412">
        <v>411</v>
      </c>
      <c r="Q412">
        <v>-110823</v>
      </c>
      <c r="S412">
        <v>427252</v>
      </c>
    </row>
    <row r="413" spans="16:19" x14ac:dyDescent="0.3">
      <c r="P413">
        <v>412</v>
      </c>
      <c r="Q413">
        <v>-599584</v>
      </c>
      <c r="S413">
        <v>-74345</v>
      </c>
    </row>
    <row r="414" spans="16:19" x14ac:dyDescent="0.3">
      <c r="P414">
        <v>413</v>
      </c>
      <c r="Q414">
        <v>387354</v>
      </c>
      <c r="S414">
        <v>-199009</v>
      </c>
    </row>
    <row r="415" spans="16:19" x14ac:dyDescent="0.3">
      <c r="P415">
        <v>414</v>
      </c>
      <c r="Q415">
        <v>-370667</v>
      </c>
      <c r="S415">
        <v>-97721</v>
      </c>
    </row>
    <row r="416" spans="16:19" x14ac:dyDescent="0.3">
      <c r="P416">
        <v>415</v>
      </c>
      <c r="Q416">
        <v>235738</v>
      </c>
      <c r="S416">
        <v>245302</v>
      </c>
    </row>
    <row r="417" spans="16:19" x14ac:dyDescent="0.3">
      <c r="P417">
        <v>416</v>
      </c>
      <c r="Q417">
        <v>-264790</v>
      </c>
      <c r="S417">
        <v>-438971</v>
      </c>
    </row>
    <row r="418" spans="16:19" x14ac:dyDescent="0.3">
      <c r="P418">
        <v>417</v>
      </c>
      <c r="Q418">
        <v>-123869</v>
      </c>
      <c r="S418">
        <v>-264267</v>
      </c>
    </row>
    <row r="419" spans="16:19" x14ac:dyDescent="0.3">
      <c r="P419">
        <v>418</v>
      </c>
      <c r="Q419">
        <v>145259</v>
      </c>
      <c r="S419">
        <v>-857224</v>
      </c>
    </row>
    <row r="420" spans="16:19" x14ac:dyDescent="0.3">
      <c r="P420">
        <v>419</v>
      </c>
      <c r="Q420">
        <v>-389192</v>
      </c>
      <c r="S420">
        <v>376372</v>
      </c>
    </row>
    <row r="421" spans="16:19" x14ac:dyDescent="0.3">
      <c r="P421">
        <v>420</v>
      </c>
      <c r="Q421">
        <v>-214008</v>
      </c>
      <c r="S421">
        <v>-237465</v>
      </c>
    </row>
    <row r="422" spans="16:19" x14ac:dyDescent="0.3">
      <c r="P422">
        <v>421</v>
      </c>
      <c r="Q422">
        <v>-222041</v>
      </c>
      <c r="S422">
        <v>261807</v>
      </c>
    </row>
    <row r="423" spans="16:19" x14ac:dyDescent="0.3">
      <c r="P423">
        <v>422</v>
      </c>
      <c r="Q423">
        <v>411082</v>
      </c>
      <c r="S423">
        <v>770709</v>
      </c>
    </row>
    <row r="424" spans="16:19" x14ac:dyDescent="0.3">
      <c r="P424">
        <v>423</v>
      </c>
      <c r="Q424">
        <v>556388</v>
      </c>
      <c r="S424">
        <v>-436628</v>
      </c>
    </row>
    <row r="425" spans="16:19" x14ac:dyDescent="0.3">
      <c r="P425">
        <v>424</v>
      </c>
      <c r="Q425">
        <v>-563440</v>
      </c>
      <c r="S425">
        <v>1022781</v>
      </c>
    </row>
    <row r="426" spans="16:19" x14ac:dyDescent="0.3">
      <c r="P426">
        <v>425</v>
      </c>
      <c r="Q426">
        <v>-114454</v>
      </c>
      <c r="S426">
        <v>-651452</v>
      </c>
    </row>
    <row r="427" spans="16:19" x14ac:dyDescent="0.3">
      <c r="P427">
        <v>426</v>
      </c>
      <c r="Q427">
        <v>288137</v>
      </c>
      <c r="S427">
        <v>325858</v>
      </c>
    </row>
    <row r="428" spans="16:19" x14ac:dyDescent="0.3">
      <c r="P428">
        <v>427</v>
      </c>
      <c r="Q428">
        <v>247215</v>
      </c>
      <c r="S428">
        <v>-55176</v>
      </c>
    </row>
    <row r="429" spans="16:19" x14ac:dyDescent="0.3">
      <c r="P429">
        <v>428</v>
      </c>
      <c r="Q429">
        <v>-631144</v>
      </c>
      <c r="S429">
        <v>-639008</v>
      </c>
    </row>
    <row r="430" spans="16:19" x14ac:dyDescent="0.3">
      <c r="P430">
        <v>429</v>
      </c>
      <c r="Q430">
        <v>776083</v>
      </c>
      <c r="S430">
        <v>-98967</v>
      </c>
    </row>
    <row r="431" spans="16:19" x14ac:dyDescent="0.3">
      <c r="P431">
        <v>430</v>
      </c>
      <c r="Q431">
        <v>614901</v>
      </c>
      <c r="S431">
        <v>-492301</v>
      </c>
    </row>
    <row r="432" spans="16:19" x14ac:dyDescent="0.3">
      <c r="P432">
        <v>431</v>
      </c>
      <c r="Q432">
        <v>358715</v>
      </c>
      <c r="S432">
        <v>-488565</v>
      </c>
    </row>
    <row r="433" spans="16:19" x14ac:dyDescent="0.3">
      <c r="P433">
        <v>432</v>
      </c>
      <c r="Q433">
        <v>405423</v>
      </c>
      <c r="S433">
        <v>465231</v>
      </c>
    </row>
    <row r="434" spans="16:19" x14ac:dyDescent="0.3">
      <c r="P434">
        <v>433</v>
      </c>
      <c r="Q434">
        <v>313522</v>
      </c>
      <c r="S434">
        <v>90390</v>
      </c>
    </row>
    <row r="435" spans="16:19" x14ac:dyDescent="0.3">
      <c r="P435">
        <v>434</v>
      </c>
      <c r="Q435">
        <v>828704</v>
      </c>
      <c r="S435">
        <v>291181</v>
      </c>
    </row>
    <row r="436" spans="16:19" x14ac:dyDescent="0.3">
      <c r="P436">
        <v>435</v>
      </c>
      <c r="Q436">
        <v>-300979</v>
      </c>
      <c r="S436">
        <v>638225</v>
      </c>
    </row>
    <row r="437" spans="16:19" x14ac:dyDescent="0.3">
      <c r="P437">
        <v>436</v>
      </c>
      <c r="Q437">
        <v>377910</v>
      </c>
      <c r="S437">
        <v>-460428</v>
      </c>
    </row>
    <row r="438" spans="16:19" x14ac:dyDescent="0.3">
      <c r="P438">
        <v>437</v>
      </c>
      <c r="Q438">
        <v>-737153</v>
      </c>
      <c r="S438">
        <v>-432086</v>
      </c>
    </row>
    <row r="439" spans="16:19" x14ac:dyDescent="0.3">
      <c r="P439">
        <v>438</v>
      </c>
      <c r="Q439">
        <v>-602345</v>
      </c>
      <c r="S439">
        <v>674022</v>
      </c>
    </row>
    <row r="440" spans="16:19" x14ac:dyDescent="0.3">
      <c r="P440">
        <v>439</v>
      </c>
      <c r="Q440">
        <v>-761414</v>
      </c>
      <c r="S440">
        <v>-772676</v>
      </c>
    </row>
    <row r="441" spans="16:19" x14ac:dyDescent="0.3">
      <c r="P441">
        <v>440</v>
      </c>
      <c r="Q441">
        <v>-289172</v>
      </c>
      <c r="S441">
        <v>559505</v>
      </c>
    </row>
    <row r="442" spans="16:19" x14ac:dyDescent="0.3">
      <c r="P442">
        <v>441</v>
      </c>
      <c r="Q442">
        <v>507763</v>
      </c>
      <c r="S442">
        <v>842389</v>
      </c>
    </row>
    <row r="443" spans="16:19" x14ac:dyDescent="0.3">
      <c r="P443">
        <v>442</v>
      </c>
      <c r="Q443">
        <v>-102418</v>
      </c>
      <c r="S443">
        <v>-279451</v>
      </c>
    </row>
    <row r="444" spans="16:19" x14ac:dyDescent="0.3">
      <c r="P444">
        <v>443</v>
      </c>
      <c r="Q444">
        <v>-327006</v>
      </c>
      <c r="S444">
        <v>-759125</v>
      </c>
    </row>
    <row r="445" spans="16:19" x14ac:dyDescent="0.3">
      <c r="P445">
        <v>444</v>
      </c>
      <c r="Q445">
        <v>-54259</v>
      </c>
      <c r="S445">
        <v>235049</v>
      </c>
    </row>
    <row r="446" spans="16:19" x14ac:dyDescent="0.3">
      <c r="P446">
        <v>445</v>
      </c>
      <c r="Q446">
        <v>518157</v>
      </c>
      <c r="S446">
        <v>583353</v>
      </c>
    </row>
    <row r="447" spans="16:19" x14ac:dyDescent="0.3">
      <c r="P447">
        <v>446</v>
      </c>
      <c r="Q447">
        <v>-129296</v>
      </c>
      <c r="S447">
        <v>337861</v>
      </c>
    </row>
    <row r="448" spans="16:19" x14ac:dyDescent="0.3">
      <c r="P448">
        <v>447</v>
      </c>
      <c r="Q448">
        <v>-765630</v>
      </c>
      <c r="S448">
        <v>-211705</v>
      </c>
    </row>
    <row r="449" spans="16:19" x14ac:dyDescent="0.3">
      <c r="P449">
        <v>448</v>
      </c>
      <c r="Q449">
        <v>781740</v>
      </c>
      <c r="S449">
        <v>54076</v>
      </c>
    </row>
    <row r="450" spans="16:19" x14ac:dyDescent="0.3">
      <c r="P450">
        <v>449</v>
      </c>
      <c r="Q450">
        <v>-148181</v>
      </c>
      <c r="S450">
        <v>-484078</v>
      </c>
    </row>
    <row r="451" spans="16:19" x14ac:dyDescent="0.3">
      <c r="P451">
        <v>450</v>
      </c>
      <c r="Q451">
        <v>528622</v>
      </c>
      <c r="S451">
        <v>106123</v>
      </c>
    </row>
    <row r="452" spans="16:19" x14ac:dyDescent="0.3">
      <c r="P452">
        <v>451</v>
      </c>
      <c r="Q452">
        <v>219279</v>
      </c>
      <c r="S452">
        <v>699276</v>
      </c>
    </row>
    <row r="453" spans="16:19" x14ac:dyDescent="0.3">
      <c r="P453">
        <v>452</v>
      </c>
      <c r="Q453">
        <v>-58711</v>
      </c>
      <c r="S453">
        <v>682985</v>
      </c>
    </row>
    <row r="454" spans="16:19" x14ac:dyDescent="0.3">
      <c r="P454">
        <v>453</v>
      </c>
      <c r="Q454">
        <v>61876</v>
      </c>
      <c r="S454">
        <v>314965</v>
      </c>
    </row>
    <row r="455" spans="16:19" x14ac:dyDescent="0.3">
      <c r="P455">
        <v>454</v>
      </c>
      <c r="Q455">
        <v>281213</v>
      </c>
      <c r="S455">
        <v>-702167</v>
      </c>
    </row>
    <row r="456" spans="16:19" x14ac:dyDescent="0.3">
      <c r="P456">
        <v>455</v>
      </c>
      <c r="Q456">
        <v>-156312</v>
      </c>
      <c r="S456">
        <v>674493</v>
      </c>
    </row>
    <row r="457" spans="16:19" x14ac:dyDescent="0.3">
      <c r="P457">
        <v>456</v>
      </c>
      <c r="Q457">
        <v>878561</v>
      </c>
      <c r="S457">
        <v>-502662</v>
      </c>
    </row>
    <row r="458" spans="16:19" x14ac:dyDescent="0.3">
      <c r="P458">
        <v>457</v>
      </c>
      <c r="Q458">
        <v>-662472</v>
      </c>
      <c r="S458">
        <v>-427755</v>
      </c>
    </row>
    <row r="459" spans="16:19" x14ac:dyDescent="0.3">
      <c r="P459">
        <v>458</v>
      </c>
      <c r="Q459">
        <v>-460327</v>
      </c>
      <c r="S459">
        <v>97968</v>
      </c>
    </row>
    <row r="460" spans="16:19" x14ac:dyDescent="0.3">
      <c r="P460">
        <v>459</v>
      </c>
      <c r="Q460">
        <v>1040287</v>
      </c>
      <c r="S460">
        <v>617643</v>
      </c>
    </row>
    <row r="461" spans="16:19" x14ac:dyDescent="0.3">
      <c r="P461">
        <v>460</v>
      </c>
      <c r="Q461">
        <v>-42360</v>
      </c>
      <c r="S461">
        <v>10672</v>
      </c>
    </row>
    <row r="462" spans="16:19" x14ac:dyDescent="0.3">
      <c r="P462">
        <v>461</v>
      </c>
      <c r="Q462">
        <v>214688</v>
      </c>
      <c r="S462">
        <v>75102</v>
      </c>
    </row>
    <row r="463" spans="16:19" x14ac:dyDescent="0.3">
      <c r="P463">
        <v>462</v>
      </c>
      <c r="Q463">
        <v>68094</v>
      </c>
      <c r="S463">
        <v>398646</v>
      </c>
    </row>
    <row r="464" spans="16:19" x14ac:dyDescent="0.3">
      <c r="P464">
        <v>463</v>
      </c>
      <c r="Q464">
        <v>-595085</v>
      </c>
      <c r="S464">
        <v>-262630</v>
      </c>
    </row>
    <row r="465" spans="16:19" x14ac:dyDescent="0.3">
      <c r="P465">
        <v>464</v>
      </c>
      <c r="Q465">
        <v>248263</v>
      </c>
      <c r="S465">
        <v>-454947</v>
      </c>
    </row>
    <row r="466" spans="16:19" x14ac:dyDescent="0.3">
      <c r="P466">
        <v>465</v>
      </c>
      <c r="Q466">
        <v>-268604</v>
      </c>
      <c r="S466">
        <v>427060</v>
      </c>
    </row>
    <row r="467" spans="16:19" x14ac:dyDescent="0.3">
      <c r="P467">
        <v>466</v>
      </c>
      <c r="Q467">
        <v>52058</v>
      </c>
      <c r="S467">
        <v>-519716</v>
      </c>
    </row>
    <row r="468" spans="16:19" x14ac:dyDescent="0.3">
      <c r="P468">
        <v>467</v>
      </c>
      <c r="Q468">
        <v>703156</v>
      </c>
      <c r="S468">
        <v>285752</v>
      </c>
    </row>
    <row r="469" spans="16:19" x14ac:dyDescent="0.3">
      <c r="P469">
        <v>468</v>
      </c>
      <c r="Q469">
        <v>663147</v>
      </c>
      <c r="S469">
        <v>512800</v>
      </c>
    </row>
    <row r="470" spans="16:19" x14ac:dyDescent="0.3">
      <c r="P470">
        <v>469</v>
      </c>
      <c r="Q470">
        <v>-290922</v>
      </c>
      <c r="S470">
        <v>210042</v>
      </c>
    </row>
    <row r="471" spans="16:19" x14ac:dyDescent="0.3">
      <c r="P471">
        <v>470</v>
      </c>
      <c r="Q471">
        <v>-182617</v>
      </c>
      <c r="S471">
        <v>150175</v>
      </c>
    </row>
    <row r="472" spans="16:19" x14ac:dyDescent="0.3">
      <c r="P472">
        <v>471</v>
      </c>
      <c r="Q472">
        <v>-300472</v>
      </c>
      <c r="S472">
        <v>-62551</v>
      </c>
    </row>
    <row r="473" spans="16:19" x14ac:dyDescent="0.3">
      <c r="P473">
        <v>472</v>
      </c>
      <c r="Q473">
        <v>-107589</v>
      </c>
      <c r="S473">
        <v>-243854</v>
      </c>
    </row>
    <row r="474" spans="16:19" x14ac:dyDescent="0.3">
      <c r="P474">
        <v>473</v>
      </c>
      <c r="Q474">
        <v>-794996</v>
      </c>
      <c r="S474">
        <v>-431883</v>
      </c>
    </row>
    <row r="475" spans="16:19" x14ac:dyDescent="0.3">
      <c r="P475">
        <v>474</v>
      </c>
      <c r="Q475">
        <v>584915</v>
      </c>
      <c r="S475">
        <v>319918</v>
      </c>
    </row>
    <row r="476" spans="16:19" x14ac:dyDescent="0.3">
      <c r="P476">
        <v>475</v>
      </c>
      <c r="Q476">
        <v>98312</v>
      </c>
      <c r="S476">
        <v>-198932</v>
      </c>
    </row>
    <row r="477" spans="16:19" x14ac:dyDescent="0.3">
      <c r="P477">
        <v>476</v>
      </c>
      <c r="Q477">
        <v>526031</v>
      </c>
      <c r="S477">
        <v>270992</v>
      </c>
    </row>
    <row r="478" spans="16:19" x14ac:dyDescent="0.3">
      <c r="P478">
        <v>477</v>
      </c>
      <c r="Q478">
        <v>615063</v>
      </c>
      <c r="S478">
        <v>283207</v>
      </c>
    </row>
    <row r="479" spans="16:19" x14ac:dyDescent="0.3">
      <c r="P479">
        <v>478</v>
      </c>
      <c r="Q479">
        <v>-443276</v>
      </c>
      <c r="S479">
        <v>73994</v>
      </c>
    </row>
    <row r="480" spans="16:19" x14ac:dyDescent="0.3">
      <c r="P480">
        <v>479</v>
      </c>
      <c r="Q480">
        <v>456096</v>
      </c>
      <c r="S480">
        <v>-184767</v>
      </c>
    </row>
    <row r="481" spans="16:19" x14ac:dyDescent="0.3">
      <c r="P481">
        <v>480</v>
      </c>
      <c r="Q481">
        <v>-475694</v>
      </c>
      <c r="S481">
        <v>488168</v>
      </c>
    </row>
    <row r="482" spans="16:19" x14ac:dyDescent="0.3">
      <c r="P482">
        <v>481</v>
      </c>
      <c r="Q482">
        <v>-386379</v>
      </c>
      <c r="S482">
        <v>-295729</v>
      </c>
    </row>
    <row r="483" spans="16:19" x14ac:dyDescent="0.3">
      <c r="P483">
        <v>482</v>
      </c>
      <c r="Q483">
        <v>320628</v>
      </c>
      <c r="S483">
        <v>449924</v>
      </c>
    </row>
    <row r="484" spans="16:19" x14ac:dyDescent="0.3">
      <c r="P484">
        <v>483</v>
      </c>
      <c r="Q484">
        <v>-658205</v>
      </c>
      <c r="S484">
        <v>-398798</v>
      </c>
    </row>
    <row r="485" spans="16:19" x14ac:dyDescent="0.3">
      <c r="P485">
        <v>484</v>
      </c>
      <c r="Q485">
        <v>-605391</v>
      </c>
      <c r="S485">
        <v>615443</v>
      </c>
    </row>
    <row r="486" spans="16:19" x14ac:dyDescent="0.3">
      <c r="P486">
        <v>485</v>
      </c>
      <c r="Q486">
        <v>-316798</v>
      </c>
      <c r="S486">
        <v>580592</v>
      </c>
    </row>
    <row r="487" spans="16:19" x14ac:dyDescent="0.3">
      <c r="P487">
        <v>486</v>
      </c>
      <c r="Q487">
        <v>428789</v>
      </c>
      <c r="S487">
        <v>-255541</v>
      </c>
    </row>
    <row r="488" spans="16:19" x14ac:dyDescent="0.3">
      <c r="P488">
        <v>487</v>
      </c>
      <c r="Q488">
        <v>95696</v>
      </c>
      <c r="S488">
        <v>-564507</v>
      </c>
    </row>
    <row r="489" spans="16:19" x14ac:dyDescent="0.3">
      <c r="P489">
        <v>488</v>
      </c>
      <c r="Q489">
        <v>544954</v>
      </c>
      <c r="S489">
        <v>227159</v>
      </c>
    </row>
    <row r="490" spans="16:19" x14ac:dyDescent="0.3">
      <c r="P490">
        <v>489</v>
      </c>
      <c r="Q490">
        <v>-118914</v>
      </c>
      <c r="S490">
        <v>227712</v>
      </c>
    </row>
    <row r="491" spans="16:19" x14ac:dyDescent="0.3">
      <c r="P491">
        <v>490</v>
      </c>
      <c r="Q491">
        <v>-494336</v>
      </c>
      <c r="S491">
        <v>797912</v>
      </c>
    </row>
    <row r="492" spans="16:19" x14ac:dyDescent="0.3">
      <c r="P492">
        <v>491</v>
      </c>
      <c r="Q492">
        <v>-56426</v>
      </c>
      <c r="S492">
        <v>-607637</v>
      </c>
    </row>
    <row r="493" spans="16:19" x14ac:dyDescent="0.3">
      <c r="P493">
        <v>492</v>
      </c>
      <c r="Q493">
        <v>251870</v>
      </c>
      <c r="S493">
        <v>-725584</v>
      </c>
    </row>
    <row r="494" spans="16:19" x14ac:dyDescent="0.3">
      <c r="P494">
        <v>493</v>
      </c>
      <c r="Q494">
        <v>564043</v>
      </c>
      <c r="S494">
        <v>-98694</v>
      </c>
    </row>
    <row r="495" spans="16:19" x14ac:dyDescent="0.3">
      <c r="P495">
        <v>494</v>
      </c>
      <c r="Q495">
        <v>246931</v>
      </c>
      <c r="S495">
        <v>346098</v>
      </c>
    </row>
    <row r="496" spans="16:19" x14ac:dyDescent="0.3">
      <c r="P496">
        <v>495</v>
      </c>
      <c r="Q496">
        <v>-159887</v>
      </c>
      <c r="S496">
        <v>382484</v>
      </c>
    </row>
    <row r="497" spans="16:19" x14ac:dyDescent="0.3">
      <c r="P497">
        <v>496</v>
      </c>
      <c r="Q497">
        <v>-355007</v>
      </c>
      <c r="S497">
        <v>212347</v>
      </c>
    </row>
    <row r="498" spans="16:19" x14ac:dyDescent="0.3">
      <c r="P498">
        <v>497</v>
      </c>
      <c r="Q498">
        <v>502662</v>
      </c>
      <c r="S498">
        <v>-264903</v>
      </c>
    </row>
    <row r="499" spans="16:19" x14ac:dyDescent="0.3">
      <c r="P499">
        <v>498</v>
      </c>
      <c r="Q499">
        <v>-358630</v>
      </c>
      <c r="S499">
        <v>1010377</v>
      </c>
    </row>
    <row r="500" spans="16:19" x14ac:dyDescent="0.3">
      <c r="P500">
        <v>499</v>
      </c>
      <c r="Q500">
        <v>225856</v>
      </c>
      <c r="S500">
        <v>240040</v>
      </c>
    </row>
    <row r="501" spans="16:19" x14ac:dyDescent="0.3">
      <c r="P501">
        <v>500</v>
      </c>
      <c r="Q501">
        <v>-662916</v>
      </c>
      <c r="S501">
        <v>-219651</v>
      </c>
    </row>
    <row r="502" spans="16:19" x14ac:dyDescent="0.3">
      <c r="P502">
        <v>501</v>
      </c>
      <c r="Q502">
        <v>-152210</v>
      </c>
      <c r="S502">
        <v>180566</v>
      </c>
    </row>
    <row r="503" spans="16:19" x14ac:dyDescent="0.3">
      <c r="P503">
        <v>502</v>
      </c>
      <c r="Q503">
        <v>93959</v>
      </c>
      <c r="S503">
        <v>-281282</v>
      </c>
    </row>
    <row r="504" spans="16:19" x14ac:dyDescent="0.3">
      <c r="P504">
        <v>503</v>
      </c>
      <c r="Q504">
        <v>-182990</v>
      </c>
      <c r="S504">
        <v>-633885</v>
      </c>
    </row>
    <row r="505" spans="16:19" x14ac:dyDescent="0.3">
      <c r="P505">
        <v>504</v>
      </c>
      <c r="Q505">
        <v>690587</v>
      </c>
      <c r="S505">
        <v>259960</v>
      </c>
    </row>
    <row r="506" spans="16:19" x14ac:dyDescent="0.3">
      <c r="P506">
        <v>505</v>
      </c>
      <c r="Q506">
        <v>-215825</v>
      </c>
      <c r="S506">
        <v>-406534</v>
      </c>
    </row>
    <row r="507" spans="16:19" x14ac:dyDescent="0.3">
      <c r="P507">
        <v>506</v>
      </c>
      <c r="Q507">
        <v>-254120</v>
      </c>
      <c r="S507">
        <v>177367</v>
      </c>
    </row>
    <row r="508" spans="16:19" x14ac:dyDescent="0.3">
      <c r="P508">
        <v>507</v>
      </c>
      <c r="Q508">
        <v>437974</v>
      </c>
      <c r="S508">
        <v>-143102</v>
      </c>
    </row>
    <row r="509" spans="16:19" x14ac:dyDescent="0.3">
      <c r="P509">
        <v>508</v>
      </c>
      <c r="Q509">
        <v>-436243</v>
      </c>
      <c r="S509">
        <v>220819</v>
      </c>
    </row>
    <row r="510" spans="16:19" x14ac:dyDescent="0.3">
      <c r="P510">
        <v>509</v>
      </c>
      <c r="Q510">
        <v>343091</v>
      </c>
      <c r="S510">
        <v>-510764</v>
      </c>
    </row>
    <row r="511" spans="16:19" x14ac:dyDescent="0.3">
      <c r="P511">
        <v>510</v>
      </c>
      <c r="Q511">
        <v>198768</v>
      </c>
      <c r="S511">
        <v>-565633</v>
      </c>
    </row>
    <row r="512" spans="16:19" x14ac:dyDescent="0.3">
      <c r="P512">
        <v>511</v>
      </c>
      <c r="Q512">
        <v>-295181</v>
      </c>
      <c r="S512">
        <v>-249167</v>
      </c>
    </row>
    <row r="513" spans="16:19" x14ac:dyDescent="0.3">
      <c r="P513">
        <v>512</v>
      </c>
      <c r="Q513">
        <v>-111652</v>
      </c>
      <c r="S513">
        <v>368913</v>
      </c>
    </row>
    <row r="514" spans="16:19" x14ac:dyDescent="0.3">
      <c r="P514">
        <v>513</v>
      </c>
      <c r="Q514">
        <v>-417355</v>
      </c>
      <c r="S514">
        <v>635463</v>
      </c>
    </row>
    <row r="515" spans="16:19" x14ac:dyDescent="0.3">
      <c r="P515">
        <v>514</v>
      </c>
      <c r="Q515">
        <v>-524416</v>
      </c>
      <c r="S515">
        <v>-124780</v>
      </c>
    </row>
    <row r="516" spans="16:19" x14ac:dyDescent="0.3">
      <c r="P516">
        <v>515</v>
      </c>
      <c r="Q516">
        <v>-498629</v>
      </c>
      <c r="S516">
        <v>645428</v>
      </c>
    </row>
    <row r="517" spans="16:19" x14ac:dyDescent="0.3">
      <c r="P517">
        <v>516</v>
      </c>
      <c r="Q517">
        <v>-354421</v>
      </c>
      <c r="S517">
        <v>652209</v>
      </c>
    </row>
    <row r="518" spans="16:19" x14ac:dyDescent="0.3">
      <c r="P518">
        <v>517</v>
      </c>
      <c r="Q518">
        <v>-537832</v>
      </c>
      <c r="S518">
        <v>216325</v>
      </c>
    </row>
    <row r="519" spans="16:19" x14ac:dyDescent="0.3">
      <c r="P519">
        <v>518</v>
      </c>
      <c r="Q519">
        <v>-346835</v>
      </c>
      <c r="S519">
        <v>3024</v>
      </c>
    </row>
    <row r="520" spans="16:19" x14ac:dyDescent="0.3">
      <c r="P520">
        <v>519</v>
      </c>
      <c r="Q520">
        <v>-573942</v>
      </c>
      <c r="S520">
        <v>73693</v>
      </c>
    </row>
    <row r="521" spans="16:19" x14ac:dyDescent="0.3">
      <c r="P521">
        <v>520</v>
      </c>
      <c r="Q521">
        <v>-71844</v>
      </c>
      <c r="S521">
        <v>-66909</v>
      </c>
    </row>
    <row r="522" spans="16:19" x14ac:dyDescent="0.3">
      <c r="P522">
        <v>521</v>
      </c>
      <c r="Q522">
        <v>141720</v>
      </c>
      <c r="S522">
        <v>270874</v>
      </c>
    </row>
    <row r="523" spans="16:19" x14ac:dyDescent="0.3">
      <c r="P523">
        <v>522</v>
      </c>
      <c r="Q523">
        <v>-332541</v>
      </c>
      <c r="S523">
        <v>375533</v>
      </c>
    </row>
    <row r="524" spans="16:19" x14ac:dyDescent="0.3">
      <c r="P524">
        <v>523</v>
      </c>
      <c r="Q524">
        <v>205356</v>
      </c>
      <c r="S524">
        <v>484300</v>
      </c>
    </row>
    <row r="525" spans="16:19" x14ac:dyDescent="0.3">
      <c r="P525">
        <v>524</v>
      </c>
      <c r="Q525">
        <v>-584197</v>
      </c>
      <c r="S525">
        <v>-625754</v>
      </c>
    </row>
    <row r="526" spans="16:19" x14ac:dyDescent="0.3">
      <c r="P526">
        <v>525</v>
      </c>
      <c r="Q526">
        <v>236750</v>
      </c>
      <c r="S526">
        <v>941533</v>
      </c>
    </row>
    <row r="527" spans="16:19" x14ac:dyDescent="0.3">
      <c r="P527">
        <v>526</v>
      </c>
      <c r="Q527">
        <v>-448678</v>
      </c>
      <c r="S527">
        <v>126393</v>
      </c>
    </row>
    <row r="528" spans="16:19" x14ac:dyDescent="0.3">
      <c r="P528">
        <v>527</v>
      </c>
      <c r="Q528">
        <v>442552</v>
      </c>
      <c r="S528">
        <v>-364644</v>
      </c>
    </row>
    <row r="529" spans="16:19" x14ac:dyDescent="0.3">
      <c r="P529">
        <v>528</v>
      </c>
      <c r="Q529">
        <v>562363</v>
      </c>
      <c r="S529">
        <v>101242</v>
      </c>
    </row>
    <row r="530" spans="16:19" x14ac:dyDescent="0.3">
      <c r="P530">
        <v>529</v>
      </c>
      <c r="Q530">
        <v>-149480</v>
      </c>
      <c r="S530">
        <v>-127545</v>
      </c>
    </row>
    <row r="531" spans="16:19" x14ac:dyDescent="0.3">
      <c r="P531">
        <v>530</v>
      </c>
      <c r="Q531">
        <v>388823</v>
      </c>
      <c r="S531">
        <v>296691</v>
      </c>
    </row>
    <row r="532" spans="16:19" x14ac:dyDescent="0.3">
      <c r="P532">
        <v>531</v>
      </c>
      <c r="Q532">
        <v>-88605</v>
      </c>
      <c r="S532">
        <v>-138507</v>
      </c>
    </row>
    <row r="533" spans="16:19" x14ac:dyDescent="0.3">
      <c r="P533">
        <v>532</v>
      </c>
      <c r="Q533">
        <v>-205490</v>
      </c>
      <c r="S533">
        <v>126725</v>
      </c>
    </row>
    <row r="534" spans="16:19" x14ac:dyDescent="0.3">
      <c r="P534">
        <v>533</v>
      </c>
      <c r="Q534">
        <v>85241</v>
      </c>
      <c r="S534">
        <v>2225</v>
      </c>
    </row>
    <row r="535" spans="16:19" x14ac:dyDescent="0.3">
      <c r="P535">
        <v>534</v>
      </c>
      <c r="Q535">
        <v>766333</v>
      </c>
      <c r="S535">
        <v>76477</v>
      </c>
    </row>
    <row r="536" spans="16:19" x14ac:dyDescent="0.3">
      <c r="P536">
        <v>535</v>
      </c>
      <c r="Q536">
        <v>-365675</v>
      </c>
      <c r="S536">
        <v>-851947</v>
      </c>
    </row>
    <row r="537" spans="16:19" x14ac:dyDescent="0.3">
      <c r="P537">
        <v>536</v>
      </c>
      <c r="Q537">
        <v>-200361</v>
      </c>
      <c r="S537">
        <v>244795</v>
      </c>
    </row>
    <row r="538" spans="16:19" x14ac:dyDescent="0.3">
      <c r="P538">
        <v>537</v>
      </c>
      <c r="Q538">
        <v>454679</v>
      </c>
      <c r="S538">
        <v>134480</v>
      </c>
    </row>
    <row r="539" spans="16:19" x14ac:dyDescent="0.3">
      <c r="P539">
        <v>538</v>
      </c>
      <c r="Q539">
        <v>174921</v>
      </c>
      <c r="S539">
        <v>135420</v>
      </c>
    </row>
    <row r="540" spans="16:19" x14ac:dyDescent="0.3">
      <c r="P540">
        <v>539</v>
      </c>
      <c r="Q540">
        <v>493072</v>
      </c>
      <c r="S540">
        <v>78765</v>
      </c>
    </row>
    <row r="541" spans="16:19" x14ac:dyDescent="0.3">
      <c r="P541">
        <v>540</v>
      </c>
      <c r="Q541">
        <v>200490</v>
      </c>
      <c r="S541">
        <v>250930</v>
      </c>
    </row>
    <row r="542" spans="16:19" x14ac:dyDescent="0.3">
      <c r="P542">
        <v>541</v>
      </c>
      <c r="Q542">
        <v>474510</v>
      </c>
      <c r="S542">
        <v>-726324</v>
      </c>
    </row>
    <row r="543" spans="16:19" x14ac:dyDescent="0.3">
      <c r="P543">
        <v>542</v>
      </c>
      <c r="Q543">
        <v>-468365</v>
      </c>
      <c r="S543">
        <v>96485</v>
      </c>
    </row>
    <row r="544" spans="16:19" x14ac:dyDescent="0.3">
      <c r="P544">
        <v>543</v>
      </c>
      <c r="Q544">
        <v>-298437</v>
      </c>
      <c r="S544">
        <v>-348240</v>
      </c>
    </row>
    <row r="545" spans="16:19" x14ac:dyDescent="0.3">
      <c r="P545">
        <v>544</v>
      </c>
      <c r="Q545">
        <v>-364851</v>
      </c>
      <c r="S545">
        <v>-291709</v>
      </c>
    </row>
    <row r="546" spans="16:19" x14ac:dyDescent="0.3">
      <c r="P546">
        <v>545</v>
      </c>
      <c r="Q546">
        <v>406103</v>
      </c>
      <c r="S546">
        <v>583652</v>
      </c>
    </row>
    <row r="547" spans="16:19" x14ac:dyDescent="0.3">
      <c r="P547">
        <v>546</v>
      </c>
      <c r="Q547">
        <v>229783</v>
      </c>
      <c r="S547">
        <v>419288</v>
      </c>
    </row>
    <row r="548" spans="16:19" x14ac:dyDescent="0.3">
      <c r="P548">
        <v>547</v>
      </c>
      <c r="Q548">
        <v>-260531</v>
      </c>
      <c r="S548">
        <v>-727107</v>
      </c>
    </row>
    <row r="549" spans="16:19" x14ac:dyDescent="0.3">
      <c r="P549">
        <v>548</v>
      </c>
      <c r="Q549">
        <v>-109585</v>
      </c>
      <c r="S549">
        <v>196382</v>
      </c>
    </row>
    <row r="550" spans="16:19" x14ac:dyDescent="0.3">
      <c r="P550">
        <v>549</v>
      </c>
      <c r="Q550">
        <v>84300</v>
      </c>
      <c r="S550">
        <v>-418129</v>
      </c>
    </row>
    <row r="551" spans="16:19" x14ac:dyDescent="0.3">
      <c r="P551">
        <v>550</v>
      </c>
      <c r="Q551">
        <v>-85939</v>
      </c>
      <c r="S551">
        <v>-533600</v>
      </c>
    </row>
    <row r="552" spans="16:19" x14ac:dyDescent="0.3">
      <c r="P552">
        <v>551</v>
      </c>
      <c r="Q552">
        <v>696934</v>
      </c>
      <c r="S552">
        <v>312848</v>
      </c>
    </row>
    <row r="553" spans="16:19" x14ac:dyDescent="0.3">
      <c r="P553">
        <v>552</v>
      </c>
      <c r="Q553">
        <v>182139</v>
      </c>
      <c r="S553">
        <v>9656</v>
      </c>
    </row>
    <row r="554" spans="16:19" x14ac:dyDescent="0.3">
      <c r="P554">
        <v>553</v>
      </c>
      <c r="Q554">
        <v>-33350</v>
      </c>
      <c r="S554">
        <v>907798</v>
      </c>
    </row>
    <row r="555" spans="16:19" x14ac:dyDescent="0.3">
      <c r="P555">
        <v>554</v>
      </c>
      <c r="Q555">
        <v>285151</v>
      </c>
      <c r="S555">
        <v>-352982</v>
      </c>
    </row>
    <row r="556" spans="16:19" x14ac:dyDescent="0.3">
      <c r="P556">
        <v>555</v>
      </c>
      <c r="Q556">
        <v>-271491</v>
      </c>
      <c r="S556">
        <v>-215689</v>
      </c>
    </row>
    <row r="557" spans="16:19" x14ac:dyDescent="0.3">
      <c r="P557">
        <v>556</v>
      </c>
      <c r="Q557">
        <v>72158</v>
      </c>
      <c r="S557">
        <v>176872</v>
      </c>
    </row>
    <row r="558" spans="16:19" x14ac:dyDescent="0.3">
      <c r="P558">
        <v>557</v>
      </c>
      <c r="Q558">
        <v>706007</v>
      </c>
      <c r="S558">
        <v>144657</v>
      </c>
    </row>
    <row r="559" spans="16:19" x14ac:dyDescent="0.3">
      <c r="P559">
        <v>558</v>
      </c>
      <c r="Q559">
        <v>-285471</v>
      </c>
      <c r="S559">
        <v>-65897</v>
      </c>
    </row>
    <row r="560" spans="16:19" x14ac:dyDescent="0.3">
      <c r="P560">
        <v>559</v>
      </c>
      <c r="Q560">
        <v>-28521</v>
      </c>
      <c r="S560">
        <v>306734</v>
      </c>
    </row>
    <row r="561" spans="16:19" x14ac:dyDescent="0.3">
      <c r="P561">
        <v>560</v>
      </c>
      <c r="Q561">
        <v>578914</v>
      </c>
      <c r="S561">
        <v>13353</v>
      </c>
    </row>
    <row r="562" spans="16:19" x14ac:dyDescent="0.3">
      <c r="P562">
        <v>561</v>
      </c>
      <c r="Q562">
        <v>-379971</v>
      </c>
      <c r="S562">
        <v>91563</v>
      </c>
    </row>
    <row r="563" spans="16:19" x14ac:dyDescent="0.3">
      <c r="P563">
        <v>562</v>
      </c>
      <c r="Q563">
        <v>867844</v>
      </c>
      <c r="S563">
        <v>249671</v>
      </c>
    </row>
    <row r="564" spans="16:19" x14ac:dyDescent="0.3">
      <c r="P564">
        <v>563</v>
      </c>
      <c r="Q564">
        <v>100244</v>
      </c>
      <c r="S564">
        <v>10386</v>
      </c>
    </row>
    <row r="565" spans="16:19" x14ac:dyDescent="0.3">
      <c r="P565">
        <v>564</v>
      </c>
      <c r="Q565">
        <v>156976</v>
      </c>
      <c r="S565">
        <v>-296135</v>
      </c>
    </row>
    <row r="566" spans="16:19" x14ac:dyDescent="0.3">
      <c r="P566">
        <v>565</v>
      </c>
      <c r="Q566">
        <v>336666</v>
      </c>
      <c r="S566">
        <v>-412465</v>
      </c>
    </row>
    <row r="567" spans="16:19" x14ac:dyDescent="0.3">
      <c r="P567">
        <v>566</v>
      </c>
      <c r="Q567">
        <v>-11941</v>
      </c>
      <c r="S567">
        <v>214962</v>
      </c>
    </row>
    <row r="568" spans="16:19" x14ac:dyDescent="0.3">
      <c r="P568">
        <v>567</v>
      </c>
      <c r="Q568">
        <v>-187613</v>
      </c>
      <c r="S568">
        <v>-72415</v>
      </c>
    </row>
    <row r="569" spans="16:19" x14ac:dyDescent="0.3">
      <c r="P569">
        <v>568</v>
      </c>
      <c r="Q569">
        <v>252410</v>
      </c>
      <c r="S569">
        <v>-491112</v>
      </c>
    </row>
    <row r="570" spans="16:19" x14ac:dyDescent="0.3">
      <c r="P570">
        <v>569</v>
      </c>
      <c r="Q570">
        <v>-678452</v>
      </c>
      <c r="S570">
        <v>-131596</v>
      </c>
    </row>
    <row r="571" spans="16:19" x14ac:dyDescent="0.3">
      <c r="P571">
        <v>570</v>
      </c>
      <c r="Q571">
        <v>428549</v>
      </c>
      <c r="S571">
        <v>-569127</v>
      </c>
    </row>
    <row r="572" spans="16:19" x14ac:dyDescent="0.3">
      <c r="P572">
        <v>571</v>
      </c>
      <c r="Q572">
        <v>627931</v>
      </c>
      <c r="S572">
        <v>-310984</v>
      </c>
    </row>
    <row r="573" spans="16:19" x14ac:dyDescent="0.3">
      <c r="P573">
        <v>572</v>
      </c>
      <c r="Q573">
        <v>-622462</v>
      </c>
      <c r="S573">
        <v>755826</v>
      </c>
    </row>
    <row r="574" spans="16:19" x14ac:dyDescent="0.3">
      <c r="P574">
        <v>573</v>
      </c>
      <c r="Q574">
        <v>133767</v>
      </c>
      <c r="S574">
        <v>-318222</v>
      </c>
    </row>
    <row r="575" spans="16:19" x14ac:dyDescent="0.3">
      <c r="P575">
        <v>574</v>
      </c>
      <c r="Q575">
        <v>37456</v>
      </c>
      <c r="S575">
        <v>920810</v>
      </c>
    </row>
    <row r="576" spans="16:19" x14ac:dyDescent="0.3">
      <c r="P576">
        <v>575</v>
      </c>
      <c r="Q576">
        <v>-455563</v>
      </c>
      <c r="S576">
        <v>-235562</v>
      </c>
    </row>
    <row r="577" spans="16:19" x14ac:dyDescent="0.3">
      <c r="P577">
        <v>576</v>
      </c>
      <c r="Q577">
        <v>-441107</v>
      </c>
      <c r="S577">
        <v>-175629</v>
      </c>
    </row>
    <row r="578" spans="16:19" x14ac:dyDescent="0.3">
      <c r="P578">
        <v>577</v>
      </c>
      <c r="Q578">
        <v>593179</v>
      </c>
      <c r="S578">
        <v>34540</v>
      </c>
    </row>
    <row r="579" spans="16:19" x14ac:dyDescent="0.3">
      <c r="P579">
        <v>578</v>
      </c>
      <c r="Q579">
        <v>-317918</v>
      </c>
      <c r="S579">
        <v>374440</v>
      </c>
    </row>
    <row r="580" spans="16:19" x14ac:dyDescent="0.3">
      <c r="P580">
        <v>579</v>
      </c>
      <c r="Q580">
        <v>-451251</v>
      </c>
      <c r="S580">
        <v>546457</v>
      </c>
    </row>
    <row r="581" spans="16:19" x14ac:dyDescent="0.3">
      <c r="P581">
        <v>580</v>
      </c>
      <c r="Q581">
        <v>338061</v>
      </c>
      <c r="S581">
        <v>923147</v>
      </c>
    </row>
    <row r="582" spans="16:19" x14ac:dyDescent="0.3">
      <c r="P582">
        <v>581</v>
      </c>
      <c r="Q582">
        <v>815428</v>
      </c>
      <c r="S582">
        <v>325322</v>
      </c>
    </row>
    <row r="583" spans="16:19" x14ac:dyDescent="0.3">
      <c r="P583">
        <v>582</v>
      </c>
      <c r="Q583">
        <v>296078</v>
      </c>
      <c r="S583">
        <v>533165</v>
      </c>
    </row>
    <row r="584" spans="16:19" x14ac:dyDescent="0.3">
      <c r="P584">
        <v>583</v>
      </c>
      <c r="Q584">
        <v>513918</v>
      </c>
      <c r="S584">
        <v>-416743</v>
      </c>
    </row>
    <row r="585" spans="16:19" x14ac:dyDescent="0.3">
      <c r="P585">
        <v>584</v>
      </c>
      <c r="Q585">
        <v>-691776</v>
      </c>
      <c r="S585">
        <v>304511</v>
      </c>
    </row>
    <row r="586" spans="16:19" x14ac:dyDescent="0.3">
      <c r="P586">
        <v>585</v>
      </c>
      <c r="Q586">
        <v>440695</v>
      </c>
      <c r="S586">
        <v>-166856</v>
      </c>
    </row>
    <row r="587" spans="16:19" x14ac:dyDescent="0.3">
      <c r="P587">
        <v>586</v>
      </c>
      <c r="Q587">
        <v>-518213</v>
      </c>
      <c r="S587">
        <v>-338391</v>
      </c>
    </row>
    <row r="588" spans="16:19" x14ac:dyDescent="0.3">
      <c r="P588">
        <v>587</v>
      </c>
      <c r="Q588">
        <v>656877</v>
      </c>
      <c r="S588">
        <v>132223</v>
      </c>
    </row>
    <row r="589" spans="16:19" x14ac:dyDescent="0.3">
      <c r="P589">
        <v>588</v>
      </c>
      <c r="Q589">
        <v>-542007</v>
      </c>
      <c r="S589">
        <v>-404986</v>
      </c>
    </row>
    <row r="590" spans="16:19" x14ac:dyDescent="0.3">
      <c r="P590">
        <v>589</v>
      </c>
      <c r="Q590">
        <v>699211</v>
      </c>
      <c r="S590">
        <v>300073</v>
      </c>
    </row>
    <row r="591" spans="16:19" x14ac:dyDescent="0.3">
      <c r="P591">
        <v>590</v>
      </c>
      <c r="Q591">
        <v>-474753</v>
      </c>
      <c r="S591">
        <v>-163782</v>
      </c>
    </row>
    <row r="592" spans="16:19" x14ac:dyDescent="0.3">
      <c r="P592">
        <v>591</v>
      </c>
      <c r="Q592">
        <v>483537</v>
      </c>
      <c r="S592">
        <v>900707</v>
      </c>
    </row>
    <row r="593" spans="16:19" x14ac:dyDescent="0.3">
      <c r="P593">
        <v>592</v>
      </c>
      <c r="Q593">
        <v>361580</v>
      </c>
      <c r="S593">
        <v>-284932</v>
      </c>
    </row>
    <row r="594" spans="16:19" x14ac:dyDescent="0.3">
      <c r="P594">
        <v>593</v>
      </c>
      <c r="Q594">
        <v>-403915</v>
      </c>
      <c r="S594">
        <v>345027</v>
      </c>
    </row>
    <row r="595" spans="16:19" x14ac:dyDescent="0.3">
      <c r="P595">
        <v>594</v>
      </c>
      <c r="Q595">
        <v>-344934</v>
      </c>
      <c r="S595">
        <v>11906</v>
      </c>
    </row>
    <row r="596" spans="16:19" x14ac:dyDescent="0.3">
      <c r="P596">
        <v>595</v>
      </c>
      <c r="Q596">
        <v>516463</v>
      </c>
      <c r="S596">
        <v>-356119</v>
      </c>
    </row>
    <row r="597" spans="16:19" x14ac:dyDescent="0.3">
      <c r="P597">
        <v>596</v>
      </c>
      <c r="Q597">
        <v>371790</v>
      </c>
      <c r="S597">
        <v>-126008</v>
      </c>
    </row>
    <row r="598" spans="16:19" x14ac:dyDescent="0.3">
      <c r="P598">
        <v>597</v>
      </c>
      <c r="Q598">
        <v>-76338</v>
      </c>
      <c r="S598">
        <v>-13846</v>
      </c>
    </row>
    <row r="599" spans="16:19" x14ac:dyDescent="0.3">
      <c r="P599">
        <v>598</v>
      </c>
      <c r="Q599">
        <v>-810971</v>
      </c>
      <c r="S599">
        <v>121578</v>
      </c>
    </row>
    <row r="600" spans="16:19" x14ac:dyDescent="0.3">
      <c r="P600">
        <v>599</v>
      </c>
      <c r="Q600">
        <v>395021</v>
      </c>
      <c r="S600">
        <v>521616</v>
      </c>
    </row>
    <row r="601" spans="16:19" x14ac:dyDescent="0.3">
      <c r="P601">
        <v>600</v>
      </c>
      <c r="Q601">
        <v>-73979</v>
      </c>
      <c r="S601">
        <v>-381055</v>
      </c>
    </row>
    <row r="602" spans="16:19" x14ac:dyDescent="0.3">
      <c r="P602">
        <v>601</v>
      </c>
      <c r="Q602">
        <v>-399009</v>
      </c>
      <c r="S602">
        <v>-347646</v>
      </c>
    </row>
    <row r="603" spans="16:19" x14ac:dyDescent="0.3">
      <c r="P603">
        <v>602</v>
      </c>
      <c r="Q603">
        <v>-8745</v>
      </c>
      <c r="S603">
        <v>3938</v>
      </c>
    </row>
    <row r="604" spans="16:19" x14ac:dyDescent="0.3">
      <c r="P604">
        <v>603</v>
      </c>
      <c r="Q604">
        <v>-506312</v>
      </c>
      <c r="S604">
        <v>34771</v>
      </c>
    </row>
    <row r="605" spans="16:19" x14ac:dyDescent="0.3">
      <c r="P605">
        <v>604</v>
      </c>
      <c r="Q605">
        <v>523367</v>
      </c>
      <c r="S605">
        <v>241610</v>
      </c>
    </row>
    <row r="606" spans="16:19" x14ac:dyDescent="0.3">
      <c r="P606">
        <v>605</v>
      </c>
      <c r="Q606">
        <v>-85699</v>
      </c>
      <c r="S606">
        <v>239230</v>
      </c>
    </row>
    <row r="607" spans="16:19" x14ac:dyDescent="0.3">
      <c r="P607">
        <v>606</v>
      </c>
      <c r="Q607">
        <v>515284</v>
      </c>
      <c r="S607">
        <v>-26815</v>
      </c>
    </row>
    <row r="608" spans="16:19" x14ac:dyDescent="0.3">
      <c r="P608">
        <v>607</v>
      </c>
      <c r="Q608">
        <v>-740544</v>
      </c>
      <c r="S608">
        <v>46256</v>
      </c>
    </row>
    <row r="609" spans="16:19" x14ac:dyDescent="0.3">
      <c r="P609">
        <v>608</v>
      </c>
      <c r="Q609">
        <v>828659</v>
      </c>
      <c r="S609">
        <v>360219</v>
      </c>
    </row>
    <row r="610" spans="16:19" x14ac:dyDescent="0.3">
      <c r="P610">
        <v>609</v>
      </c>
      <c r="Q610">
        <v>-111074</v>
      </c>
      <c r="S610">
        <v>113300</v>
      </c>
    </row>
    <row r="611" spans="16:19" x14ac:dyDescent="0.3">
      <c r="P611">
        <v>610</v>
      </c>
      <c r="Q611">
        <v>-306894</v>
      </c>
      <c r="S611">
        <v>535451</v>
      </c>
    </row>
    <row r="612" spans="16:19" x14ac:dyDescent="0.3">
      <c r="P612">
        <v>611</v>
      </c>
      <c r="Q612">
        <v>-213608</v>
      </c>
      <c r="S612">
        <v>-619597</v>
      </c>
    </row>
    <row r="613" spans="16:19" x14ac:dyDescent="0.3">
      <c r="P613">
        <v>612</v>
      </c>
      <c r="Q613">
        <v>-161361</v>
      </c>
      <c r="S613">
        <v>31904</v>
      </c>
    </row>
    <row r="614" spans="16:19" x14ac:dyDescent="0.3">
      <c r="P614">
        <v>613</v>
      </c>
      <c r="Q614">
        <v>67821</v>
      </c>
      <c r="S614">
        <v>-622570</v>
      </c>
    </row>
    <row r="615" spans="16:19" x14ac:dyDescent="0.3">
      <c r="P615">
        <v>614</v>
      </c>
      <c r="Q615">
        <v>-590571</v>
      </c>
      <c r="S615">
        <v>433702</v>
      </c>
    </row>
    <row r="616" spans="16:19" x14ac:dyDescent="0.3">
      <c r="P616">
        <v>615</v>
      </c>
      <c r="Q616">
        <v>227027</v>
      </c>
      <c r="S616">
        <v>264659</v>
      </c>
    </row>
    <row r="617" spans="16:19" x14ac:dyDescent="0.3">
      <c r="P617">
        <v>616</v>
      </c>
      <c r="Q617">
        <v>100509</v>
      </c>
      <c r="S617">
        <v>867041</v>
      </c>
    </row>
    <row r="618" spans="16:19" x14ac:dyDescent="0.3">
      <c r="P618">
        <v>617</v>
      </c>
      <c r="Q618">
        <v>368604</v>
      </c>
      <c r="S618">
        <v>378164</v>
      </c>
    </row>
    <row r="619" spans="16:19" x14ac:dyDescent="0.3">
      <c r="P619">
        <v>618</v>
      </c>
      <c r="Q619">
        <v>-18789</v>
      </c>
      <c r="S619">
        <v>468699</v>
      </c>
    </row>
    <row r="620" spans="16:19" x14ac:dyDescent="0.3">
      <c r="P620">
        <v>619</v>
      </c>
      <c r="Q620">
        <v>789419</v>
      </c>
      <c r="S620">
        <v>-689933</v>
      </c>
    </row>
    <row r="621" spans="16:19" x14ac:dyDescent="0.3">
      <c r="P621">
        <v>620</v>
      </c>
      <c r="Q621">
        <v>-26520</v>
      </c>
      <c r="S621">
        <v>597217</v>
      </c>
    </row>
    <row r="622" spans="16:19" x14ac:dyDescent="0.3">
      <c r="P622">
        <v>621</v>
      </c>
      <c r="Q622">
        <v>108641</v>
      </c>
      <c r="S622">
        <v>-519959</v>
      </c>
    </row>
    <row r="623" spans="16:19" x14ac:dyDescent="0.3">
      <c r="P623">
        <v>622</v>
      </c>
      <c r="Q623">
        <v>219579</v>
      </c>
      <c r="S623">
        <v>566923</v>
      </c>
    </row>
    <row r="624" spans="16:19" x14ac:dyDescent="0.3">
      <c r="P624">
        <v>623</v>
      </c>
      <c r="Q624">
        <v>118522</v>
      </c>
      <c r="S624">
        <v>253204</v>
      </c>
    </row>
    <row r="625" spans="16:19" x14ac:dyDescent="0.3">
      <c r="P625">
        <v>624</v>
      </c>
      <c r="Q625">
        <v>1007379</v>
      </c>
      <c r="S625">
        <v>45978</v>
      </c>
    </row>
    <row r="626" spans="16:19" x14ac:dyDescent="0.3">
      <c r="P626">
        <v>625</v>
      </c>
      <c r="Q626">
        <v>34159</v>
      </c>
      <c r="S626">
        <v>73075</v>
      </c>
    </row>
    <row r="627" spans="16:19" x14ac:dyDescent="0.3">
      <c r="P627">
        <v>626</v>
      </c>
      <c r="Q627">
        <v>493045</v>
      </c>
      <c r="S627">
        <v>132161</v>
      </c>
    </row>
    <row r="628" spans="16:19" x14ac:dyDescent="0.3">
      <c r="P628">
        <v>627</v>
      </c>
      <c r="Q628">
        <v>396460</v>
      </c>
      <c r="S628">
        <v>-680710</v>
      </c>
    </row>
    <row r="629" spans="16:19" x14ac:dyDescent="0.3">
      <c r="P629">
        <v>628</v>
      </c>
      <c r="Q629">
        <v>-339165</v>
      </c>
      <c r="S629">
        <v>581025</v>
      </c>
    </row>
    <row r="630" spans="16:19" x14ac:dyDescent="0.3">
      <c r="P630">
        <v>629</v>
      </c>
      <c r="Q630">
        <v>279172</v>
      </c>
      <c r="S630">
        <v>-764060</v>
      </c>
    </row>
    <row r="631" spans="16:19" x14ac:dyDescent="0.3">
      <c r="P631">
        <v>630</v>
      </c>
      <c r="Q631">
        <v>-802815</v>
      </c>
      <c r="S631">
        <v>301316</v>
      </c>
    </row>
    <row r="632" spans="16:19" x14ac:dyDescent="0.3">
      <c r="P632">
        <v>631</v>
      </c>
      <c r="Q632">
        <v>-199561</v>
      </c>
      <c r="S632">
        <v>-826939</v>
      </c>
    </row>
    <row r="633" spans="16:19" x14ac:dyDescent="0.3">
      <c r="P633">
        <v>632</v>
      </c>
      <c r="Q633">
        <v>-526998</v>
      </c>
      <c r="S633">
        <v>360362</v>
      </c>
    </row>
    <row r="634" spans="16:19" x14ac:dyDescent="0.3">
      <c r="P634">
        <v>633</v>
      </c>
      <c r="Q634">
        <v>-117505</v>
      </c>
      <c r="S634">
        <v>-368566</v>
      </c>
    </row>
    <row r="635" spans="16:19" x14ac:dyDescent="0.3">
      <c r="P635">
        <v>634</v>
      </c>
      <c r="Q635">
        <v>-636520</v>
      </c>
      <c r="S635">
        <v>-384043</v>
      </c>
    </row>
    <row r="636" spans="16:19" x14ac:dyDescent="0.3">
      <c r="P636">
        <v>635</v>
      </c>
      <c r="Q636">
        <v>-142567</v>
      </c>
      <c r="S636">
        <v>185601</v>
      </c>
    </row>
    <row r="637" spans="16:19" x14ac:dyDescent="0.3">
      <c r="P637">
        <v>636</v>
      </c>
      <c r="Q637">
        <v>351478</v>
      </c>
      <c r="S637">
        <v>752745</v>
      </c>
    </row>
    <row r="638" spans="16:19" x14ac:dyDescent="0.3">
      <c r="P638">
        <v>637</v>
      </c>
      <c r="Q638">
        <v>-331718</v>
      </c>
      <c r="S638">
        <v>357787</v>
      </c>
    </row>
    <row r="639" spans="16:19" x14ac:dyDescent="0.3">
      <c r="P639">
        <v>638</v>
      </c>
      <c r="Q639">
        <v>407350</v>
      </c>
      <c r="S639">
        <v>721103</v>
      </c>
    </row>
    <row r="640" spans="16:19" x14ac:dyDescent="0.3">
      <c r="P640">
        <v>639</v>
      </c>
      <c r="Q640">
        <v>162901</v>
      </c>
      <c r="S640">
        <v>120335</v>
      </c>
    </row>
    <row r="641" spans="16:19" x14ac:dyDescent="0.3">
      <c r="P641">
        <v>640</v>
      </c>
      <c r="Q641">
        <v>326803</v>
      </c>
      <c r="S641">
        <v>349192</v>
      </c>
    </row>
    <row r="642" spans="16:19" x14ac:dyDescent="0.3">
      <c r="P642">
        <v>641</v>
      </c>
      <c r="Q642">
        <v>233334</v>
      </c>
      <c r="S642">
        <v>543767</v>
      </c>
    </row>
    <row r="643" spans="16:19" x14ac:dyDescent="0.3">
      <c r="P643">
        <v>642</v>
      </c>
      <c r="Q643">
        <v>845336</v>
      </c>
      <c r="S643">
        <v>-354135</v>
      </c>
    </row>
    <row r="644" spans="16:19" x14ac:dyDescent="0.3">
      <c r="P644">
        <v>643</v>
      </c>
      <c r="Q644">
        <v>-573048</v>
      </c>
      <c r="S644">
        <v>-453179</v>
      </c>
    </row>
    <row r="645" spans="16:19" x14ac:dyDescent="0.3">
      <c r="P645">
        <v>644</v>
      </c>
      <c r="Q645">
        <v>-378355</v>
      </c>
      <c r="S645">
        <v>-29850</v>
      </c>
    </row>
    <row r="646" spans="16:19" x14ac:dyDescent="0.3">
      <c r="P646">
        <v>645</v>
      </c>
      <c r="Q646">
        <v>7209</v>
      </c>
      <c r="S646">
        <v>551485</v>
      </c>
    </row>
    <row r="647" spans="16:19" x14ac:dyDescent="0.3">
      <c r="P647">
        <v>646</v>
      </c>
      <c r="Q647">
        <v>183633</v>
      </c>
      <c r="S647">
        <v>-129657</v>
      </c>
    </row>
    <row r="648" spans="16:19" x14ac:dyDescent="0.3">
      <c r="P648">
        <v>647</v>
      </c>
      <c r="Q648">
        <v>922073</v>
      </c>
      <c r="S648">
        <v>15258</v>
      </c>
    </row>
    <row r="649" spans="16:19" x14ac:dyDescent="0.3">
      <c r="P649">
        <v>648</v>
      </c>
      <c r="Q649">
        <v>-464451</v>
      </c>
      <c r="S649">
        <v>-47575</v>
      </c>
    </row>
    <row r="650" spans="16:19" x14ac:dyDescent="0.3">
      <c r="P650">
        <v>649</v>
      </c>
      <c r="Q650">
        <v>-46893</v>
      </c>
      <c r="S650">
        <v>227289</v>
      </c>
    </row>
    <row r="651" spans="16:19" x14ac:dyDescent="0.3">
      <c r="P651">
        <v>650</v>
      </c>
      <c r="Q651">
        <v>412994</v>
      </c>
      <c r="S651">
        <v>913522</v>
      </c>
    </row>
    <row r="652" spans="16:19" x14ac:dyDescent="0.3">
      <c r="P652">
        <v>651</v>
      </c>
      <c r="Q652">
        <v>222914</v>
      </c>
      <c r="S652">
        <v>279686</v>
      </c>
    </row>
    <row r="653" spans="16:19" x14ac:dyDescent="0.3">
      <c r="P653">
        <v>652</v>
      </c>
      <c r="Q653">
        <v>-661496</v>
      </c>
      <c r="S653">
        <v>-280954</v>
      </c>
    </row>
    <row r="654" spans="16:19" x14ac:dyDescent="0.3">
      <c r="P654">
        <v>653</v>
      </c>
      <c r="Q654">
        <v>428863</v>
      </c>
      <c r="S654">
        <v>-111677</v>
      </c>
    </row>
    <row r="655" spans="16:19" x14ac:dyDescent="0.3">
      <c r="P655">
        <v>654</v>
      </c>
      <c r="Q655">
        <v>-501753</v>
      </c>
      <c r="S655">
        <v>143503</v>
      </c>
    </row>
    <row r="656" spans="16:19" x14ac:dyDescent="0.3">
      <c r="P656">
        <v>655</v>
      </c>
      <c r="Q656">
        <v>-93670</v>
      </c>
      <c r="S656">
        <v>328329</v>
      </c>
    </row>
    <row r="657" spans="16:19" x14ac:dyDescent="0.3">
      <c r="P657">
        <v>656</v>
      </c>
      <c r="Q657">
        <v>-182121</v>
      </c>
      <c r="S657">
        <v>-465676</v>
      </c>
    </row>
    <row r="658" spans="16:19" x14ac:dyDescent="0.3">
      <c r="P658">
        <v>657</v>
      </c>
      <c r="Q658">
        <v>-339609</v>
      </c>
      <c r="S658">
        <v>25942</v>
      </c>
    </row>
    <row r="659" spans="16:19" x14ac:dyDescent="0.3">
      <c r="P659">
        <v>658</v>
      </c>
      <c r="Q659">
        <v>434063</v>
      </c>
      <c r="S659">
        <v>-470801</v>
      </c>
    </row>
    <row r="660" spans="16:19" x14ac:dyDescent="0.3">
      <c r="P660">
        <v>659</v>
      </c>
      <c r="Q660">
        <v>430415</v>
      </c>
      <c r="S660">
        <v>47579</v>
      </c>
    </row>
    <row r="661" spans="16:19" x14ac:dyDescent="0.3">
      <c r="P661">
        <v>660</v>
      </c>
      <c r="Q661">
        <v>363821</v>
      </c>
      <c r="S661">
        <v>-230935</v>
      </c>
    </row>
    <row r="662" spans="16:19" x14ac:dyDescent="0.3">
      <c r="P662">
        <v>661</v>
      </c>
      <c r="Q662">
        <v>276067</v>
      </c>
      <c r="S662">
        <v>-23970</v>
      </c>
    </row>
    <row r="663" spans="16:19" x14ac:dyDescent="0.3">
      <c r="P663">
        <v>662</v>
      </c>
      <c r="Q663">
        <v>-345681</v>
      </c>
      <c r="S663">
        <v>-271033</v>
      </c>
    </row>
    <row r="664" spans="16:19" x14ac:dyDescent="0.3">
      <c r="P664">
        <v>663</v>
      </c>
      <c r="Q664">
        <v>263292</v>
      </c>
      <c r="S664">
        <v>-200679</v>
      </c>
    </row>
    <row r="665" spans="16:19" x14ac:dyDescent="0.3">
      <c r="P665">
        <v>664</v>
      </c>
      <c r="Q665">
        <v>-410779</v>
      </c>
      <c r="S665">
        <v>-408914</v>
      </c>
    </row>
    <row r="666" spans="16:19" x14ac:dyDescent="0.3">
      <c r="P666">
        <v>665</v>
      </c>
      <c r="Q666">
        <v>-370683</v>
      </c>
      <c r="S666">
        <v>864016</v>
      </c>
    </row>
    <row r="667" spans="16:19" x14ac:dyDescent="0.3">
      <c r="P667">
        <v>666</v>
      </c>
      <c r="Q667">
        <v>49952</v>
      </c>
      <c r="S667">
        <v>480398</v>
      </c>
    </row>
    <row r="668" spans="16:19" x14ac:dyDescent="0.3">
      <c r="P668">
        <v>667</v>
      </c>
      <c r="Q668">
        <v>-734808</v>
      </c>
      <c r="S668">
        <v>266370</v>
      </c>
    </row>
    <row r="669" spans="16:19" x14ac:dyDescent="0.3">
      <c r="P669">
        <v>668</v>
      </c>
      <c r="Q669">
        <v>64831</v>
      </c>
      <c r="S669">
        <v>517435</v>
      </c>
    </row>
    <row r="670" spans="16:19" x14ac:dyDescent="0.3">
      <c r="P670">
        <v>669</v>
      </c>
      <c r="Q670">
        <v>-92375</v>
      </c>
      <c r="S670">
        <v>779242</v>
      </c>
    </row>
    <row r="671" spans="16:19" x14ac:dyDescent="0.3">
      <c r="P671">
        <v>670</v>
      </c>
      <c r="Q671">
        <v>-451441</v>
      </c>
      <c r="S671">
        <v>667582</v>
      </c>
    </row>
    <row r="672" spans="16:19" x14ac:dyDescent="0.3">
      <c r="P672">
        <v>671</v>
      </c>
      <c r="Q672">
        <v>-359914</v>
      </c>
      <c r="S672">
        <v>11721</v>
      </c>
    </row>
    <row r="673" spans="16:19" x14ac:dyDescent="0.3">
      <c r="P673">
        <v>672</v>
      </c>
      <c r="Q673">
        <v>12607</v>
      </c>
      <c r="S673">
        <v>-97538</v>
      </c>
    </row>
    <row r="674" spans="16:19" x14ac:dyDescent="0.3">
      <c r="P674">
        <v>673</v>
      </c>
      <c r="Q674">
        <v>429746</v>
      </c>
      <c r="S674">
        <v>167944</v>
      </c>
    </row>
    <row r="675" spans="16:19" x14ac:dyDescent="0.3">
      <c r="P675">
        <v>674</v>
      </c>
      <c r="Q675">
        <v>-555579</v>
      </c>
      <c r="S675">
        <v>123191</v>
      </c>
    </row>
    <row r="676" spans="16:19" x14ac:dyDescent="0.3">
      <c r="P676">
        <v>675</v>
      </c>
      <c r="Q676">
        <v>570972</v>
      </c>
      <c r="S676">
        <v>-575410</v>
      </c>
    </row>
    <row r="677" spans="16:19" x14ac:dyDescent="0.3">
      <c r="P677">
        <v>676</v>
      </c>
      <c r="Q677">
        <v>-582806</v>
      </c>
      <c r="S677">
        <v>148637</v>
      </c>
    </row>
    <row r="678" spans="16:19" x14ac:dyDescent="0.3">
      <c r="P678">
        <v>677</v>
      </c>
      <c r="Q678">
        <v>296248</v>
      </c>
      <c r="S678">
        <v>-457864</v>
      </c>
    </row>
    <row r="679" spans="16:19" x14ac:dyDescent="0.3">
      <c r="P679">
        <v>678</v>
      </c>
      <c r="Q679">
        <v>187579</v>
      </c>
      <c r="S679">
        <v>489880</v>
      </c>
    </row>
    <row r="680" spans="16:19" x14ac:dyDescent="0.3">
      <c r="P680">
        <v>679</v>
      </c>
      <c r="Q680">
        <v>-256790</v>
      </c>
      <c r="S680">
        <v>376699</v>
      </c>
    </row>
    <row r="681" spans="16:19" x14ac:dyDescent="0.3">
      <c r="P681">
        <v>680</v>
      </c>
      <c r="Q681">
        <v>323860</v>
      </c>
      <c r="S681">
        <v>-313529</v>
      </c>
    </row>
    <row r="682" spans="16:19" x14ac:dyDescent="0.3">
      <c r="P682">
        <v>681</v>
      </c>
      <c r="Q682">
        <v>-233912</v>
      </c>
      <c r="S682">
        <v>657799</v>
      </c>
    </row>
    <row r="683" spans="16:19" x14ac:dyDescent="0.3">
      <c r="P683">
        <v>682</v>
      </c>
      <c r="Q683">
        <v>730735</v>
      </c>
      <c r="S683">
        <v>-63816</v>
      </c>
    </row>
    <row r="684" spans="16:19" x14ac:dyDescent="0.3">
      <c r="P684">
        <v>683</v>
      </c>
      <c r="Q684">
        <v>861380</v>
      </c>
      <c r="S684">
        <v>399297</v>
      </c>
    </row>
    <row r="685" spans="16:19" x14ac:dyDescent="0.3">
      <c r="P685">
        <v>684</v>
      </c>
      <c r="Q685">
        <v>-352564</v>
      </c>
      <c r="S685">
        <v>1017300</v>
      </c>
    </row>
    <row r="686" spans="16:19" x14ac:dyDescent="0.3">
      <c r="P686">
        <v>685</v>
      </c>
      <c r="Q686">
        <v>156261</v>
      </c>
      <c r="S686">
        <v>-393809</v>
      </c>
    </row>
    <row r="687" spans="16:19" x14ac:dyDescent="0.3">
      <c r="P687">
        <v>686</v>
      </c>
      <c r="Q687">
        <v>-91294</v>
      </c>
      <c r="S687">
        <v>-731328</v>
      </c>
    </row>
    <row r="688" spans="16:19" x14ac:dyDescent="0.3">
      <c r="P688">
        <v>687</v>
      </c>
      <c r="Q688">
        <v>675307</v>
      </c>
      <c r="S688">
        <v>619940</v>
      </c>
    </row>
    <row r="689" spans="16:19" x14ac:dyDescent="0.3">
      <c r="P689">
        <v>688</v>
      </c>
      <c r="Q689">
        <v>450817</v>
      </c>
      <c r="S689">
        <v>-265031</v>
      </c>
    </row>
    <row r="690" spans="16:19" x14ac:dyDescent="0.3">
      <c r="P690">
        <v>689</v>
      </c>
      <c r="Q690">
        <v>99761</v>
      </c>
      <c r="S690">
        <v>-31638</v>
      </c>
    </row>
    <row r="691" spans="16:19" x14ac:dyDescent="0.3">
      <c r="P691">
        <v>690</v>
      </c>
      <c r="Q691">
        <v>237695</v>
      </c>
      <c r="S691">
        <v>567717</v>
      </c>
    </row>
    <row r="692" spans="16:19" x14ac:dyDescent="0.3">
      <c r="P692">
        <v>691</v>
      </c>
      <c r="Q692">
        <v>-3336</v>
      </c>
      <c r="S692">
        <v>-37735</v>
      </c>
    </row>
    <row r="693" spans="16:19" x14ac:dyDescent="0.3">
      <c r="P693">
        <v>692</v>
      </c>
      <c r="Q693">
        <v>187799</v>
      </c>
      <c r="S693">
        <v>344091</v>
      </c>
    </row>
    <row r="694" spans="16:19" x14ac:dyDescent="0.3">
      <c r="P694">
        <v>693</v>
      </c>
      <c r="Q694">
        <v>-374610</v>
      </c>
      <c r="S694">
        <v>115569</v>
      </c>
    </row>
    <row r="695" spans="16:19" x14ac:dyDescent="0.3">
      <c r="P695">
        <v>694</v>
      </c>
      <c r="Q695">
        <v>-64983</v>
      </c>
      <c r="S695">
        <v>-285447</v>
      </c>
    </row>
    <row r="696" spans="16:19" x14ac:dyDescent="0.3">
      <c r="P696">
        <v>695</v>
      </c>
      <c r="Q696">
        <v>-9504</v>
      </c>
      <c r="S696">
        <v>315958</v>
      </c>
    </row>
    <row r="697" spans="16:19" x14ac:dyDescent="0.3">
      <c r="P697">
        <v>696</v>
      </c>
      <c r="Q697">
        <v>-249933</v>
      </c>
      <c r="S697">
        <v>264067</v>
      </c>
    </row>
    <row r="698" spans="16:19" x14ac:dyDescent="0.3">
      <c r="P698">
        <v>697</v>
      </c>
      <c r="Q698">
        <v>-156948</v>
      </c>
      <c r="S698">
        <v>-299550</v>
      </c>
    </row>
    <row r="699" spans="16:19" x14ac:dyDescent="0.3">
      <c r="P699">
        <v>698</v>
      </c>
      <c r="Q699">
        <v>681712</v>
      </c>
      <c r="S699">
        <v>104451</v>
      </c>
    </row>
    <row r="700" spans="16:19" x14ac:dyDescent="0.3">
      <c r="P700">
        <v>699</v>
      </c>
      <c r="Q700">
        <v>-263528</v>
      </c>
      <c r="S700">
        <v>500261</v>
      </c>
    </row>
    <row r="701" spans="16:19" x14ac:dyDescent="0.3">
      <c r="P701">
        <v>700</v>
      </c>
      <c r="Q701">
        <v>259324</v>
      </c>
      <c r="S701">
        <v>156052</v>
      </c>
    </row>
    <row r="702" spans="16:19" x14ac:dyDescent="0.3">
      <c r="P702">
        <v>701</v>
      </c>
      <c r="Q702">
        <v>-522879</v>
      </c>
      <c r="S702">
        <v>455247</v>
      </c>
    </row>
    <row r="703" spans="16:19" x14ac:dyDescent="0.3">
      <c r="P703">
        <v>702</v>
      </c>
      <c r="Q703">
        <v>-499471</v>
      </c>
      <c r="S703">
        <v>771680</v>
      </c>
    </row>
    <row r="704" spans="16:19" x14ac:dyDescent="0.3">
      <c r="P704">
        <v>703</v>
      </c>
      <c r="Q704">
        <v>-508931</v>
      </c>
      <c r="S704">
        <v>-468040</v>
      </c>
    </row>
    <row r="705" spans="16:19" x14ac:dyDescent="0.3">
      <c r="P705">
        <v>704</v>
      </c>
      <c r="Q705">
        <v>324545</v>
      </c>
      <c r="S705">
        <v>-144905</v>
      </c>
    </row>
    <row r="706" spans="16:19" x14ac:dyDescent="0.3">
      <c r="P706">
        <v>705</v>
      </c>
      <c r="Q706">
        <v>-418886</v>
      </c>
      <c r="S706">
        <v>296110</v>
      </c>
    </row>
    <row r="707" spans="16:19" x14ac:dyDescent="0.3">
      <c r="P707">
        <v>706</v>
      </c>
      <c r="Q707">
        <v>591926</v>
      </c>
      <c r="S707">
        <v>-10393</v>
      </c>
    </row>
    <row r="708" spans="16:19" x14ac:dyDescent="0.3">
      <c r="P708">
        <v>707</v>
      </c>
      <c r="Q708">
        <v>-192296</v>
      </c>
      <c r="S708">
        <v>-211001</v>
      </c>
    </row>
    <row r="709" spans="16:19" x14ac:dyDescent="0.3">
      <c r="P709">
        <v>708</v>
      </c>
      <c r="Q709">
        <v>695494</v>
      </c>
      <c r="S709">
        <v>862655</v>
      </c>
    </row>
    <row r="710" spans="16:19" x14ac:dyDescent="0.3">
      <c r="P710">
        <v>709</v>
      </c>
      <c r="Q710">
        <v>316825</v>
      </c>
      <c r="S710">
        <v>-420105</v>
      </c>
    </row>
    <row r="711" spans="16:19" x14ac:dyDescent="0.3">
      <c r="P711">
        <v>710</v>
      </c>
      <c r="Q711">
        <v>736109</v>
      </c>
      <c r="S711">
        <v>-310561</v>
      </c>
    </row>
    <row r="712" spans="16:19" x14ac:dyDescent="0.3">
      <c r="P712">
        <v>711</v>
      </c>
      <c r="Q712">
        <v>211113</v>
      </c>
      <c r="S712">
        <v>-757967</v>
      </c>
    </row>
    <row r="713" spans="16:19" x14ac:dyDescent="0.3">
      <c r="P713">
        <v>712</v>
      </c>
      <c r="Q713">
        <v>-100182</v>
      </c>
      <c r="S713">
        <v>461599</v>
      </c>
    </row>
    <row r="714" spans="16:19" x14ac:dyDescent="0.3">
      <c r="P714">
        <v>713</v>
      </c>
      <c r="Q714">
        <v>-481129</v>
      </c>
      <c r="S714">
        <v>152645</v>
      </c>
    </row>
    <row r="715" spans="16:19" x14ac:dyDescent="0.3">
      <c r="P715">
        <v>714</v>
      </c>
      <c r="Q715">
        <v>-7934</v>
      </c>
      <c r="S715">
        <v>-191820</v>
      </c>
    </row>
    <row r="716" spans="16:19" x14ac:dyDescent="0.3">
      <c r="P716">
        <v>715</v>
      </c>
      <c r="Q716">
        <v>-11346</v>
      </c>
      <c r="S716">
        <v>406960</v>
      </c>
    </row>
    <row r="717" spans="16:19" x14ac:dyDescent="0.3">
      <c r="P717">
        <v>716</v>
      </c>
      <c r="Q717">
        <v>-168641</v>
      </c>
      <c r="S717">
        <v>-149878</v>
      </c>
    </row>
    <row r="718" spans="16:19" x14ac:dyDescent="0.3">
      <c r="P718">
        <v>717</v>
      </c>
      <c r="Q718">
        <v>513594</v>
      </c>
      <c r="S718">
        <v>-45652</v>
      </c>
    </row>
    <row r="719" spans="16:19" x14ac:dyDescent="0.3">
      <c r="P719">
        <v>718</v>
      </c>
      <c r="Q719">
        <v>-152409</v>
      </c>
      <c r="S719">
        <v>391498</v>
      </c>
    </row>
    <row r="720" spans="16:19" x14ac:dyDescent="0.3">
      <c r="P720">
        <v>719</v>
      </c>
      <c r="Q720">
        <v>-210722</v>
      </c>
      <c r="S720">
        <v>40771</v>
      </c>
    </row>
    <row r="721" spans="16:19" x14ac:dyDescent="0.3">
      <c r="P721">
        <v>720</v>
      </c>
      <c r="Q721">
        <v>-565925</v>
      </c>
      <c r="S721">
        <v>-710118</v>
      </c>
    </row>
    <row r="722" spans="16:19" x14ac:dyDescent="0.3">
      <c r="P722">
        <v>721</v>
      </c>
      <c r="Q722">
        <v>524870</v>
      </c>
      <c r="S722">
        <v>96214</v>
      </c>
    </row>
    <row r="723" spans="16:19" x14ac:dyDescent="0.3">
      <c r="P723">
        <v>722</v>
      </c>
      <c r="Q723">
        <v>-718530</v>
      </c>
      <c r="S723">
        <v>137331</v>
      </c>
    </row>
    <row r="724" spans="16:19" x14ac:dyDescent="0.3">
      <c r="P724">
        <v>723</v>
      </c>
      <c r="Q724">
        <v>121713</v>
      </c>
      <c r="S724">
        <v>-343014</v>
      </c>
    </row>
    <row r="725" spans="16:19" x14ac:dyDescent="0.3">
      <c r="P725">
        <v>724</v>
      </c>
      <c r="Q725">
        <v>-165623</v>
      </c>
      <c r="S725">
        <v>-234773</v>
      </c>
    </row>
    <row r="726" spans="16:19" x14ac:dyDescent="0.3">
      <c r="P726">
        <v>725</v>
      </c>
      <c r="Q726">
        <v>-219383</v>
      </c>
      <c r="S726">
        <v>348923</v>
      </c>
    </row>
    <row r="727" spans="16:19" x14ac:dyDescent="0.3">
      <c r="P727">
        <v>726</v>
      </c>
      <c r="Q727">
        <v>-382369</v>
      </c>
      <c r="S727">
        <v>252508</v>
      </c>
    </row>
    <row r="728" spans="16:19" x14ac:dyDescent="0.3">
      <c r="P728">
        <v>727</v>
      </c>
      <c r="Q728">
        <v>-287301</v>
      </c>
      <c r="S728">
        <v>23369</v>
      </c>
    </row>
    <row r="729" spans="16:19" x14ac:dyDescent="0.3">
      <c r="P729">
        <v>728</v>
      </c>
      <c r="Q729">
        <v>-419947</v>
      </c>
      <c r="S729">
        <v>-363540</v>
      </c>
    </row>
    <row r="730" spans="16:19" x14ac:dyDescent="0.3">
      <c r="P730">
        <v>729</v>
      </c>
      <c r="Q730">
        <v>217507</v>
      </c>
      <c r="S730">
        <v>-385789</v>
      </c>
    </row>
    <row r="731" spans="16:19" x14ac:dyDescent="0.3">
      <c r="P731">
        <v>730</v>
      </c>
      <c r="Q731">
        <v>-231363</v>
      </c>
      <c r="S731">
        <v>289172</v>
      </c>
    </row>
    <row r="732" spans="16:19" x14ac:dyDescent="0.3">
      <c r="P732">
        <v>731</v>
      </c>
      <c r="Q732">
        <v>198288</v>
      </c>
      <c r="S732">
        <v>201770</v>
      </c>
    </row>
    <row r="733" spans="16:19" x14ac:dyDescent="0.3">
      <c r="P733">
        <v>732</v>
      </c>
      <c r="Q733">
        <v>-193991</v>
      </c>
      <c r="S733">
        <v>232534</v>
      </c>
    </row>
    <row r="734" spans="16:19" x14ac:dyDescent="0.3">
      <c r="P734">
        <v>733</v>
      </c>
      <c r="Q734">
        <v>-98117</v>
      </c>
      <c r="S734">
        <v>-95333</v>
      </c>
    </row>
    <row r="735" spans="16:19" x14ac:dyDescent="0.3">
      <c r="P735">
        <v>734</v>
      </c>
      <c r="Q735">
        <v>70112</v>
      </c>
      <c r="S735">
        <v>-214843</v>
      </c>
    </row>
    <row r="736" spans="16:19" x14ac:dyDescent="0.3">
      <c r="P736">
        <v>735</v>
      </c>
      <c r="Q736">
        <v>-498660</v>
      </c>
      <c r="S736">
        <v>-249471</v>
      </c>
    </row>
    <row r="737" spans="16:19" x14ac:dyDescent="0.3">
      <c r="P737">
        <v>736</v>
      </c>
      <c r="Q737">
        <v>-226351</v>
      </c>
      <c r="S737">
        <v>184432</v>
      </c>
    </row>
    <row r="738" spans="16:19" x14ac:dyDescent="0.3">
      <c r="P738">
        <v>737</v>
      </c>
      <c r="Q738">
        <v>676519</v>
      </c>
      <c r="S738">
        <v>-411240</v>
      </c>
    </row>
    <row r="739" spans="16:19" x14ac:dyDescent="0.3">
      <c r="P739">
        <v>738</v>
      </c>
      <c r="Q739">
        <v>-496825</v>
      </c>
      <c r="S739">
        <v>-329182</v>
      </c>
    </row>
    <row r="740" spans="16:19" x14ac:dyDescent="0.3">
      <c r="P740">
        <v>739</v>
      </c>
      <c r="Q740">
        <v>902516</v>
      </c>
      <c r="S740">
        <v>-876083</v>
      </c>
    </row>
    <row r="741" spans="16:19" x14ac:dyDescent="0.3">
      <c r="P741">
        <v>740</v>
      </c>
      <c r="Q741">
        <v>110320</v>
      </c>
      <c r="S741">
        <v>-312576</v>
      </c>
    </row>
    <row r="742" spans="16:19" x14ac:dyDescent="0.3">
      <c r="P742">
        <v>741</v>
      </c>
      <c r="Q742">
        <v>-684632</v>
      </c>
      <c r="S742">
        <v>-545286</v>
      </c>
    </row>
    <row r="743" spans="16:19" x14ac:dyDescent="0.3">
      <c r="P743">
        <v>742</v>
      </c>
      <c r="Q743">
        <v>-143009</v>
      </c>
      <c r="S743">
        <v>-379361</v>
      </c>
    </row>
    <row r="744" spans="16:19" x14ac:dyDescent="0.3">
      <c r="P744">
        <v>743</v>
      </c>
      <c r="Q744">
        <v>167358</v>
      </c>
      <c r="S744">
        <v>25927</v>
      </c>
    </row>
    <row r="745" spans="16:19" x14ac:dyDescent="0.3">
      <c r="P745">
        <v>744</v>
      </c>
      <c r="Q745">
        <v>284033</v>
      </c>
      <c r="S745">
        <v>-134422</v>
      </c>
    </row>
    <row r="746" spans="16:19" x14ac:dyDescent="0.3">
      <c r="P746">
        <v>745</v>
      </c>
      <c r="Q746">
        <v>-540313</v>
      </c>
      <c r="S746">
        <v>397158</v>
      </c>
    </row>
    <row r="747" spans="16:19" x14ac:dyDescent="0.3">
      <c r="P747">
        <v>746</v>
      </c>
      <c r="Q747">
        <v>467554</v>
      </c>
      <c r="S747">
        <v>84662</v>
      </c>
    </row>
    <row r="748" spans="16:19" x14ac:dyDescent="0.3">
      <c r="P748">
        <v>747</v>
      </c>
      <c r="Q748">
        <v>-534860</v>
      </c>
      <c r="S748">
        <v>-488046</v>
      </c>
    </row>
    <row r="749" spans="16:19" x14ac:dyDescent="0.3">
      <c r="P749">
        <v>748</v>
      </c>
      <c r="Q749">
        <v>-797359</v>
      </c>
      <c r="S749">
        <v>497030</v>
      </c>
    </row>
    <row r="750" spans="16:19" x14ac:dyDescent="0.3">
      <c r="P750">
        <v>749</v>
      </c>
      <c r="Q750">
        <v>203405</v>
      </c>
      <c r="S750">
        <v>104012</v>
      </c>
    </row>
    <row r="751" spans="16:19" x14ac:dyDescent="0.3">
      <c r="P751">
        <v>750</v>
      </c>
      <c r="Q751">
        <v>-442117</v>
      </c>
      <c r="S751">
        <v>-451401</v>
      </c>
    </row>
    <row r="752" spans="16:19" x14ac:dyDescent="0.3">
      <c r="P752">
        <v>751</v>
      </c>
      <c r="Q752">
        <v>585214</v>
      </c>
      <c r="S752">
        <v>-654100</v>
      </c>
    </row>
    <row r="753" spans="16:19" x14ac:dyDescent="0.3">
      <c r="P753">
        <v>752</v>
      </c>
      <c r="Q753">
        <v>75477</v>
      </c>
      <c r="S753">
        <v>-809578</v>
      </c>
    </row>
    <row r="754" spans="16:19" x14ac:dyDescent="0.3">
      <c r="P754">
        <v>753</v>
      </c>
      <c r="Q754">
        <v>-365909</v>
      </c>
      <c r="S754">
        <v>-351477</v>
      </c>
    </row>
    <row r="755" spans="16:19" x14ac:dyDescent="0.3">
      <c r="P755">
        <v>754</v>
      </c>
      <c r="Q755">
        <v>-59814</v>
      </c>
      <c r="S755">
        <v>959016</v>
      </c>
    </row>
    <row r="756" spans="16:19" x14ac:dyDescent="0.3">
      <c r="P756">
        <v>755</v>
      </c>
      <c r="Q756">
        <v>-525288</v>
      </c>
      <c r="S756">
        <v>181645</v>
      </c>
    </row>
    <row r="757" spans="16:19" x14ac:dyDescent="0.3">
      <c r="P757">
        <v>756</v>
      </c>
      <c r="Q757">
        <v>380363</v>
      </c>
      <c r="S757">
        <v>94535</v>
      </c>
    </row>
    <row r="758" spans="16:19" x14ac:dyDescent="0.3">
      <c r="P758">
        <v>757</v>
      </c>
      <c r="Q758">
        <v>210497</v>
      </c>
      <c r="S758">
        <v>-195760</v>
      </c>
    </row>
    <row r="759" spans="16:19" x14ac:dyDescent="0.3">
      <c r="P759">
        <v>758</v>
      </c>
      <c r="Q759">
        <v>-305005</v>
      </c>
      <c r="S759">
        <v>-114837</v>
      </c>
    </row>
    <row r="760" spans="16:19" x14ac:dyDescent="0.3">
      <c r="P760">
        <v>759</v>
      </c>
      <c r="Q760">
        <v>3338</v>
      </c>
      <c r="S760">
        <v>177030</v>
      </c>
    </row>
    <row r="761" spans="16:19" x14ac:dyDescent="0.3">
      <c r="P761">
        <v>760</v>
      </c>
      <c r="Q761">
        <v>-252013</v>
      </c>
      <c r="S761">
        <v>357776</v>
      </c>
    </row>
    <row r="762" spans="16:19" x14ac:dyDescent="0.3">
      <c r="P762">
        <v>761</v>
      </c>
      <c r="Q762">
        <v>-39799</v>
      </c>
      <c r="S762">
        <v>-274595</v>
      </c>
    </row>
    <row r="763" spans="16:19" x14ac:dyDescent="0.3">
      <c r="P763">
        <v>762</v>
      </c>
      <c r="Q763">
        <v>-228932</v>
      </c>
      <c r="S763">
        <v>-497408</v>
      </c>
    </row>
    <row r="764" spans="16:19" x14ac:dyDescent="0.3">
      <c r="P764">
        <v>763</v>
      </c>
      <c r="Q764">
        <v>648094</v>
      </c>
      <c r="S764">
        <v>-220250</v>
      </c>
    </row>
    <row r="765" spans="16:19" x14ac:dyDescent="0.3">
      <c r="P765">
        <v>764</v>
      </c>
      <c r="Q765">
        <v>-440822</v>
      </c>
      <c r="S765">
        <v>245641</v>
      </c>
    </row>
    <row r="766" spans="16:19" x14ac:dyDescent="0.3">
      <c r="P766">
        <v>765</v>
      </c>
      <c r="Q766">
        <v>342368</v>
      </c>
      <c r="S766">
        <v>-327383</v>
      </c>
    </row>
    <row r="767" spans="16:19" x14ac:dyDescent="0.3">
      <c r="P767">
        <v>766</v>
      </c>
      <c r="Q767">
        <v>-115873</v>
      </c>
      <c r="S767">
        <v>-69504</v>
      </c>
    </row>
    <row r="768" spans="16:19" x14ac:dyDescent="0.3">
      <c r="P768">
        <v>767</v>
      </c>
      <c r="Q768">
        <v>-349335</v>
      </c>
      <c r="S768">
        <v>-218940</v>
      </c>
    </row>
    <row r="769" spans="16:19" x14ac:dyDescent="0.3">
      <c r="P769">
        <v>768</v>
      </c>
      <c r="Q769">
        <v>347433</v>
      </c>
      <c r="S769">
        <v>490426</v>
      </c>
    </row>
    <row r="770" spans="16:19" x14ac:dyDescent="0.3">
      <c r="P770">
        <v>769</v>
      </c>
      <c r="Q770">
        <v>215324</v>
      </c>
      <c r="S770">
        <v>-467229</v>
      </c>
    </row>
    <row r="771" spans="16:19" x14ac:dyDescent="0.3">
      <c r="P771">
        <v>770</v>
      </c>
      <c r="Q771">
        <v>451578</v>
      </c>
      <c r="S771">
        <v>-357690</v>
      </c>
    </row>
    <row r="772" spans="16:19" x14ac:dyDescent="0.3">
      <c r="P772">
        <v>771</v>
      </c>
      <c r="Q772">
        <v>361834</v>
      </c>
      <c r="S772">
        <v>241813</v>
      </c>
    </row>
    <row r="773" spans="16:19" x14ac:dyDescent="0.3">
      <c r="P773">
        <v>772</v>
      </c>
      <c r="Q773">
        <v>171992</v>
      </c>
      <c r="S773">
        <v>-468384</v>
      </c>
    </row>
    <row r="774" spans="16:19" x14ac:dyDescent="0.3">
      <c r="P774">
        <v>773</v>
      </c>
      <c r="Q774">
        <v>71236</v>
      </c>
      <c r="S774">
        <v>31788</v>
      </c>
    </row>
    <row r="775" spans="16:19" x14ac:dyDescent="0.3">
      <c r="P775">
        <v>774</v>
      </c>
      <c r="Q775">
        <v>-389579</v>
      </c>
      <c r="S775">
        <v>-184966</v>
      </c>
    </row>
    <row r="776" spans="16:19" x14ac:dyDescent="0.3">
      <c r="P776">
        <v>775</v>
      </c>
      <c r="Q776">
        <v>-322574</v>
      </c>
      <c r="S776">
        <v>-203933</v>
      </c>
    </row>
    <row r="777" spans="16:19" x14ac:dyDescent="0.3">
      <c r="P777">
        <v>776</v>
      </c>
      <c r="Q777">
        <v>-134153</v>
      </c>
      <c r="S777">
        <v>-70162</v>
      </c>
    </row>
    <row r="778" spans="16:19" x14ac:dyDescent="0.3">
      <c r="P778">
        <v>777</v>
      </c>
      <c r="Q778">
        <v>125127</v>
      </c>
      <c r="S778">
        <v>423362</v>
      </c>
    </row>
    <row r="779" spans="16:19" x14ac:dyDescent="0.3">
      <c r="P779">
        <v>778</v>
      </c>
      <c r="Q779">
        <v>940601</v>
      </c>
      <c r="S779">
        <v>214758</v>
      </c>
    </row>
    <row r="780" spans="16:19" x14ac:dyDescent="0.3">
      <c r="P780">
        <v>779</v>
      </c>
      <c r="Q780">
        <v>192207</v>
      </c>
      <c r="S780">
        <v>-247763</v>
      </c>
    </row>
    <row r="781" spans="16:19" x14ac:dyDescent="0.3">
      <c r="P781">
        <v>780</v>
      </c>
      <c r="Q781">
        <v>315264</v>
      </c>
      <c r="S781">
        <v>-667353</v>
      </c>
    </row>
    <row r="782" spans="16:19" x14ac:dyDescent="0.3">
      <c r="P782">
        <v>781</v>
      </c>
      <c r="Q782">
        <v>-208399</v>
      </c>
      <c r="S782">
        <v>56609</v>
      </c>
    </row>
    <row r="783" spans="16:19" x14ac:dyDescent="0.3">
      <c r="P783">
        <v>782</v>
      </c>
      <c r="Q783">
        <v>-110387</v>
      </c>
      <c r="S783">
        <v>-218874</v>
      </c>
    </row>
    <row r="784" spans="16:19" x14ac:dyDescent="0.3">
      <c r="P784">
        <v>783</v>
      </c>
      <c r="Q784">
        <v>546148</v>
      </c>
      <c r="S784">
        <v>-174532</v>
      </c>
    </row>
    <row r="785" spans="16:19" x14ac:dyDescent="0.3">
      <c r="P785">
        <v>784</v>
      </c>
      <c r="Q785">
        <v>302682</v>
      </c>
      <c r="S785">
        <v>182543</v>
      </c>
    </row>
    <row r="786" spans="16:19" x14ac:dyDescent="0.3">
      <c r="P786">
        <v>785</v>
      </c>
      <c r="Q786">
        <v>-236588</v>
      </c>
      <c r="S786">
        <v>-407132</v>
      </c>
    </row>
    <row r="787" spans="16:19" x14ac:dyDescent="0.3">
      <c r="P787">
        <v>786</v>
      </c>
      <c r="Q787">
        <v>-627298</v>
      </c>
      <c r="S787">
        <v>760374</v>
      </c>
    </row>
    <row r="788" spans="16:19" x14ac:dyDescent="0.3">
      <c r="P788">
        <v>787</v>
      </c>
      <c r="Q788">
        <v>-187557</v>
      </c>
      <c r="S788">
        <v>695610</v>
      </c>
    </row>
    <row r="789" spans="16:19" x14ac:dyDescent="0.3">
      <c r="P789">
        <v>788</v>
      </c>
      <c r="Q789">
        <v>-459708</v>
      </c>
      <c r="S789">
        <v>250033</v>
      </c>
    </row>
    <row r="790" spans="16:19" x14ac:dyDescent="0.3">
      <c r="P790">
        <v>789</v>
      </c>
      <c r="Q790">
        <v>-6505</v>
      </c>
      <c r="S790">
        <v>427416</v>
      </c>
    </row>
    <row r="791" spans="16:19" x14ac:dyDescent="0.3">
      <c r="P791">
        <v>790</v>
      </c>
      <c r="Q791">
        <v>698339</v>
      </c>
      <c r="S791">
        <v>-22708</v>
      </c>
    </row>
    <row r="792" spans="16:19" x14ac:dyDescent="0.3">
      <c r="P792">
        <v>791</v>
      </c>
      <c r="Q792">
        <v>455359</v>
      </c>
      <c r="S792">
        <v>-406198</v>
      </c>
    </row>
    <row r="793" spans="16:19" x14ac:dyDescent="0.3">
      <c r="P793">
        <v>792</v>
      </c>
      <c r="Q793">
        <v>58306</v>
      </c>
      <c r="S793">
        <v>-327894</v>
      </c>
    </row>
    <row r="794" spans="16:19" x14ac:dyDescent="0.3">
      <c r="P794">
        <v>793</v>
      </c>
      <c r="Q794">
        <v>-264942</v>
      </c>
      <c r="S794">
        <v>-603947</v>
      </c>
    </row>
    <row r="795" spans="16:19" x14ac:dyDescent="0.3">
      <c r="P795">
        <v>794</v>
      </c>
      <c r="Q795">
        <v>128919</v>
      </c>
      <c r="S795">
        <v>439925</v>
      </c>
    </row>
    <row r="796" spans="16:19" x14ac:dyDescent="0.3">
      <c r="P796">
        <v>795</v>
      </c>
      <c r="Q796">
        <v>-595191</v>
      </c>
      <c r="S796">
        <v>303882</v>
      </c>
    </row>
    <row r="797" spans="16:19" x14ac:dyDescent="0.3">
      <c r="P797">
        <v>796</v>
      </c>
      <c r="Q797">
        <v>721215</v>
      </c>
      <c r="S797">
        <v>-538348</v>
      </c>
    </row>
    <row r="798" spans="16:19" x14ac:dyDescent="0.3">
      <c r="P798">
        <v>797</v>
      </c>
      <c r="Q798">
        <v>-234965</v>
      </c>
      <c r="S798">
        <v>232171</v>
      </c>
    </row>
    <row r="799" spans="16:19" x14ac:dyDescent="0.3">
      <c r="P799">
        <v>798</v>
      </c>
      <c r="Q799">
        <v>-326947</v>
      </c>
      <c r="S799">
        <v>-681718</v>
      </c>
    </row>
    <row r="800" spans="16:19" x14ac:dyDescent="0.3">
      <c r="P800">
        <v>799</v>
      </c>
      <c r="Q800">
        <v>-217214</v>
      </c>
      <c r="S800">
        <v>-347756</v>
      </c>
    </row>
    <row r="801" spans="16:19" x14ac:dyDescent="0.3">
      <c r="P801">
        <v>800</v>
      </c>
      <c r="Q801">
        <v>-232477</v>
      </c>
      <c r="S801">
        <v>333704</v>
      </c>
    </row>
    <row r="802" spans="16:19" x14ac:dyDescent="0.3">
      <c r="P802">
        <v>801</v>
      </c>
      <c r="Q802">
        <v>-452548</v>
      </c>
      <c r="S802">
        <v>409569</v>
      </c>
    </row>
    <row r="803" spans="16:19" x14ac:dyDescent="0.3">
      <c r="P803">
        <v>802</v>
      </c>
      <c r="Q803">
        <v>-286646</v>
      </c>
      <c r="S803">
        <v>536784</v>
      </c>
    </row>
    <row r="804" spans="16:19" x14ac:dyDescent="0.3">
      <c r="P804">
        <v>803</v>
      </c>
      <c r="Q804">
        <v>-295248</v>
      </c>
      <c r="S804">
        <v>413371</v>
      </c>
    </row>
    <row r="805" spans="16:19" x14ac:dyDescent="0.3">
      <c r="P805">
        <v>804</v>
      </c>
      <c r="Q805">
        <v>362433</v>
      </c>
      <c r="S805">
        <v>-490540</v>
      </c>
    </row>
    <row r="806" spans="16:19" x14ac:dyDescent="0.3">
      <c r="P806">
        <v>805</v>
      </c>
      <c r="Q806">
        <v>496164</v>
      </c>
      <c r="S806">
        <v>-456813</v>
      </c>
    </row>
    <row r="807" spans="16:19" x14ac:dyDescent="0.3">
      <c r="P807">
        <v>806</v>
      </c>
      <c r="Q807">
        <v>300268</v>
      </c>
      <c r="S807">
        <v>181439</v>
      </c>
    </row>
    <row r="808" spans="16:19" x14ac:dyDescent="0.3">
      <c r="P808">
        <v>807</v>
      </c>
      <c r="Q808">
        <v>-344361</v>
      </c>
      <c r="S808">
        <v>1199633</v>
      </c>
    </row>
    <row r="809" spans="16:19" x14ac:dyDescent="0.3">
      <c r="P809">
        <v>808</v>
      </c>
      <c r="Q809">
        <v>446144</v>
      </c>
      <c r="S809">
        <v>-49008</v>
      </c>
    </row>
    <row r="810" spans="16:19" x14ac:dyDescent="0.3">
      <c r="P810">
        <v>809</v>
      </c>
      <c r="Q810">
        <v>646821</v>
      </c>
      <c r="S810">
        <v>-495802</v>
      </c>
    </row>
    <row r="811" spans="16:19" x14ac:dyDescent="0.3">
      <c r="P811">
        <v>810</v>
      </c>
      <c r="Q811">
        <v>-565869</v>
      </c>
      <c r="S811">
        <v>595303</v>
      </c>
    </row>
    <row r="812" spans="16:19" x14ac:dyDescent="0.3">
      <c r="P812">
        <v>811</v>
      </c>
      <c r="Q812">
        <v>-172177</v>
      </c>
      <c r="S812">
        <v>-181149</v>
      </c>
    </row>
    <row r="813" spans="16:19" x14ac:dyDescent="0.3">
      <c r="P813">
        <v>812</v>
      </c>
      <c r="Q813">
        <v>-341909</v>
      </c>
      <c r="S813">
        <v>386619</v>
      </c>
    </row>
    <row r="814" spans="16:19" x14ac:dyDescent="0.3">
      <c r="P814">
        <v>813</v>
      </c>
      <c r="Q814">
        <v>-34550</v>
      </c>
      <c r="S814">
        <v>79125</v>
      </c>
    </row>
    <row r="815" spans="16:19" x14ac:dyDescent="0.3">
      <c r="P815">
        <v>814</v>
      </c>
      <c r="Q815">
        <v>-31675</v>
      </c>
      <c r="S815">
        <v>381734</v>
      </c>
    </row>
    <row r="816" spans="16:19" x14ac:dyDescent="0.3">
      <c r="P816">
        <v>815</v>
      </c>
      <c r="Q816">
        <v>-518088</v>
      </c>
      <c r="S816">
        <v>526091</v>
      </c>
    </row>
    <row r="817" spans="16:19" x14ac:dyDescent="0.3">
      <c r="P817">
        <v>816</v>
      </c>
      <c r="Q817">
        <v>829822</v>
      </c>
      <c r="S817">
        <v>149077</v>
      </c>
    </row>
    <row r="818" spans="16:19" x14ac:dyDescent="0.3">
      <c r="P818">
        <v>817</v>
      </c>
      <c r="Q818">
        <v>524873</v>
      </c>
      <c r="S818">
        <v>465918</v>
      </c>
    </row>
    <row r="819" spans="16:19" x14ac:dyDescent="0.3">
      <c r="P819">
        <v>818</v>
      </c>
      <c r="Q819">
        <v>770653</v>
      </c>
      <c r="S819">
        <v>216168</v>
      </c>
    </row>
    <row r="820" spans="16:19" x14ac:dyDescent="0.3">
      <c r="P820">
        <v>819</v>
      </c>
      <c r="Q820">
        <v>-414358</v>
      </c>
      <c r="S820">
        <v>265817</v>
      </c>
    </row>
    <row r="821" spans="16:19" x14ac:dyDescent="0.3">
      <c r="P821">
        <v>820</v>
      </c>
      <c r="Q821">
        <v>-260207</v>
      </c>
      <c r="S821">
        <v>-78979</v>
      </c>
    </row>
    <row r="822" spans="16:19" x14ac:dyDescent="0.3">
      <c r="P822">
        <v>821</v>
      </c>
      <c r="Q822">
        <v>435216</v>
      </c>
      <c r="S822">
        <v>660108</v>
      </c>
    </row>
    <row r="823" spans="16:19" x14ac:dyDescent="0.3">
      <c r="P823">
        <v>822</v>
      </c>
      <c r="Q823">
        <v>-361210</v>
      </c>
      <c r="S823">
        <v>210325</v>
      </c>
    </row>
    <row r="824" spans="16:19" x14ac:dyDescent="0.3">
      <c r="P824">
        <v>823</v>
      </c>
      <c r="Q824">
        <v>-53837</v>
      </c>
      <c r="S824">
        <v>299528</v>
      </c>
    </row>
    <row r="825" spans="16:19" x14ac:dyDescent="0.3">
      <c r="P825">
        <v>824</v>
      </c>
      <c r="Q825">
        <v>-371977</v>
      </c>
      <c r="S825">
        <v>-30431</v>
      </c>
    </row>
    <row r="826" spans="16:19" x14ac:dyDescent="0.3">
      <c r="P826">
        <v>825</v>
      </c>
      <c r="Q826">
        <v>-349794</v>
      </c>
      <c r="S826">
        <v>-423639</v>
      </c>
    </row>
    <row r="827" spans="16:19" x14ac:dyDescent="0.3">
      <c r="P827">
        <v>826</v>
      </c>
      <c r="Q827">
        <v>-654774</v>
      </c>
      <c r="S827">
        <v>-87533</v>
      </c>
    </row>
    <row r="828" spans="16:19" x14ac:dyDescent="0.3">
      <c r="P828">
        <v>827</v>
      </c>
      <c r="Q828">
        <v>-179178</v>
      </c>
      <c r="S828">
        <v>-628162</v>
      </c>
    </row>
    <row r="829" spans="16:19" x14ac:dyDescent="0.3">
      <c r="P829">
        <v>828</v>
      </c>
      <c r="Q829">
        <v>-51283</v>
      </c>
      <c r="S829">
        <v>758033</v>
      </c>
    </row>
    <row r="830" spans="16:19" x14ac:dyDescent="0.3">
      <c r="P830">
        <v>829</v>
      </c>
      <c r="Q830">
        <v>92588</v>
      </c>
      <c r="S830">
        <v>-97164</v>
      </c>
    </row>
    <row r="831" spans="16:19" x14ac:dyDescent="0.3">
      <c r="P831">
        <v>830</v>
      </c>
      <c r="Q831">
        <v>-436139</v>
      </c>
      <c r="S831">
        <v>-23403</v>
      </c>
    </row>
    <row r="832" spans="16:19" x14ac:dyDescent="0.3">
      <c r="P832">
        <v>831</v>
      </c>
      <c r="Q832">
        <v>-663474</v>
      </c>
      <c r="S832">
        <v>441365</v>
      </c>
    </row>
    <row r="833" spans="16:19" x14ac:dyDescent="0.3">
      <c r="P833">
        <v>832</v>
      </c>
      <c r="Q833">
        <v>-54013</v>
      </c>
      <c r="S833">
        <v>299528</v>
      </c>
    </row>
    <row r="834" spans="16:19" x14ac:dyDescent="0.3">
      <c r="P834">
        <v>833</v>
      </c>
      <c r="Q834">
        <v>-232313</v>
      </c>
      <c r="S834">
        <v>-249800</v>
      </c>
    </row>
    <row r="835" spans="16:19" x14ac:dyDescent="0.3">
      <c r="P835">
        <v>834</v>
      </c>
      <c r="Q835">
        <v>-226636</v>
      </c>
      <c r="S835">
        <v>-228434</v>
      </c>
    </row>
    <row r="836" spans="16:19" x14ac:dyDescent="0.3">
      <c r="P836">
        <v>835</v>
      </c>
      <c r="Q836">
        <v>-320102</v>
      </c>
      <c r="S836">
        <v>-322471</v>
      </c>
    </row>
    <row r="837" spans="16:19" x14ac:dyDescent="0.3">
      <c r="P837">
        <v>836</v>
      </c>
      <c r="Q837">
        <v>127455</v>
      </c>
      <c r="S837">
        <v>228278</v>
      </c>
    </row>
    <row r="838" spans="16:19" x14ac:dyDescent="0.3">
      <c r="P838">
        <v>837</v>
      </c>
      <c r="Q838">
        <v>200672</v>
      </c>
      <c r="S838">
        <v>520803</v>
      </c>
    </row>
    <row r="839" spans="16:19" x14ac:dyDescent="0.3">
      <c r="P839">
        <v>838</v>
      </c>
      <c r="Q839">
        <v>400319</v>
      </c>
      <c r="S839">
        <v>72068</v>
      </c>
    </row>
    <row r="840" spans="16:19" x14ac:dyDescent="0.3">
      <c r="P840">
        <v>839</v>
      </c>
      <c r="Q840">
        <v>-400150</v>
      </c>
      <c r="S840">
        <v>3261</v>
      </c>
    </row>
    <row r="841" spans="16:19" x14ac:dyDescent="0.3">
      <c r="P841">
        <v>840</v>
      </c>
      <c r="Q841">
        <v>-501455</v>
      </c>
      <c r="S841">
        <v>303333</v>
      </c>
    </row>
    <row r="842" spans="16:19" x14ac:dyDescent="0.3">
      <c r="P842">
        <v>841</v>
      </c>
      <c r="Q842">
        <v>690863</v>
      </c>
      <c r="S842">
        <v>-294529</v>
      </c>
    </row>
    <row r="843" spans="16:19" x14ac:dyDescent="0.3">
      <c r="P843">
        <v>842</v>
      </c>
      <c r="Q843">
        <v>431038</v>
      </c>
      <c r="S843">
        <v>-659421</v>
      </c>
    </row>
    <row r="844" spans="16:19" x14ac:dyDescent="0.3">
      <c r="P844">
        <v>843</v>
      </c>
      <c r="Q844">
        <v>-340368</v>
      </c>
      <c r="S844">
        <v>-791054</v>
      </c>
    </row>
    <row r="845" spans="16:19" x14ac:dyDescent="0.3">
      <c r="P845">
        <v>844</v>
      </c>
      <c r="Q845">
        <v>-317755</v>
      </c>
      <c r="S845">
        <v>328705</v>
      </c>
    </row>
    <row r="846" spans="16:19" x14ac:dyDescent="0.3">
      <c r="P846">
        <v>845</v>
      </c>
      <c r="Q846">
        <v>-544977</v>
      </c>
      <c r="S846">
        <v>617969</v>
      </c>
    </row>
    <row r="847" spans="16:19" x14ac:dyDescent="0.3">
      <c r="P847">
        <v>846</v>
      </c>
      <c r="Q847">
        <v>158957</v>
      </c>
      <c r="S847">
        <v>558121</v>
      </c>
    </row>
    <row r="848" spans="16:19" x14ac:dyDescent="0.3">
      <c r="P848">
        <v>847</v>
      </c>
      <c r="Q848">
        <v>205784</v>
      </c>
      <c r="S848">
        <v>90871</v>
      </c>
    </row>
    <row r="849" spans="16:19" x14ac:dyDescent="0.3">
      <c r="P849">
        <v>848</v>
      </c>
      <c r="Q849">
        <v>151369</v>
      </c>
      <c r="S849">
        <v>197</v>
      </c>
    </row>
    <row r="850" spans="16:19" x14ac:dyDescent="0.3">
      <c r="P850">
        <v>849</v>
      </c>
      <c r="Q850">
        <v>197604</v>
      </c>
      <c r="S850">
        <v>-309679</v>
      </c>
    </row>
    <row r="851" spans="16:19" x14ac:dyDescent="0.3">
      <c r="P851">
        <v>850</v>
      </c>
      <c r="Q851">
        <v>397891</v>
      </c>
      <c r="S851">
        <v>383248</v>
      </c>
    </row>
    <row r="852" spans="16:19" x14ac:dyDescent="0.3">
      <c r="P852">
        <v>851</v>
      </c>
      <c r="Q852">
        <v>322566</v>
      </c>
      <c r="S852">
        <v>511439</v>
      </c>
    </row>
    <row r="853" spans="16:19" x14ac:dyDescent="0.3">
      <c r="P853">
        <v>852</v>
      </c>
      <c r="Q853">
        <v>230262</v>
      </c>
      <c r="S853">
        <v>300070</v>
      </c>
    </row>
    <row r="854" spans="16:19" x14ac:dyDescent="0.3">
      <c r="P854">
        <v>853</v>
      </c>
      <c r="Q854">
        <v>103659</v>
      </c>
      <c r="S854">
        <v>-269202</v>
      </c>
    </row>
    <row r="855" spans="16:19" x14ac:dyDescent="0.3">
      <c r="P855">
        <v>854</v>
      </c>
      <c r="Q855">
        <v>-360791</v>
      </c>
      <c r="S855">
        <v>-542031</v>
      </c>
    </row>
    <row r="856" spans="16:19" x14ac:dyDescent="0.3">
      <c r="P856">
        <v>855</v>
      </c>
      <c r="Q856">
        <v>-503086</v>
      </c>
      <c r="S856">
        <v>447479</v>
      </c>
    </row>
    <row r="857" spans="16:19" x14ac:dyDescent="0.3">
      <c r="P857">
        <v>856</v>
      </c>
      <c r="Q857">
        <v>378200</v>
      </c>
      <c r="S857">
        <v>647972</v>
      </c>
    </row>
    <row r="858" spans="16:19" x14ac:dyDescent="0.3">
      <c r="P858">
        <v>857</v>
      </c>
      <c r="Q858">
        <v>263144</v>
      </c>
      <c r="S858">
        <v>358076</v>
      </c>
    </row>
    <row r="859" spans="16:19" x14ac:dyDescent="0.3">
      <c r="P859">
        <v>858</v>
      </c>
      <c r="Q859">
        <v>-815811</v>
      </c>
      <c r="S859">
        <v>-596780</v>
      </c>
    </row>
    <row r="860" spans="16:19" x14ac:dyDescent="0.3">
      <c r="P860">
        <v>859</v>
      </c>
      <c r="Q860">
        <v>697025</v>
      </c>
      <c r="S860">
        <v>-409051</v>
      </c>
    </row>
    <row r="861" spans="16:19" x14ac:dyDescent="0.3">
      <c r="P861">
        <v>860</v>
      </c>
      <c r="Q861">
        <v>-452605</v>
      </c>
      <c r="S861">
        <v>539849</v>
      </c>
    </row>
    <row r="862" spans="16:19" x14ac:dyDescent="0.3">
      <c r="P862">
        <v>861</v>
      </c>
      <c r="Q862">
        <v>568748</v>
      </c>
      <c r="S862">
        <v>203992</v>
      </c>
    </row>
    <row r="863" spans="16:19" x14ac:dyDescent="0.3">
      <c r="P863">
        <v>862</v>
      </c>
      <c r="Q863">
        <v>20818</v>
      </c>
      <c r="S863">
        <v>-791356</v>
      </c>
    </row>
    <row r="864" spans="16:19" x14ac:dyDescent="0.3">
      <c r="P864">
        <v>863</v>
      </c>
      <c r="Q864">
        <v>525646</v>
      </c>
      <c r="S864">
        <v>-506500</v>
      </c>
    </row>
    <row r="865" spans="16:19" x14ac:dyDescent="0.3">
      <c r="P865">
        <v>864</v>
      </c>
      <c r="Q865">
        <v>487701</v>
      </c>
      <c r="S865">
        <v>364956</v>
      </c>
    </row>
    <row r="866" spans="16:19" x14ac:dyDescent="0.3">
      <c r="P866">
        <v>865</v>
      </c>
      <c r="Q866">
        <v>-226314</v>
      </c>
      <c r="S866">
        <v>65029</v>
      </c>
    </row>
    <row r="867" spans="16:19" x14ac:dyDescent="0.3">
      <c r="P867">
        <v>866</v>
      </c>
      <c r="Q867">
        <v>-469025</v>
      </c>
      <c r="S867">
        <v>-362962</v>
      </c>
    </row>
    <row r="868" spans="16:19" x14ac:dyDescent="0.3">
      <c r="P868">
        <v>867</v>
      </c>
      <c r="Q868">
        <v>-298844</v>
      </c>
      <c r="S868">
        <v>-428033</v>
      </c>
    </row>
    <row r="869" spans="16:19" x14ac:dyDescent="0.3">
      <c r="P869">
        <v>868</v>
      </c>
      <c r="Q869">
        <v>-610361</v>
      </c>
      <c r="S869">
        <v>299637</v>
      </c>
    </row>
    <row r="870" spans="16:19" x14ac:dyDescent="0.3">
      <c r="P870">
        <v>869</v>
      </c>
      <c r="Q870">
        <v>-556483</v>
      </c>
      <c r="S870">
        <v>-360520</v>
      </c>
    </row>
    <row r="871" spans="16:19" x14ac:dyDescent="0.3">
      <c r="P871">
        <v>870</v>
      </c>
      <c r="Q871">
        <v>-382658</v>
      </c>
      <c r="S871">
        <v>406857</v>
      </c>
    </row>
    <row r="872" spans="16:19" x14ac:dyDescent="0.3">
      <c r="P872">
        <v>871</v>
      </c>
      <c r="Q872">
        <v>-60324</v>
      </c>
      <c r="S872">
        <v>403264</v>
      </c>
    </row>
    <row r="873" spans="16:19" x14ac:dyDescent="0.3">
      <c r="P873">
        <v>872</v>
      </c>
      <c r="Q873">
        <v>849172</v>
      </c>
      <c r="S873">
        <v>526941</v>
      </c>
    </row>
    <row r="874" spans="16:19" x14ac:dyDescent="0.3">
      <c r="P874">
        <v>873</v>
      </c>
      <c r="Q874">
        <v>-243435</v>
      </c>
      <c r="S874">
        <v>-339624</v>
      </c>
    </row>
    <row r="875" spans="16:19" x14ac:dyDescent="0.3">
      <c r="P875">
        <v>874</v>
      </c>
      <c r="Q875">
        <v>-672647</v>
      </c>
      <c r="S875">
        <v>-320091</v>
      </c>
    </row>
    <row r="876" spans="16:19" x14ac:dyDescent="0.3">
      <c r="P876">
        <v>875</v>
      </c>
      <c r="Q876">
        <v>303207</v>
      </c>
      <c r="S876">
        <v>271427</v>
      </c>
    </row>
    <row r="877" spans="16:19" x14ac:dyDescent="0.3">
      <c r="P877">
        <v>876</v>
      </c>
      <c r="Q877">
        <v>-566179</v>
      </c>
      <c r="S877">
        <v>78947</v>
      </c>
    </row>
    <row r="878" spans="16:19" x14ac:dyDescent="0.3">
      <c r="P878">
        <v>877</v>
      </c>
      <c r="Q878">
        <v>566911</v>
      </c>
      <c r="S878">
        <v>311744</v>
      </c>
    </row>
    <row r="879" spans="16:19" x14ac:dyDescent="0.3">
      <c r="P879">
        <v>878</v>
      </c>
      <c r="Q879">
        <v>-445253</v>
      </c>
      <c r="S879">
        <v>-662132</v>
      </c>
    </row>
    <row r="880" spans="16:19" x14ac:dyDescent="0.3">
      <c r="P880">
        <v>879</v>
      </c>
      <c r="Q880">
        <v>423253</v>
      </c>
      <c r="S880">
        <v>-521033</v>
      </c>
    </row>
    <row r="881" spans="16:19" x14ac:dyDescent="0.3">
      <c r="P881">
        <v>880</v>
      </c>
      <c r="Q881">
        <v>564363</v>
      </c>
      <c r="S881">
        <v>477689</v>
      </c>
    </row>
    <row r="882" spans="16:19" x14ac:dyDescent="0.3">
      <c r="P882">
        <v>881</v>
      </c>
      <c r="Q882">
        <v>349697</v>
      </c>
      <c r="S882">
        <v>138399</v>
      </c>
    </row>
    <row r="883" spans="16:19" x14ac:dyDescent="0.3">
      <c r="P883">
        <v>882</v>
      </c>
      <c r="Q883">
        <v>-624727</v>
      </c>
      <c r="S883">
        <v>619534</v>
      </c>
    </row>
    <row r="884" spans="16:19" x14ac:dyDescent="0.3">
      <c r="P884">
        <v>883</v>
      </c>
      <c r="Q884">
        <v>9630</v>
      </c>
      <c r="S884">
        <v>-432665</v>
      </c>
    </row>
    <row r="885" spans="16:19" x14ac:dyDescent="0.3">
      <c r="P885">
        <v>884</v>
      </c>
      <c r="Q885">
        <v>699433</v>
      </c>
      <c r="S885">
        <v>173480</v>
      </c>
    </row>
    <row r="886" spans="16:19" x14ac:dyDescent="0.3">
      <c r="P886">
        <v>885</v>
      </c>
      <c r="Q886">
        <v>123937</v>
      </c>
      <c r="S886">
        <v>-105731</v>
      </c>
    </row>
    <row r="887" spans="16:19" x14ac:dyDescent="0.3">
      <c r="P887">
        <v>886</v>
      </c>
      <c r="Q887">
        <v>787542</v>
      </c>
      <c r="S887">
        <v>255276</v>
      </c>
    </row>
    <row r="888" spans="16:19" x14ac:dyDescent="0.3">
      <c r="P888">
        <v>887</v>
      </c>
      <c r="Q888">
        <v>333308</v>
      </c>
      <c r="S888">
        <v>55297</v>
      </c>
    </row>
    <row r="889" spans="16:19" x14ac:dyDescent="0.3">
      <c r="P889">
        <v>888</v>
      </c>
      <c r="Q889">
        <v>-739953</v>
      </c>
      <c r="S889">
        <v>386300</v>
      </c>
    </row>
    <row r="890" spans="16:19" x14ac:dyDescent="0.3">
      <c r="P890">
        <v>889</v>
      </c>
      <c r="Q890">
        <v>-397778</v>
      </c>
      <c r="S890">
        <v>441967</v>
      </c>
    </row>
    <row r="891" spans="16:19" x14ac:dyDescent="0.3">
      <c r="P891">
        <v>890</v>
      </c>
      <c r="Q891">
        <v>104567</v>
      </c>
      <c r="S891">
        <v>587452</v>
      </c>
    </row>
    <row r="892" spans="16:19" x14ac:dyDescent="0.3">
      <c r="P892">
        <v>891</v>
      </c>
      <c r="Q892">
        <v>-78204</v>
      </c>
      <c r="S892">
        <v>528005</v>
      </c>
    </row>
    <row r="893" spans="16:19" x14ac:dyDescent="0.3">
      <c r="P893">
        <v>892</v>
      </c>
      <c r="Q893">
        <v>250062</v>
      </c>
      <c r="S893">
        <v>-85448</v>
      </c>
    </row>
    <row r="894" spans="16:19" x14ac:dyDescent="0.3">
      <c r="P894">
        <v>893</v>
      </c>
      <c r="Q894">
        <v>329492</v>
      </c>
      <c r="S894">
        <v>267492</v>
      </c>
    </row>
    <row r="895" spans="16:19" x14ac:dyDescent="0.3">
      <c r="P895">
        <v>894</v>
      </c>
      <c r="Q895">
        <v>564616</v>
      </c>
      <c r="S895">
        <v>394521</v>
      </c>
    </row>
    <row r="896" spans="16:19" x14ac:dyDescent="0.3">
      <c r="P896">
        <v>895</v>
      </c>
      <c r="Q896">
        <v>-212620</v>
      </c>
      <c r="S896">
        <v>46168</v>
      </c>
    </row>
    <row r="897" spans="16:19" x14ac:dyDescent="0.3">
      <c r="P897">
        <v>896</v>
      </c>
      <c r="Q897">
        <v>-227884</v>
      </c>
      <c r="S897">
        <v>-430486</v>
      </c>
    </row>
    <row r="898" spans="16:19" x14ac:dyDescent="0.3">
      <c r="P898">
        <v>897</v>
      </c>
      <c r="Q898">
        <v>1142363</v>
      </c>
      <c r="S898">
        <v>434896</v>
      </c>
    </row>
    <row r="899" spans="16:19" x14ac:dyDescent="0.3">
      <c r="P899">
        <v>898</v>
      </c>
      <c r="Q899">
        <v>365870</v>
      </c>
      <c r="S899">
        <v>502864</v>
      </c>
    </row>
    <row r="900" spans="16:19" x14ac:dyDescent="0.3">
      <c r="P900">
        <v>899</v>
      </c>
      <c r="Q900">
        <v>447191</v>
      </c>
      <c r="S900">
        <v>-122504</v>
      </c>
    </row>
    <row r="901" spans="16:19" x14ac:dyDescent="0.3">
      <c r="P901">
        <v>900</v>
      </c>
      <c r="Q901">
        <v>-40969</v>
      </c>
      <c r="S901">
        <v>397411</v>
      </c>
    </row>
    <row r="902" spans="16:19" x14ac:dyDescent="0.3">
      <c r="P902">
        <v>901</v>
      </c>
      <c r="Q902">
        <v>224437</v>
      </c>
      <c r="S902">
        <v>457123</v>
      </c>
    </row>
    <row r="903" spans="16:19" x14ac:dyDescent="0.3">
      <c r="P903">
        <v>902</v>
      </c>
      <c r="Q903">
        <v>-474638</v>
      </c>
      <c r="S903">
        <v>-384070</v>
      </c>
    </row>
    <row r="904" spans="16:19" x14ac:dyDescent="0.3">
      <c r="P904">
        <v>903</v>
      </c>
      <c r="Q904">
        <v>-431624</v>
      </c>
      <c r="S904">
        <v>70789</v>
      </c>
    </row>
    <row r="905" spans="16:19" x14ac:dyDescent="0.3">
      <c r="P905">
        <v>904</v>
      </c>
      <c r="Q905">
        <v>-245229</v>
      </c>
      <c r="S905">
        <v>272572</v>
      </c>
    </row>
    <row r="906" spans="16:19" x14ac:dyDescent="0.3">
      <c r="P906">
        <v>905</v>
      </c>
      <c r="Q906">
        <v>258844</v>
      </c>
      <c r="S906">
        <v>-63959</v>
      </c>
    </row>
    <row r="907" spans="16:19" x14ac:dyDescent="0.3">
      <c r="P907">
        <v>906</v>
      </c>
      <c r="Q907">
        <v>-489742</v>
      </c>
      <c r="S907">
        <v>252670</v>
      </c>
    </row>
    <row r="908" spans="16:19" x14ac:dyDescent="0.3">
      <c r="P908">
        <v>907</v>
      </c>
      <c r="Q908">
        <v>12108</v>
      </c>
      <c r="S908">
        <v>1054780</v>
      </c>
    </row>
    <row r="909" spans="16:19" x14ac:dyDescent="0.3">
      <c r="P909">
        <v>908</v>
      </c>
      <c r="Q909">
        <v>-616797</v>
      </c>
      <c r="S909">
        <v>-150289</v>
      </c>
    </row>
    <row r="910" spans="16:19" x14ac:dyDescent="0.3">
      <c r="P910">
        <v>909</v>
      </c>
      <c r="Q910">
        <v>710358</v>
      </c>
      <c r="S910">
        <v>-263226</v>
      </c>
    </row>
    <row r="911" spans="16:19" x14ac:dyDescent="0.3">
      <c r="P911">
        <v>910</v>
      </c>
      <c r="Q911">
        <v>30381</v>
      </c>
      <c r="S911">
        <v>-440540</v>
      </c>
    </row>
    <row r="912" spans="16:19" x14ac:dyDescent="0.3">
      <c r="P912">
        <v>911</v>
      </c>
      <c r="Q912">
        <v>68723</v>
      </c>
      <c r="S912">
        <v>-273309</v>
      </c>
    </row>
    <row r="913" spans="16:19" x14ac:dyDescent="0.3">
      <c r="P913">
        <v>912</v>
      </c>
      <c r="Q913">
        <v>177289</v>
      </c>
      <c r="S913">
        <v>969151</v>
      </c>
    </row>
    <row r="914" spans="16:19" x14ac:dyDescent="0.3">
      <c r="P914">
        <v>913</v>
      </c>
      <c r="Q914">
        <v>291659</v>
      </c>
      <c r="S914">
        <v>-412952</v>
      </c>
    </row>
    <row r="915" spans="16:19" x14ac:dyDescent="0.3">
      <c r="P915">
        <v>914</v>
      </c>
      <c r="Q915">
        <v>-841455</v>
      </c>
      <c r="S915">
        <v>231753</v>
      </c>
    </row>
    <row r="916" spans="16:19" x14ac:dyDescent="0.3">
      <c r="P916">
        <v>915</v>
      </c>
      <c r="Q916">
        <v>-19112</v>
      </c>
      <c r="S916">
        <v>61901</v>
      </c>
    </row>
    <row r="917" spans="16:19" x14ac:dyDescent="0.3">
      <c r="P917">
        <v>916</v>
      </c>
      <c r="Q917">
        <v>-102591</v>
      </c>
      <c r="S917">
        <v>8165</v>
      </c>
    </row>
    <row r="918" spans="16:19" x14ac:dyDescent="0.3">
      <c r="P918">
        <v>917</v>
      </c>
      <c r="Q918">
        <v>168878</v>
      </c>
      <c r="S918">
        <v>-540355</v>
      </c>
    </row>
    <row r="919" spans="16:19" x14ac:dyDescent="0.3">
      <c r="P919">
        <v>918</v>
      </c>
      <c r="Q919">
        <v>-431947</v>
      </c>
      <c r="S919">
        <v>81849</v>
      </c>
    </row>
    <row r="920" spans="16:19" x14ac:dyDescent="0.3">
      <c r="P920">
        <v>919</v>
      </c>
      <c r="Q920">
        <v>-315657</v>
      </c>
      <c r="S920">
        <v>-83291</v>
      </c>
    </row>
    <row r="921" spans="16:19" x14ac:dyDescent="0.3">
      <c r="P921">
        <v>920</v>
      </c>
      <c r="Q921">
        <v>-226700</v>
      </c>
      <c r="S921">
        <v>-483258</v>
      </c>
    </row>
    <row r="922" spans="16:19" x14ac:dyDescent="0.3">
      <c r="P922">
        <v>921</v>
      </c>
      <c r="Q922">
        <v>928140</v>
      </c>
      <c r="S922">
        <v>712352</v>
      </c>
    </row>
    <row r="923" spans="16:19" x14ac:dyDescent="0.3">
      <c r="P923">
        <v>922</v>
      </c>
      <c r="Q923">
        <v>640082</v>
      </c>
      <c r="S923">
        <v>-771563</v>
      </c>
    </row>
    <row r="924" spans="16:19" x14ac:dyDescent="0.3">
      <c r="P924">
        <v>923</v>
      </c>
      <c r="Q924">
        <v>191052</v>
      </c>
      <c r="S924">
        <v>-390429</v>
      </c>
    </row>
    <row r="925" spans="16:19" x14ac:dyDescent="0.3">
      <c r="P925">
        <v>924</v>
      </c>
      <c r="Q925">
        <v>-513398</v>
      </c>
      <c r="S925">
        <v>-392580</v>
      </c>
    </row>
    <row r="926" spans="16:19" x14ac:dyDescent="0.3">
      <c r="P926">
        <v>925</v>
      </c>
      <c r="Q926">
        <v>320391</v>
      </c>
      <c r="S926">
        <v>-165903</v>
      </c>
    </row>
    <row r="927" spans="16:19" x14ac:dyDescent="0.3">
      <c r="P927">
        <v>926</v>
      </c>
      <c r="Q927">
        <v>-401499</v>
      </c>
      <c r="S927">
        <v>-297769</v>
      </c>
    </row>
    <row r="928" spans="16:19" x14ac:dyDescent="0.3">
      <c r="P928">
        <v>927</v>
      </c>
      <c r="Q928">
        <v>871094</v>
      </c>
      <c r="S928">
        <v>-336058</v>
      </c>
    </row>
    <row r="929" spans="16:19" x14ac:dyDescent="0.3">
      <c r="P929">
        <v>928</v>
      </c>
      <c r="Q929">
        <v>-206599</v>
      </c>
      <c r="S929">
        <v>-209249</v>
      </c>
    </row>
    <row r="930" spans="16:19" x14ac:dyDescent="0.3">
      <c r="P930">
        <v>929</v>
      </c>
      <c r="Q930">
        <v>412723</v>
      </c>
      <c r="S930">
        <v>40727</v>
      </c>
    </row>
    <row r="931" spans="16:19" x14ac:dyDescent="0.3">
      <c r="P931">
        <v>930</v>
      </c>
      <c r="Q931">
        <v>541027</v>
      </c>
      <c r="S931">
        <v>-851347</v>
      </c>
    </row>
    <row r="932" spans="16:19" x14ac:dyDescent="0.3">
      <c r="P932">
        <v>931</v>
      </c>
      <c r="Q932">
        <v>-63388</v>
      </c>
      <c r="S932">
        <v>12542</v>
      </c>
    </row>
    <row r="933" spans="16:19" x14ac:dyDescent="0.3">
      <c r="P933">
        <v>932</v>
      </c>
      <c r="Q933">
        <v>397907</v>
      </c>
      <c r="S933">
        <v>416211</v>
      </c>
    </row>
    <row r="934" spans="16:19" x14ac:dyDescent="0.3">
      <c r="P934">
        <v>933</v>
      </c>
      <c r="Q934">
        <v>-389806</v>
      </c>
      <c r="S934">
        <v>73204</v>
      </c>
    </row>
    <row r="935" spans="16:19" x14ac:dyDescent="0.3">
      <c r="P935">
        <v>934</v>
      </c>
      <c r="Q935">
        <v>501007</v>
      </c>
      <c r="S935">
        <v>-93423</v>
      </c>
    </row>
    <row r="936" spans="16:19" x14ac:dyDescent="0.3">
      <c r="P936">
        <v>935</v>
      </c>
      <c r="Q936">
        <v>335729</v>
      </c>
      <c r="S936">
        <v>140189</v>
      </c>
    </row>
    <row r="937" spans="16:19" x14ac:dyDescent="0.3">
      <c r="P937">
        <v>936</v>
      </c>
      <c r="Q937">
        <v>-432912</v>
      </c>
      <c r="S937">
        <v>-413019</v>
      </c>
    </row>
    <row r="938" spans="16:19" x14ac:dyDescent="0.3">
      <c r="P938">
        <v>937</v>
      </c>
      <c r="Q938">
        <v>464233</v>
      </c>
      <c r="S938">
        <v>-563489</v>
      </c>
    </row>
    <row r="939" spans="16:19" x14ac:dyDescent="0.3">
      <c r="P939">
        <v>938</v>
      </c>
      <c r="Q939">
        <v>-104168</v>
      </c>
      <c r="S939">
        <v>457620</v>
      </c>
    </row>
    <row r="940" spans="16:19" x14ac:dyDescent="0.3">
      <c r="P940">
        <v>939</v>
      </c>
      <c r="Q940">
        <v>-101633</v>
      </c>
      <c r="S940">
        <v>75945</v>
      </c>
    </row>
    <row r="941" spans="16:19" x14ac:dyDescent="0.3">
      <c r="P941">
        <v>940</v>
      </c>
      <c r="Q941">
        <v>-694712</v>
      </c>
      <c r="S941">
        <v>857983</v>
      </c>
    </row>
    <row r="942" spans="16:19" x14ac:dyDescent="0.3">
      <c r="P942">
        <v>941</v>
      </c>
      <c r="Q942">
        <v>-3516</v>
      </c>
      <c r="S942">
        <v>22253</v>
      </c>
    </row>
    <row r="943" spans="16:19" x14ac:dyDescent="0.3">
      <c r="P943">
        <v>942</v>
      </c>
      <c r="Q943">
        <v>-48906</v>
      </c>
      <c r="S943">
        <v>31795</v>
      </c>
    </row>
    <row r="944" spans="16:19" x14ac:dyDescent="0.3">
      <c r="P944">
        <v>943</v>
      </c>
      <c r="Q944">
        <v>-70466</v>
      </c>
      <c r="S944">
        <v>-81066</v>
      </c>
    </row>
    <row r="945" spans="16:19" x14ac:dyDescent="0.3">
      <c r="P945">
        <v>944</v>
      </c>
      <c r="Q945">
        <v>-708495</v>
      </c>
      <c r="S945">
        <v>-353247</v>
      </c>
    </row>
    <row r="946" spans="16:19" x14ac:dyDescent="0.3">
      <c r="P946">
        <v>945</v>
      </c>
      <c r="Q946">
        <v>68874</v>
      </c>
      <c r="S946">
        <v>10583</v>
      </c>
    </row>
    <row r="947" spans="16:19" x14ac:dyDescent="0.3">
      <c r="P947">
        <v>946</v>
      </c>
      <c r="Q947">
        <v>-119866</v>
      </c>
      <c r="S947">
        <v>-650382</v>
      </c>
    </row>
    <row r="948" spans="16:19" x14ac:dyDescent="0.3">
      <c r="P948">
        <v>947</v>
      </c>
      <c r="Q948">
        <v>-330467</v>
      </c>
      <c r="S948">
        <v>-57438</v>
      </c>
    </row>
    <row r="949" spans="16:19" x14ac:dyDescent="0.3">
      <c r="P949">
        <v>948</v>
      </c>
      <c r="Q949">
        <v>607505</v>
      </c>
      <c r="S949">
        <v>516229</v>
      </c>
    </row>
    <row r="950" spans="16:19" x14ac:dyDescent="0.3">
      <c r="P950">
        <v>949</v>
      </c>
      <c r="Q950">
        <v>250295</v>
      </c>
      <c r="S950">
        <v>-472840</v>
      </c>
    </row>
    <row r="951" spans="16:19" x14ac:dyDescent="0.3">
      <c r="P951">
        <v>950</v>
      </c>
      <c r="Q951">
        <v>164267</v>
      </c>
      <c r="S951">
        <v>726880</v>
      </c>
    </row>
    <row r="952" spans="16:19" x14ac:dyDescent="0.3">
      <c r="P952">
        <v>951</v>
      </c>
      <c r="Q952">
        <v>971386</v>
      </c>
      <c r="S952">
        <v>-184104</v>
      </c>
    </row>
    <row r="953" spans="16:19" x14ac:dyDescent="0.3">
      <c r="P953">
        <v>952</v>
      </c>
      <c r="Q953">
        <v>871742</v>
      </c>
      <c r="S953">
        <v>626087</v>
      </c>
    </row>
    <row r="954" spans="16:19" x14ac:dyDescent="0.3">
      <c r="P954">
        <v>953</v>
      </c>
      <c r="Q954">
        <v>820739</v>
      </c>
      <c r="S954">
        <v>105776</v>
      </c>
    </row>
    <row r="955" spans="16:19" x14ac:dyDescent="0.3">
      <c r="P955">
        <v>954</v>
      </c>
      <c r="Q955">
        <v>-607452</v>
      </c>
      <c r="S955">
        <v>-19598</v>
      </c>
    </row>
    <row r="956" spans="16:19" x14ac:dyDescent="0.3">
      <c r="P956">
        <v>955</v>
      </c>
      <c r="Q956">
        <v>-347068</v>
      </c>
      <c r="S956">
        <v>-492505</v>
      </c>
    </row>
    <row r="957" spans="16:19" x14ac:dyDescent="0.3">
      <c r="P957">
        <v>956</v>
      </c>
      <c r="Q957">
        <v>190874</v>
      </c>
      <c r="S957">
        <v>976749</v>
      </c>
    </row>
    <row r="958" spans="16:19" x14ac:dyDescent="0.3">
      <c r="P958">
        <v>957</v>
      </c>
      <c r="Q958">
        <v>9225</v>
      </c>
      <c r="S958">
        <v>-440438</v>
      </c>
    </row>
    <row r="959" spans="16:19" x14ac:dyDescent="0.3">
      <c r="P959">
        <v>958</v>
      </c>
      <c r="Q959">
        <v>257412</v>
      </c>
      <c r="S959">
        <v>664485</v>
      </c>
    </row>
    <row r="960" spans="16:19" x14ac:dyDescent="0.3">
      <c r="P960">
        <v>959</v>
      </c>
      <c r="Q960">
        <v>-514561</v>
      </c>
      <c r="S960">
        <v>67090</v>
      </c>
    </row>
    <row r="961" spans="16:19" x14ac:dyDescent="0.3">
      <c r="P961">
        <v>960</v>
      </c>
      <c r="Q961">
        <v>-655474</v>
      </c>
      <c r="S961">
        <v>-537096</v>
      </c>
    </row>
    <row r="962" spans="16:19" x14ac:dyDescent="0.3">
      <c r="P962">
        <v>961</v>
      </c>
      <c r="Q962">
        <v>-727638</v>
      </c>
      <c r="S962">
        <v>362166</v>
      </c>
    </row>
    <row r="963" spans="16:19" x14ac:dyDescent="0.3">
      <c r="P963">
        <v>962</v>
      </c>
      <c r="Q963">
        <v>-660023</v>
      </c>
      <c r="S963">
        <v>-345531</v>
      </c>
    </row>
    <row r="964" spans="16:19" x14ac:dyDescent="0.3">
      <c r="P964">
        <v>963</v>
      </c>
      <c r="Q964">
        <v>-586717</v>
      </c>
      <c r="S964">
        <v>306656</v>
      </c>
    </row>
    <row r="965" spans="16:19" x14ac:dyDescent="0.3">
      <c r="P965">
        <v>964</v>
      </c>
      <c r="Q965">
        <v>-416757</v>
      </c>
      <c r="S965">
        <v>137796</v>
      </c>
    </row>
    <row r="966" spans="16:19" x14ac:dyDescent="0.3">
      <c r="P966">
        <v>965</v>
      </c>
      <c r="Q966">
        <v>328216</v>
      </c>
      <c r="S966">
        <v>179762</v>
      </c>
    </row>
    <row r="967" spans="16:19" x14ac:dyDescent="0.3">
      <c r="P967">
        <v>966</v>
      </c>
      <c r="Q967">
        <v>-220158</v>
      </c>
      <c r="S967">
        <v>563274</v>
      </c>
    </row>
    <row r="968" spans="16:19" x14ac:dyDescent="0.3">
      <c r="P968">
        <v>967</v>
      </c>
      <c r="Q968">
        <v>449939</v>
      </c>
      <c r="S968">
        <v>344990</v>
      </c>
    </row>
    <row r="969" spans="16:19" x14ac:dyDescent="0.3">
      <c r="P969">
        <v>968</v>
      </c>
      <c r="Q969">
        <v>-483710</v>
      </c>
      <c r="S969">
        <v>-289228</v>
      </c>
    </row>
    <row r="970" spans="16:19" x14ac:dyDescent="0.3">
      <c r="P970">
        <v>969</v>
      </c>
      <c r="Q970">
        <v>148152</v>
      </c>
      <c r="S970">
        <v>-359918</v>
      </c>
    </row>
    <row r="971" spans="16:19" x14ac:dyDescent="0.3">
      <c r="P971">
        <v>970</v>
      </c>
      <c r="Q971">
        <v>471189</v>
      </c>
      <c r="S971">
        <v>120404</v>
      </c>
    </row>
    <row r="972" spans="16:19" x14ac:dyDescent="0.3">
      <c r="P972">
        <v>971</v>
      </c>
      <c r="Q972">
        <v>-404810</v>
      </c>
      <c r="S972">
        <v>155896</v>
      </c>
    </row>
    <row r="973" spans="16:19" x14ac:dyDescent="0.3">
      <c r="P973">
        <v>972</v>
      </c>
      <c r="Q973">
        <v>-329049</v>
      </c>
      <c r="S973">
        <v>-388831</v>
      </c>
    </row>
    <row r="974" spans="16:19" x14ac:dyDescent="0.3">
      <c r="P974">
        <v>973</v>
      </c>
      <c r="Q974">
        <v>-673697</v>
      </c>
      <c r="S974">
        <v>-672821</v>
      </c>
    </row>
    <row r="975" spans="16:19" x14ac:dyDescent="0.3">
      <c r="P975">
        <v>974</v>
      </c>
      <c r="Q975">
        <v>-623286</v>
      </c>
      <c r="S975">
        <v>-378102</v>
      </c>
    </row>
    <row r="976" spans="16:19" x14ac:dyDescent="0.3">
      <c r="P976">
        <v>975</v>
      </c>
      <c r="Q976">
        <v>570492</v>
      </c>
      <c r="S976">
        <v>416124</v>
      </c>
    </row>
    <row r="977" spans="16:19" x14ac:dyDescent="0.3">
      <c r="P977">
        <v>976</v>
      </c>
      <c r="Q977">
        <v>238822</v>
      </c>
      <c r="S977">
        <v>-176267</v>
      </c>
    </row>
    <row r="978" spans="16:19" x14ac:dyDescent="0.3">
      <c r="P978">
        <v>977</v>
      </c>
      <c r="Q978">
        <v>-868133</v>
      </c>
      <c r="S978">
        <v>-20910</v>
      </c>
    </row>
    <row r="979" spans="16:19" x14ac:dyDescent="0.3">
      <c r="P979">
        <v>978</v>
      </c>
      <c r="Q979">
        <v>216827</v>
      </c>
      <c r="S979">
        <v>424701</v>
      </c>
    </row>
    <row r="980" spans="16:19" x14ac:dyDescent="0.3">
      <c r="P980">
        <v>979</v>
      </c>
      <c r="Q980">
        <v>-567196</v>
      </c>
      <c r="S980">
        <v>513967</v>
      </c>
    </row>
    <row r="981" spans="16:19" x14ac:dyDescent="0.3">
      <c r="P981">
        <v>980</v>
      </c>
      <c r="Q981">
        <v>315914</v>
      </c>
      <c r="S981">
        <v>-565479</v>
      </c>
    </row>
    <row r="982" spans="16:19" x14ac:dyDescent="0.3">
      <c r="P982">
        <v>981</v>
      </c>
      <c r="Q982">
        <v>291871</v>
      </c>
      <c r="S982">
        <v>46050</v>
      </c>
    </row>
    <row r="983" spans="16:19" x14ac:dyDescent="0.3">
      <c r="P983">
        <v>982</v>
      </c>
      <c r="Q983">
        <v>-82292</v>
      </c>
      <c r="S983">
        <v>31313</v>
      </c>
    </row>
    <row r="984" spans="16:19" x14ac:dyDescent="0.3">
      <c r="P984">
        <v>983</v>
      </c>
      <c r="Q984">
        <v>-152776</v>
      </c>
      <c r="S984">
        <v>84283</v>
      </c>
    </row>
    <row r="985" spans="16:19" x14ac:dyDescent="0.3">
      <c r="P985">
        <v>984</v>
      </c>
      <c r="Q985">
        <v>42706</v>
      </c>
      <c r="S985">
        <v>24771</v>
      </c>
    </row>
    <row r="986" spans="16:19" x14ac:dyDescent="0.3">
      <c r="P986">
        <v>985</v>
      </c>
      <c r="Q986">
        <v>-586126</v>
      </c>
      <c r="S986">
        <v>-137766</v>
      </c>
    </row>
    <row r="987" spans="16:19" x14ac:dyDescent="0.3">
      <c r="P987">
        <v>986</v>
      </c>
      <c r="Q987">
        <v>680962</v>
      </c>
      <c r="S987">
        <v>-343718</v>
      </c>
    </row>
    <row r="988" spans="16:19" x14ac:dyDescent="0.3">
      <c r="P988">
        <v>987</v>
      </c>
      <c r="Q988">
        <v>-92203</v>
      </c>
      <c r="S988">
        <v>-187854</v>
      </c>
    </row>
    <row r="989" spans="16:19" x14ac:dyDescent="0.3">
      <c r="P989">
        <v>988</v>
      </c>
      <c r="Q989">
        <v>-7341</v>
      </c>
      <c r="S989">
        <v>-141577</v>
      </c>
    </row>
    <row r="990" spans="16:19" x14ac:dyDescent="0.3">
      <c r="P990">
        <v>989</v>
      </c>
      <c r="Q990">
        <v>777421</v>
      </c>
      <c r="S990">
        <v>88212</v>
      </c>
    </row>
    <row r="991" spans="16:19" x14ac:dyDescent="0.3">
      <c r="P991">
        <v>990</v>
      </c>
      <c r="Q991">
        <v>18615</v>
      </c>
      <c r="S991">
        <v>720410</v>
      </c>
    </row>
    <row r="992" spans="16:19" x14ac:dyDescent="0.3">
      <c r="P992">
        <v>991</v>
      </c>
      <c r="Q992">
        <v>4416</v>
      </c>
      <c r="S992">
        <v>118716</v>
      </c>
    </row>
    <row r="993" spans="16:19" x14ac:dyDescent="0.3">
      <c r="P993">
        <v>992</v>
      </c>
      <c r="Q993">
        <v>-350021</v>
      </c>
      <c r="S993">
        <v>-762031</v>
      </c>
    </row>
    <row r="994" spans="16:19" x14ac:dyDescent="0.3">
      <c r="P994">
        <v>993</v>
      </c>
      <c r="Q994">
        <v>362341</v>
      </c>
      <c r="S994">
        <v>127135</v>
      </c>
    </row>
    <row r="995" spans="16:19" x14ac:dyDescent="0.3">
      <c r="P995">
        <v>994</v>
      </c>
      <c r="Q995">
        <v>273116</v>
      </c>
      <c r="S995">
        <v>-106824</v>
      </c>
    </row>
    <row r="996" spans="16:19" x14ac:dyDescent="0.3">
      <c r="P996">
        <v>995</v>
      </c>
      <c r="Q996">
        <v>596068</v>
      </c>
      <c r="S996">
        <v>484392</v>
      </c>
    </row>
    <row r="997" spans="16:19" x14ac:dyDescent="0.3">
      <c r="P997">
        <v>996</v>
      </c>
      <c r="Q997">
        <v>369085</v>
      </c>
      <c r="S997">
        <v>514131</v>
      </c>
    </row>
    <row r="998" spans="16:19" x14ac:dyDescent="0.3">
      <c r="P998">
        <v>997</v>
      </c>
      <c r="Q998">
        <v>76356</v>
      </c>
      <c r="S998">
        <v>-391750</v>
      </c>
    </row>
    <row r="999" spans="16:19" x14ac:dyDescent="0.3">
      <c r="P999">
        <v>998</v>
      </c>
      <c r="Q999">
        <v>-335330</v>
      </c>
      <c r="S999">
        <v>290072</v>
      </c>
    </row>
    <row r="1000" spans="16:19" x14ac:dyDescent="0.3">
      <c r="P1000">
        <v>999</v>
      </c>
      <c r="Q1000">
        <v>-437339</v>
      </c>
      <c r="S1000">
        <v>607185</v>
      </c>
    </row>
    <row r="1001" spans="16:19" x14ac:dyDescent="0.3">
      <c r="P1001">
        <v>1000</v>
      </c>
      <c r="Q1001">
        <v>427571</v>
      </c>
      <c r="S1001">
        <v>420222</v>
      </c>
    </row>
    <row r="1002" spans="16:19" x14ac:dyDescent="0.3">
      <c r="P1002">
        <v>1001</v>
      </c>
      <c r="Q1002">
        <v>-85257</v>
      </c>
      <c r="S1002">
        <v>340037</v>
      </c>
    </row>
    <row r="1003" spans="16:19" x14ac:dyDescent="0.3">
      <c r="P1003">
        <v>1002</v>
      </c>
      <c r="Q1003">
        <v>-433145</v>
      </c>
      <c r="S1003">
        <v>-332959</v>
      </c>
    </row>
    <row r="1004" spans="16:19" x14ac:dyDescent="0.3">
      <c r="P1004">
        <v>1003</v>
      </c>
      <c r="Q1004">
        <v>-343877</v>
      </c>
      <c r="S1004">
        <v>357833</v>
      </c>
    </row>
    <row r="1005" spans="16:19" x14ac:dyDescent="0.3">
      <c r="P1005">
        <v>1004</v>
      </c>
      <c r="Q1005">
        <v>82953</v>
      </c>
      <c r="S1005">
        <v>-265970</v>
      </c>
    </row>
    <row r="1006" spans="16:19" x14ac:dyDescent="0.3">
      <c r="P1006">
        <v>1005</v>
      </c>
      <c r="Q1006">
        <v>298130</v>
      </c>
      <c r="S1006">
        <v>556498</v>
      </c>
    </row>
    <row r="1007" spans="16:19" x14ac:dyDescent="0.3">
      <c r="P1007">
        <v>1006</v>
      </c>
      <c r="Q1007">
        <v>-371689</v>
      </c>
      <c r="S1007">
        <v>-625179</v>
      </c>
    </row>
    <row r="1008" spans="16:19" x14ac:dyDescent="0.3">
      <c r="P1008">
        <v>1007</v>
      </c>
      <c r="Q1008">
        <v>272007</v>
      </c>
      <c r="S1008">
        <v>563281</v>
      </c>
    </row>
    <row r="1009" spans="16:19" x14ac:dyDescent="0.3">
      <c r="P1009">
        <v>1008</v>
      </c>
      <c r="Q1009">
        <v>-108308</v>
      </c>
      <c r="S1009">
        <v>742478</v>
      </c>
    </row>
    <row r="1010" spans="16:19" x14ac:dyDescent="0.3">
      <c r="P1010">
        <v>1009</v>
      </c>
      <c r="Q1010">
        <v>962089</v>
      </c>
      <c r="S1010">
        <v>-233189</v>
      </c>
    </row>
    <row r="1011" spans="16:19" x14ac:dyDescent="0.3">
      <c r="P1011">
        <v>1010</v>
      </c>
      <c r="Q1011">
        <v>859064</v>
      </c>
      <c r="S1011">
        <v>-527835</v>
      </c>
    </row>
    <row r="1012" spans="16:19" x14ac:dyDescent="0.3">
      <c r="P1012">
        <v>1011</v>
      </c>
      <c r="Q1012">
        <v>-146106</v>
      </c>
      <c r="S1012">
        <v>64091</v>
      </c>
    </row>
    <row r="1013" spans="16:19" x14ac:dyDescent="0.3">
      <c r="P1013">
        <v>1012</v>
      </c>
      <c r="Q1013">
        <v>-269180</v>
      </c>
      <c r="S1013">
        <v>22117</v>
      </c>
    </row>
    <row r="1014" spans="16:19" x14ac:dyDescent="0.3">
      <c r="P1014">
        <v>1013</v>
      </c>
      <c r="Q1014">
        <v>-283002</v>
      </c>
      <c r="S1014">
        <v>-446299</v>
      </c>
    </row>
    <row r="1015" spans="16:19" x14ac:dyDescent="0.3">
      <c r="P1015">
        <v>1014</v>
      </c>
      <c r="Q1015">
        <v>-483068</v>
      </c>
      <c r="S1015">
        <v>349553</v>
      </c>
    </row>
    <row r="1016" spans="16:19" x14ac:dyDescent="0.3">
      <c r="P1016">
        <v>1015</v>
      </c>
      <c r="Q1016">
        <v>-331184</v>
      </c>
      <c r="S1016">
        <v>-336220</v>
      </c>
    </row>
    <row r="1017" spans="16:19" x14ac:dyDescent="0.3">
      <c r="P1017">
        <v>1016</v>
      </c>
      <c r="Q1017">
        <v>116752</v>
      </c>
      <c r="S1017">
        <v>638216</v>
      </c>
    </row>
    <row r="1018" spans="16:19" x14ac:dyDescent="0.3">
      <c r="P1018">
        <v>1017</v>
      </c>
      <c r="Q1018">
        <v>291768</v>
      </c>
      <c r="S1018">
        <v>495104</v>
      </c>
    </row>
    <row r="1019" spans="16:19" x14ac:dyDescent="0.3">
      <c r="P1019">
        <v>1018</v>
      </c>
      <c r="Q1019">
        <v>289812</v>
      </c>
      <c r="S1019">
        <v>-730173</v>
      </c>
    </row>
    <row r="1020" spans="16:19" x14ac:dyDescent="0.3">
      <c r="P1020">
        <v>1019</v>
      </c>
      <c r="Q1020">
        <v>-609762</v>
      </c>
      <c r="S1020">
        <v>-480678</v>
      </c>
    </row>
    <row r="1021" spans="16:19" x14ac:dyDescent="0.3">
      <c r="P1021">
        <v>1020</v>
      </c>
      <c r="Q1021">
        <v>-282501</v>
      </c>
      <c r="S1021">
        <v>-574863</v>
      </c>
    </row>
    <row r="1022" spans="16:19" x14ac:dyDescent="0.3">
      <c r="P1022">
        <v>1021</v>
      </c>
      <c r="Q1022">
        <v>-229554</v>
      </c>
      <c r="S1022">
        <v>504859</v>
      </c>
    </row>
    <row r="1023" spans="16:19" x14ac:dyDescent="0.3">
      <c r="P1023">
        <v>1022</v>
      </c>
      <c r="Q1023">
        <v>554651</v>
      </c>
      <c r="S1023">
        <v>-271262</v>
      </c>
    </row>
    <row r="1024" spans="16:19" x14ac:dyDescent="0.3">
      <c r="P1024">
        <v>1023</v>
      </c>
      <c r="Q1024">
        <v>-221859</v>
      </c>
      <c r="S1024">
        <v>4516</v>
      </c>
    </row>
    <row r="1025" spans="16:19" x14ac:dyDescent="0.3">
      <c r="P1025">
        <v>1024</v>
      </c>
      <c r="Q1025">
        <v>60206</v>
      </c>
      <c r="S1025">
        <v>680476</v>
      </c>
    </row>
    <row r="1026" spans="16:19" x14ac:dyDescent="0.3">
      <c r="P1026">
        <v>1025</v>
      </c>
      <c r="Q1026">
        <v>413851</v>
      </c>
      <c r="S1026">
        <v>-132401</v>
      </c>
    </row>
    <row r="1027" spans="16:19" x14ac:dyDescent="0.3">
      <c r="P1027">
        <v>1026</v>
      </c>
      <c r="Q1027">
        <v>-438676</v>
      </c>
      <c r="S1027">
        <v>-572241</v>
      </c>
    </row>
    <row r="1028" spans="16:19" x14ac:dyDescent="0.3">
      <c r="P1028">
        <v>1027</v>
      </c>
      <c r="Q1028">
        <v>-137938</v>
      </c>
      <c r="S1028">
        <v>332409</v>
      </c>
    </row>
    <row r="1029" spans="16:19" x14ac:dyDescent="0.3">
      <c r="P1029">
        <v>1028</v>
      </c>
      <c r="Q1029">
        <v>-132253</v>
      </c>
      <c r="S1029">
        <v>150886</v>
      </c>
    </row>
    <row r="1030" spans="16:19" x14ac:dyDescent="0.3">
      <c r="P1030">
        <v>1029</v>
      </c>
      <c r="Q1030">
        <v>928839</v>
      </c>
      <c r="S1030">
        <v>133098</v>
      </c>
    </row>
    <row r="1031" spans="16:19" x14ac:dyDescent="0.3">
      <c r="P1031">
        <v>1030</v>
      </c>
      <c r="Q1031">
        <v>-88415</v>
      </c>
      <c r="S1031">
        <v>-542410</v>
      </c>
    </row>
    <row r="1032" spans="16:19" x14ac:dyDescent="0.3">
      <c r="P1032">
        <v>1031</v>
      </c>
      <c r="Q1032">
        <v>-561624</v>
      </c>
      <c r="S1032">
        <v>540626</v>
      </c>
    </row>
    <row r="1033" spans="16:19" x14ac:dyDescent="0.3">
      <c r="P1033">
        <v>1032</v>
      </c>
      <c r="Q1033">
        <v>-412021</v>
      </c>
      <c r="S1033">
        <v>323204</v>
      </c>
    </row>
    <row r="1034" spans="16:19" x14ac:dyDescent="0.3">
      <c r="P1034">
        <v>1033</v>
      </c>
      <c r="Q1034">
        <v>-218344</v>
      </c>
      <c r="S1034">
        <v>-301879</v>
      </c>
    </row>
    <row r="1035" spans="16:19" x14ac:dyDescent="0.3">
      <c r="P1035">
        <v>1034</v>
      </c>
      <c r="Q1035">
        <v>-677611</v>
      </c>
      <c r="S1035">
        <v>-407997</v>
      </c>
    </row>
    <row r="1036" spans="16:19" x14ac:dyDescent="0.3">
      <c r="P1036">
        <v>1035</v>
      </c>
      <c r="Q1036">
        <v>-305609</v>
      </c>
      <c r="S1036">
        <v>-486243</v>
      </c>
    </row>
    <row r="1037" spans="16:19" x14ac:dyDescent="0.3">
      <c r="P1037">
        <v>1036</v>
      </c>
      <c r="Q1037">
        <v>-219664</v>
      </c>
      <c r="S1037">
        <v>85631</v>
      </c>
    </row>
    <row r="1038" spans="16:19" x14ac:dyDescent="0.3">
      <c r="P1038">
        <v>1037</v>
      </c>
      <c r="Q1038">
        <v>-793905</v>
      </c>
      <c r="S1038">
        <v>-458371</v>
      </c>
    </row>
    <row r="1039" spans="16:19" x14ac:dyDescent="0.3">
      <c r="P1039">
        <v>1038</v>
      </c>
      <c r="Q1039">
        <v>-375081</v>
      </c>
      <c r="S1039">
        <v>-585245</v>
      </c>
    </row>
    <row r="1040" spans="16:19" x14ac:dyDescent="0.3">
      <c r="P1040">
        <v>1039</v>
      </c>
      <c r="Q1040">
        <v>320788</v>
      </c>
      <c r="S1040">
        <v>363915</v>
      </c>
    </row>
    <row r="1041" spans="16:19" x14ac:dyDescent="0.3">
      <c r="P1041">
        <v>1040</v>
      </c>
      <c r="Q1041">
        <v>-70408</v>
      </c>
      <c r="S1041">
        <v>-48662</v>
      </c>
    </row>
    <row r="1042" spans="16:19" x14ac:dyDescent="0.3">
      <c r="P1042">
        <v>1041</v>
      </c>
      <c r="Q1042">
        <v>246945</v>
      </c>
      <c r="S1042">
        <v>868796</v>
      </c>
    </row>
    <row r="1043" spans="16:19" x14ac:dyDescent="0.3">
      <c r="P1043">
        <v>1042</v>
      </c>
      <c r="Q1043">
        <v>254325</v>
      </c>
      <c r="S1043">
        <v>-219193</v>
      </c>
    </row>
    <row r="1044" spans="16:19" x14ac:dyDescent="0.3">
      <c r="P1044">
        <v>1043</v>
      </c>
      <c r="Q1044">
        <v>489041</v>
      </c>
      <c r="S1044">
        <v>559858</v>
      </c>
    </row>
    <row r="1045" spans="16:19" x14ac:dyDescent="0.3">
      <c r="P1045">
        <v>1044</v>
      </c>
      <c r="Q1045">
        <v>91945</v>
      </c>
      <c r="S1045">
        <v>-490874</v>
      </c>
    </row>
    <row r="1046" spans="16:19" x14ac:dyDescent="0.3">
      <c r="P1046">
        <v>1045</v>
      </c>
      <c r="Q1046">
        <v>458924</v>
      </c>
      <c r="S1046">
        <v>183983</v>
      </c>
    </row>
    <row r="1047" spans="16:19" x14ac:dyDescent="0.3">
      <c r="P1047">
        <v>1046</v>
      </c>
      <c r="Q1047">
        <v>341049</v>
      </c>
      <c r="S1047">
        <v>610315</v>
      </c>
    </row>
    <row r="1048" spans="16:19" x14ac:dyDescent="0.3">
      <c r="P1048">
        <v>1047</v>
      </c>
      <c r="Q1048">
        <v>-169647</v>
      </c>
      <c r="S1048">
        <v>-402726</v>
      </c>
    </row>
    <row r="1049" spans="16:19" x14ac:dyDescent="0.3">
      <c r="P1049">
        <v>1048</v>
      </c>
      <c r="Q1049">
        <v>206893</v>
      </c>
      <c r="S1049">
        <v>-483986</v>
      </c>
    </row>
    <row r="1050" spans="16:19" x14ac:dyDescent="0.3">
      <c r="P1050">
        <v>1049</v>
      </c>
      <c r="Q1050">
        <v>380038</v>
      </c>
      <c r="S1050">
        <v>-168045</v>
      </c>
    </row>
    <row r="1051" spans="16:19" x14ac:dyDescent="0.3">
      <c r="P1051">
        <v>1050</v>
      </c>
      <c r="Q1051">
        <v>278009</v>
      </c>
      <c r="S1051">
        <v>15226</v>
      </c>
    </row>
    <row r="1052" spans="16:19" x14ac:dyDescent="0.3">
      <c r="P1052">
        <v>1051</v>
      </c>
      <c r="Q1052">
        <v>-305163</v>
      </c>
      <c r="S1052">
        <v>-449496</v>
      </c>
    </row>
    <row r="1053" spans="16:19" x14ac:dyDescent="0.3">
      <c r="P1053">
        <v>1052</v>
      </c>
      <c r="Q1053">
        <v>490851</v>
      </c>
      <c r="S1053">
        <v>-596191</v>
      </c>
    </row>
    <row r="1054" spans="16:19" x14ac:dyDescent="0.3">
      <c r="P1054">
        <v>1053</v>
      </c>
      <c r="Q1054">
        <v>-238720</v>
      </c>
      <c r="S1054">
        <v>-42051</v>
      </c>
    </row>
    <row r="1055" spans="16:19" x14ac:dyDescent="0.3">
      <c r="P1055">
        <v>1054</v>
      </c>
      <c r="Q1055">
        <v>-44796</v>
      </c>
      <c r="S1055">
        <v>-465148</v>
      </c>
    </row>
    <row r="1056" spans="16:19" x14ac:dyDescent="0.3">
      <c r="P1056">
        <v>1055</v>
      </c>
      <c r="Q1056">
        <v>68976</v>
      </c>
      <c r="S1056">
        <v>481142</v>
      </c>
    </row>
    <row r="1057" spans="16:19" x14ac:dyDescent="0.3">
      <c r="P1057">
        <v>1056</v>
      </c>
      <c r="Q1057">
        <v>-590313</v>
      </c>
      <c r="S1057">
        <v>-473303</v>
      </c>
    </row>
    <row r="1058" spans="16:19" x14ac:dyDescent="0.3">
      <c r="P1058">
        <v>1057</v>
      </c>
      <c r="Q1058">
        <v>73830</v>
      </c>
      <c r="S1058">
        <v>153805</v>
      </c>
    </row>
    <row r="1059" spans="16:19" x14ac:dyDescent="0.3">
      <c r="P1059">
        <v>1058</v>
      </c>
      <c r="Q1059">
        <v>-673346</v>
      </c>
      <c r="S1059">
        <v>-483166</v>
      </c>
    </row>
    <row r="1060" spans="16:19" x14ac:dyDescent="0.3">
      <c r="P1060">
        <v>1059</v>
      </c>
      <c r="Q1060">
        <v>415262</v>
      </c>
      <c r="S1060">
        <v>45496</v>
      </c>
    </row>
    <row r="1061" spans="16:19" x14ac:dyDescent="0.3">
      <c r="P1061">
        <v>1060</v>
      </c>
      <c r="Q1061">
        <v>-234250</v>
      </c>
      <c r="S1061">
        <v>-860647</v>
      </c>
    </row>
    <row r="1062" spans="16:19" x14ac:dyDescent="0.3">
      <c r="P1062">
        <v>1061</v>
      </c>
      <c r="Q1062">
        <v>-452714</v>
      </c>
      <c r="S1062">
        <v>550627</v>
      </c>
    </row>
    <row r="1063" spans="16:19" x14ac:dyDescent="0.3">
      <c r="P1063">
        <v>1062</v>
      </c>
      <c r="Q1063">
        <v>-262364</v>
      </c>
      <c r="S1063">
        <v>-457315</v>
      </c>
    </row>
    <row r="1064" spans="16:19" x14ac:dyDescent="0.3">
      <c r="P1064">
        <v>1063</v>
      </c>
      <c r="Q1064">
        <v>595364</v>
      </c>
      <c r="S1064">
        <v>490757</v>
      </c>
    </row>
    <row r="1065" spans="16:19" x14ac:dyDescent="0.3">
      <c r="P1065">
        <v>1064</v>
      </c>
      <c r="Q1065">
        <v>971070</v>
      </c>
      <c r="S1065">
        <v>373399</v>
      </c>
    </row>
    <row r="1066" spans="16:19" x14ac:dyDescent="0.3">
      <c r="P1066">
        <v>1065</v>
      </c>
      <c r="Q1066">
        <v>286576</v>
      </c>
      <c r="S1066">
        <v>-687469</v>
      </c>
    </row>
    <row r="1067" spans="16:19" x14ac:dyDescent="0.3">
      <c r="P1067">
        <v>1066</v>
      </c>
      <c r="Q1067">
        <v>-260002</v>
      </c>
      <c r="S1067">
        <v>-10553</v>
      </c>
    </row>
    <row r="1068" spans="16:19" x14ac:dyDescent="0.3">
      <c r="P1068">
        <v>1067</v>
      </c>
      <c r="Q1068">
        <v>350532</v>
      </c>
      <c r="S1068">
        <v>-459161</v>
      </c>
    </row>
    <row r="1069" spans="16:19" x14ac:dyDescent="0.3">
      <c r="P1069">
        <v>1068</v>
      </c>
      <c r="Q1069">
        <v>742907</v>
      </c>
      <c r="S1069">
        <v>277586</v>
      </c>
    </row>
    <row r="1070" spans="16:19" x14ac:dyDescent="0.3">
      <c r="P1070">
        <v>1069</v>
      </c>
      <c r="Q1070">
        <v>345041</v>
      </c>
      <c r="S1070">
        <v>353025</v>
      </c>
    </row>
    <row r="1071" spans="16:19" x14ac:dyDescent="0.3">
      <c r="P1071">
        <v>1070</v>
      </c>
      <c r="Q1071">
        <v>139373</v>
      </c>
      <c r="S1071">
        <v>-702032</v>
      </c>
    </row>
    <row r="1072" spans="16:19" x14ac:dyDescent="0.3">
      <c r="P1072">
        <v>1071</v>
      </c>
      <c r="Q1072">
        <v>497197</v>
      </c>
      <c r="S1072">
        <v>33645</v>
      </c>
    </row>
    <row r="1073" spans="16:19" x14ac:dyDescent="0.3">
      <c r="P1073">
        <v>1072</v>
      </c>
      <c r="Q1073">
        <v>829771</v>
      </c>
      <c r="S1073">
        <v>708865</v>
      </c>
    </row>
    <row r="1074" spans="16:19" x14ac:dyDescent="0.3">
      <c r="P1074">
        <v>1073</v>
      </c>
      <c r="Q1074">
        <v>827290</v>
      </c>
      <c r="S1074">
        <v>369522</v>
      </c>
    </row>
    <row r="1075" spans="16:19" x14ac:dyDescent="0.3">
      <c r="P1075">
        <v>1074</v>
      </c>
      <c r="Q1075">
        <v>-501688</v>
      </c>
      <c r="S1075">
        <v>-460734</v>
      </c>
    </row>
    <row r="1076" spans="16:19" x14ac:dyDescent="0.3">
      <c r="P1076">
        <v>1075</v>
      </c>
      <c r="Q1076">
        <v>-862231</v>
      </c>
      <c r="S1076">
        <v>808268</v>
      </c>
    </row>
    <row r="1077" spans="16:19" x14ac:dyDescent="0.3">
      <c r="P1077">
        <v>1076</v>
      </c>
      <c r="Q1077">
        <v>-372099</v>
      </c>
      <c r="S1077">
        <v>510522</v>
      </c>
    </row>
    <row r="1078" spans="16:19" x14ac:dyDescent="0.3">
      <c r="P1078">
        <v>1077</v>
      </c>
      <c r="Q1078">
        <v>-328041</v>
      </c>
      <c r="S1078">
        <v>-145879</v>
      </c>
    </row>
    <row r="1079" spans="16:19" x14ac:dyDescent="0.3">
      <c r="P1079">
        <v>1078</v>
      </c>
      <c r="Q1079">
        <v>315611</v>
      </c>
      <c r="S1079">
        <v>425772</v>
      </c>
    </row>
    <row r="1080" spans="16:19" x14ac:dyDescent="0.3">
      <c r="P1080">
        <v>1079</v>
      </c>
      <c r="Q1080">
        <v>-171226</v>
      </c>
      <c r="S1080">
        <v>272289</v>
      </c>
    </row>
    <row r="1081" spans="16:19" x14ac:dyDescent="0.3">
      <c r="P1081">
        <v>1080</v>
      </c>
      <c r="Q1081">
        <v>779629</v>
      </c>
      <c r="S1081">
        <v>-547196</v>
      </c>
    </row>
    <row r="1082" spans="16:19" x14ac:dyDescent="0.3">
      <c r="P1082">
        <v>1081</v>
      </c>
      <c r="Q1082">
        <v>-506632</v>
      </c>
      <c r="S1082">
        <v>-456044</v>
      </c>
    </row>
    <row r="1083" spans="16:19" x14ac:dyDescent="0.3">
      <c r="P1083">
        <v>1082</v>
      </c>
      <c r="Q1083">
        <v>-316828</v>
      </c>
      <c r="S1083">
        <v>-229985</v>
      </c>
    </row>
    <row r="1084" spans="16:19" x14ac:dyDescent="0.3">
      <c r="P1084">
        <v>1083</v>
      </c>
      <c r="Q1084">
        <v>578933</v>
      </c>
      <c r="S1084">
        <v>-260204</v>
      </c>
    </row>
    <row r="1085" spans="16:19" x14ac:dyDescent="0.3">
      <c r="P1085">
        <v>1084</v>
      </c>
      <c r="Q1085">
        <v>-547337</v>
      </c>
      <c r="S1085">
        <v>-475195</v>
      </c>
    </row>
    <row r="1086" spans="16:19" x14ac:dyDescent="0.3">
      <c r="P1086">
        <v>1085</v>
      </c>
      <c r="Q1086">
        <v>-231828</v>
      </c>
      <c r="S1086">
        <v>-658912</v>
      </c>
    </row>
    <row r="1087" spans="16:19" x14ac:dyDescent="0.3">
      <c r="P1087">
        <v>1086</v>
      </c>
      <c r="Q1087">
        <v>-591230</v>
      </c>
      <c r="S1087">
        <v>572550</v>
      </c>
    </row>
    <row r="1088" spans="16:19" x14ac:dyDescent="0.3">
      <c r="P1088">
        <v>1087</v>
      </c>
      <c r="Q1088">
        <v>226152</v>
      </c>
      <c r="S1088">
        <v>-506759</v>
      </c>
    </row>
    <row r="1089" spans="16:19" x14ac:dyDescent="0.3">
      <c r="P1089">
        <v>1088</v>
      </c>
      <c r="Q1089">
        <v>-533858</v>
      </c>
      <c r="S1089">
        <v>-451453</v>
      </c>
    </row>
    <row r="1090" spans="16:19" x14ac:dyDescent="0.3">
      <c r="P1090">
        <v>1089</v>
      </c>
      <c r="Q1090">
        <v>922887</v>
      </c>
      <c r="S1090">
        <v>-232162</v>
      </c>
    </row>
    <row r="1091" spans="16:19" x14ac:dyDescent="0.3">
      <c r="P1091">
        <v>1090</v>
      </c>
      <c r="Q1091">
        <v>367596</v>
      </c>
      <c r="S1091">
        <v>670340</v>
      </c>
    </row>
    <row r="1092" spans="16:19" x14ac:dyDescent="0.3">
      <c r="P1092">
        <v>1091</v>
      </c>
      <c r="Q1092">
        <v>-337643</v>
      </c>
      <c r="S1092">
        <v>355737</v>
      </c>
    </row>
    <row r="1093" spans="16:19" x14ac:dyDescent="0.3">
      <c r="P1093">
        <v>1092</v>
      </c>
      <c r="Q1093">
        <v>-547205</v>
      </c>
      <c r="S1093">
        <v>484990</v>
      </c>
    </row>
    <row r="1094" spans="16:19" x14ac:dyDescent="0.3">
      <c r="P1094">
        <v>1093</v>
      </c>
      <c r="Q1094">
        <v>721013</v>
      </c>
      <c r="S1094">
        <v>-257051</v>
      </c>
    </row>
    <row r="1095" spans="16:19" x14ac:dyDescent="0.3">
      <c r="P1095">
        <v>1094</v>
      </c>
      <c r="Q1095">
        <v>188220</v>
      </c>
      <c r="S1095">
        <v>-79525</v>
      </c>
    </row>
    <row r="1096" spans="16:19" x14ac:dyDescent="0.3">
      <c r="P1096">
        <v>1095</v>
      </c>
      <c r="Q1096">
        <v>196856</v>
      </c>
      <c r="S1096">
        <v>-366581</v>
      </c>
    </row>
    <row r="1097" spans="16:19" x14ac:dyDescent="0.3">
      <c r="P1097">
        <v>1096</v>
      </c>
      <c r="Q1097">
        <v>570100</v>
      </c>
      <c r="S1097">
        <v>-378617</v>
      </c>
    </row>
    <row r="1098" spans="16:19" x14ac:dyDescent="0.3">
      <c r="P1098">
        <v>1097</v>
      </c>
      <c r="Q1098">
        <v>160832</v>
      </c>
      <c r="S1098">
        <v>-845819</v>
      </c>
    </row>
    <row r="1099" spans="16:19" x14ac:dyDescent="0.3">
      <c r="P1099">
        <v>1098</v>
      </c>
      <c r="Q1099">
        <v>-126294</v>
      </c>
      <c r="S1099">
        <v>-607514</v>
      </c>
    </row>
    <row r="1100" spans="16:19" x14ac:dyDescent="0.3">
      <c r="P1100">
        <v>1099</v>
      </c>
      <c r="Q1100">
        <v>349462</v>
      </c>
      <c r="S1100">
        <v>-550746</v>
      </c>
    </row>
    <row r="1101" spans="16:19" x14ac:dyDescent="0.3">
      <c r="P1101">
        <v>1100</v>
      </c>
      <c r="Q1101">
        <v>146908</v>
      </c>
      <c r="S1101">
        <v>-326268</v>
      </c>
    </row>
    <row r="1102" spans="16:19" x14ac:dyDescent="0.3">
      <c r="P1102">
        <v>1101</v>
      </c>
      <c r="Q1102">
        <v>520450</v>
      </c>
      <c r="S1102">
        <v>-320515</v>
      </c>
    </row>
    <row r="1103" spans="16:19" x14ac:dyDescent="0.3">
      <c r="P1103">
        <v>1102</v>
      </c>
      <c r="Q1103">
        <v>143662</v>
      </c>
      <c r="S1103">
        <v>462382</v>
      </c>
    </row>
    <row r="1104" spans="16:19" x14ac:dyDescent="0.3">
      <c r="P1104">
        <v>1103</v>
      </c>
      <c r="Q1104">
        <v>352005</v>
      </c>
      <c r="S1104">
        <v>560286</v>
      </c>
    </row>
    <row r="1105" spans="16:19" x14ac:dyDescent="0.3">
      <c r="P1105">
        <v>1104</v>
      </c>
      <c r="Q1105">
        <v>466673</v>
      </c>
      <c r="S1105">
        <v>-152445</v>
      </c>
    </row>
    <row r="1106" spans="16:19" x14ac:dyDescent="0.3">
      <c r="P1106">
        <v>1105</v>
      </c>
      <c r="Q1106">
        <v>-241754</v>
      </c>
      <c r="S1106">
        <v>764457</v>
      </c>
    </row>
    <row r="1107" spans="16:19" x14ac:dyDescent="0.3">
      <c r="P1107">
        <v>1106</v>
      </c>
      <c r="Q1107">
        <v>441790</v>
      </c>
      <c r="S1107">
        <v>83247</v>
      </c>
    </row>
    <row r="1108" spans="16:19" x14ac:dyDescent="0.3">
      <c r="P1108">
        <v>1107</v>
      </c>
      <c r="Q1108">
        <v>-102334</v>
      </c>
      <c r="S1108">
        <v>-199084</v>
      </c>
    </row>
    <row r="1109" spans="16:19" x14ac:dyDescent="0.3">
      <c r="P1109">
        <v>1108</v>
      </c>
      <c r="Q1109">
        <v>329893</v>
      </c>
      <c r="S1109">
        <v>34623</v>
      </c>
    </row>
    <row r="1110" spans="16:19" x14ac:dyDescent="0.3">
      <c r="P1110">
        <v>1109</v>
      </c>
      <c r="Q1110">
        <v>-110966</v>
      </c>
      <c r="S1110">
        <v>124701</v>
      </c>
    </row>
    <row r="1111" spans="16:19" x14ac:dyDescent="0.3">
      <c r="P1111">
        <v>1110</v>
      </c>
      <c r="Q1111">
        <v>-510447</v>
      </c>
      <c r="S1111">
        <v>136303</v>
      </c>
    </row>
    <row r="1112" spans="16:19" x14ac:dyDescent="0.3">
      <c r="P1112">
        <v>1111</v>
      </c>
      <c r="Q1112">
        <v>-261355</v>
      </c>
      <c r="S1112">
        <v>-182079</v>
      </c>
    </row>
    <row r="1113" spans="16:19" x14ac:dyDescent="0.3">
      <c r="P1113">
        <v>1112</v>
      </c>
      <c r="Q1113">
        <v>195134</v>
      </c>
      <c r="S1113">
        <v>456545</v>
      </c>
    </row>
    <row r="1114" spans="16:19" x14ac:dyDescent="0.3">
      <c r="P1114">
        <v>1113</v>
      </c>
      <c r="Q1114">
        <v>-144394</v>
      </c>
      <c r="S1114">
        <v>45123</v>
      </c>
    </row>
    <row r="1115" spans="16:19" x14ac:dyDescent="0.3">
      <c r="P1115">
        <v>1114</v>
      </c>
      <c r="Q1115">
        <v>282778</v>
      </c>
      <c r="S1115">
        <v>-350868</v>
      </c>
    </row>
    <row r="1116" spans="16:19" x14ac:dyDescent="0.3">
      <c r="P1116">
        <v>1115</v>
      </c>
      <c r="Q1116">
        <v>-135963</v>
      </c>
      <c r="S1116">
        <v>-431543</v>
      </c>
    </row>
    <row r="1117" spans="16:19" x14ac:dyDescent="0.3">
      <c r="P1117">
        <v>1116</v>
      </c>
      <c r="Q1117">
        <v>-483763</v>
      </c>
      <c r="S1117">
        <v>41275</v>
      </c>
    </row>
    <row r="1118" spans="16:19" x14ac:dyDescent="0.3">
      <c r="P1118">
        <v>1117</v>
      </c>
      <c r="Q1118">
        <v>65428</v>
      </c>
      <c r="S1118">
        <v>-301255</v>
      </c>
    </row>
    <row r="1119" spans="16:19" x14ac:dyDescent="0.3">
      <c r="P1119">
        <v>1118</v>
      </c>
      <c r="Q1119">
        <v>-656886</v>
      </c>
      <c r="S1119">
        <v>-110308</v>
      </c>
    </row>
    <row r="1120" spans="16:19" x14ac:dyDescent="0.3">
      <c r="P1120">
        <v>1119</v>
      </c>
      <c r="Q1120">
        <v>476669</v>
      </c>
      <c r="S1120">
        <v>14587</v>
      </c>
    </row>
    <row r="1121" spans="16:19" x14ac:dyDescent="0.3">
      <c r="P1121">
        <v>1120</v>
      </c>
      <c r="Q1121">
        <v>-620643</v>
      </c>
      <c r="S1121">
        <v>131783</v>
      </c>
    </row>
    <row r="1122" spans="16:19" x14ac:dyDescent="0.3">
      <c r="P1122">
        <v>1121</v>
      </c>
      <c r="Q1122">
        <v>464231</v>
      </c>
      <c r="S1122">
        <v>798502</v>
      </c>
    </row>
    <row r="1123" spans="16:19" x14ac:dyDescent="0.3">
      <c r="P1123">
        <v>1122</v>
      </c>
      <c r="Q1123">
        <v>555301</v>
      </c>
      <c r="S1123">
        <v>-142334</v>
      </c>
    </row>
    <row r="1124" spans="16:19" x14ac:dyDescent="0.3">
      <c r="P1124">
        <v>1123</v>
      </c>
      <c r="Q1124">
        <v>-521010</v>
      </c>
      <c r="S1124">
        <v>169251</v>
      </c>
    </row>
    <row r="1125" spans="16:19" x14ac:dyDescent="0.3">
      <c r="P1125">
        <v>1124</v>
      </c>
      <c r="Q1125">
        <v>858905</v>
      </c>
      <c r="S1125">
        <v>-180088</v>
      </c>
    </row>
    <row r="1126" spans="16:19" x14ac:dyDescent="0.3">
      <c r="P1126">
        <v>1125</v>
      </c>
      <c r="Q1126">
        <v>27119</v>
      </c>
      <c r="S1126">
        <v>-53069</v>
      </c>
    </row>
    <row r="1127" spans="16:19" x14ac:dyDescent="0.3">
      <c r="P1127">
        <v>1126</v>
      </c>
      <c r="Q1127">
        <v>278769</v>
      </c>
      <c r="S1127">
        <v>327759</v>
      </c>
    </row>
    <row r="1128" spans="16:19" x14ac:dyDescent="0.3">
      <c r="P1128">
        <v>1127</v>
      </c>
      <c r="Q1128">
        <v>-111079</v>
      </c>
      <c r="S1128">
        <v>103784</v>
      </c>
    </row>
    <row r="1129" spans="16:19" x14ac:dyDescent="0.3">
      <c r="P1129">
        <v>1128</v>
      </c>
      <c r="Q1129">
        <v>256182</v>
      </c>
      <c r="S1129">
        <v>-530284</v>
      </c>
    </row>
    <row r="1130" spans="16:19" x14ac:dyDescent="0.3">
      <c r="P1130">
        <v>1129</v>
      </c>
      <c r="Q1130">
        <v>743865</v>
      </c>
      <c r="S1130">
        <v>-188224</v>
      </c>
    </row>
    <row r="1131" spans="16:19" x14ac:dyDescent="0.3">
      <c r="P1131">
        <v>1130</v>
      </c>
      <c r="Q1131">
        <v>-246597</v>
      </c>
      <c r="S1131">
        <v>249150</v>
      </c>
    </row>
    <row r="1132" spans="16:19" x14ac:dyDescent="0.3">
      <c r="P1132">
        <v>1131</v>
      </c>
      <c r="Q1132">
        <v>13357</v>
      </c>
      <c r="S1132">
        <v>144575</v>
      </c>
    </row>
    <row r="1133" spans="16:19" x14ac:dyDescent="0.3">
      <c r="P1133">
        <v>1132</v>
      </c>
      <c r="Q1133">
        <v>284714</v>
      </c>
      <c r="S1133">
        <v>-541869</v>
      </c>
    </row>
    <row r="1134" spans="16:19" x14ac:dyDescent="0.3">
      <c r="P1134">
        <v>1133</v>
      </c>
      <c r="Q1134">
        <v>-261804</v>
      </c>
      <c r="S1134">
        <v>-518528</v>
      </c>
    </row>
    <row r="1135" spans="16:19" x14ac:dyDescent="0.3">
      <c r="P1135">
        <v>1134</v>
      </c>
      <c r="Q1135">
        <v>-55886</v>
      </c>
      <c r="S1135">
        <v>157685</v>
      </c>
    </row>
    <row r="1136" spans="16:19" x14ac:dyDescent="0.3">
      <c r="P1136">
        <v>1135</v>
      </c>
      <c r="Q1136">
        <v>-340659</v>
      </c>
      <c r="S1136">
        <v>215133</v>
      </c>
    </row>
    <row r="1137" spans="16:19" x14ac:dyDescent="0.3">
      <c r="P1137">
        <v>1136</v>
      </c>
      <c r="Q1137">
        <v>488046</v>
      </c>
      <c r="S1137">
        <v>700339</v>
      </c>
    </row>
    <row r="1138" spans="16:19" x14ac:dyDescent="0.3">
      <c r="P1138">
        <v>1137</v>
      </c>
      <c r="Q1138">
        <v>354375</v>
      </c>
      <c r="S1138">
        <v>468394</v>
      </c>
    </row>
    <row r="1139" spans="16:19" x14ac:dyDescent="0.3">
      <c r="P1139">
        <v>1138</v>
      </c>
      <c r="Q1139">
        <v>-317831</v>
      </c>
      <c r="S1139">
        <v>-470016</v>
      </c>
    </row>
    <row r="1140" spans="16:19" x14ac:dyDescent="0.3">
      <c r="P1140">
        <v>1139</v>
      </c>
      <c r="Q1140">
        <v>-332572</v>
      </c>
      <c r="S1140">
        <v>356837</v>
      </c>
    </row>
    <row r="1141" spans="16:19" x14ac:dyDescent="0.3">
      <c r="P1141">
        <v>1140</v>
      </c>
      <c r="Q1141">
        <v>72195</v>
      </c>
      <c r="S1141">
        <v>393702</v>
      </c>
    </row>
    <row r="1142" spans="16:19" x14ac:dyDescent="0.3">
      <c r="P1142">
        <v>1141</v>
      </c>
      <c r="Q1142">
        <v>794669</v>
      </c>
      <c r="S1142">
        <v>794352</v>
      </c>
    </row>
    <row r="1143" spans="16:19" x14ac:dyDescent="0.3">
      <c r="P1143">
        <v>1142</v>
      </c>
      <c r="Q1143">
        <v>-42039</v>
      </c>
      <c r="S1143">
        <v>599511</v>
      </c>
    </row>
    <row r="1144" spans="16:19" x14ac:dyDescent="0.3">
      <c r="P1144">
        <v>1143</v>
      </c>
      <c r="Q1144">
        <v>-378279</v>
      </c>
      <c r="S1144">
        <v>-84970</v>
      </c>
    </row>
    <row r="1145" spans="16:19" x14ac:dyDescent="0.3">
      <c r="P1145">
        <v>1144</v>
      </c>
      <c r="Q1145">
        <v>-77111</v>
      </c>
      <c r="S1145">
        <v>-426031</v>
      </c>
    </row>
    <row r="1146" spans="16:19" x14ac:dyDescent="0.3">
      <c r="P1146">
        <v>1145</v>
      </c>
      <c r="Q1146">
        <v>-28554</v>
      </c>
      <c r="S1146">
        <v>792994</v>
      </c>
    </row>
    <row r="1147" spans="16:19" x14ac:dyDescent="0.3">
      <c r="P1147">
        <v>1146</v>
      </c>
      <c r="Q1147">
        <v>-351150</v>
      </c>
      <c r="S1147">
        <v>121542</v>
      </c>
    </row>
    <row r="1148" spans="16:19" x14ac:dyDescent="0.3">
      <c r="P1148">
        <v>1147</v>
      </c>
      <c r="Q1148">
        <v>-523259</v>
      </c>
      <c r="S1148">
        <v>183898</v>
      </c>
    </row>
    <row r="1149" spans="16:19" x14ac:dyDescent="0.3">
      <c r="P1149">
        <v>1148</v>
      </c>
      <c r="Q1149">
        <v>33452</v>
      </c>
      <c r="S1149">
        <v>657386</v>
      </c>
    </row>
    <row r="1150" spans="16:19" x14ac:dyDescent="0.3">
      <c r="P1150">
        <v>1149</v>
      </c>
      <c r="Q1150">
        <v>-536795</v>
      </c>
      <c r="S1150">
        <v>584749</v>
      </c>
    </row>
    <row r="1151" spans="16:19" x14ac:dyDescent="0.3">
      <c r="P1151">
        <v>1150</v>
      </c>
      <c r="Q1151">
        <v>65473</v>
      </c>
      <c r="S1151">
        <v>-369235</v>
      </c>
    </row>
    <row r="1152" spans="16:19" x14ac:dyDescent="0.3">
      <c r="P1152">
        <v>1151</v>
      </c>
      <c r="Q1152">
        <v>30348</v>
      </c>
      <c r="S1152">
        <v>126014</v>
      </c>
    </row>
    <row r="1153" spans="16:19" x14ac:dyDescent="0.3">
      <c r="P1153">
        <v>1152</v>
      </c>
      <c r="Q1153">
        <v>-149316</v>
      </c>
      <c r="S1153">
        <v>-391129</v>
      </c>
    </row>
    <row r="1154" spans="16:19" x14ac:dyDescent="0.3">
      <c r="P1154">
        <v>1153</v>
      </c>
      <c r="Q1154">
        <v>715132</v>
      </c>
      <c r="S1154">
        <v>166471</v>
      </c>
    </row>
    <row r="1155" spans="16:19" x14ac:dyDescent="0.3">
      <c r="P1155">
        <v>1154</v>
      </c>
      <c r="Q1155">
        <v>-495365</v>
      </c>
      <c r="S1155">
        <v>-468527</v>
      </c>
    </row>
    <row r="1156" spans="16:19" x14ac:dyDescent="0.3">
      <c r="P1156">
        <v>1155</v>
      </c>
      <c r="Q1156">
        <v>834643</v>
      </c>
      <c r="S1156">
        <v>671837</v>
      </c>
    </row>
    <row r="1157" spans="16:19" x14ac:dyDescent="0.3">
      <c r="P1157">
        <v>1156</v>
      </c>
      <c r="Q1157">
        <v>-850919</v>
      </c>
      <c r="S1157">
        <v>-640450</v>
      </c>
    </row>
    <row r="1158" spans="16:19" x14ac:dyDescent="0.3">
      <c r="P1158">
        <v>1157</v>
      </c>
      <c r="Q1158">
        <v>-197353</v>
      </c>
      <c r="S1158">
        <v>185421</v>
      </c>
    </row>
    <row r="1159" spans="16:19" x14ac:dyDescent="0.3">
      <c r="P1159">
        <v>1158</v>
      </c>
      <c r="Q1159">
        <v>747853</v>
      </c>
      <c r="S1159">
        <v>-302034</v>
      </c>
    </row>
    <row r="1160" spans="16:19" x14ac:dyDescent="0.3">
      <c r="P1160">
        <v>1159</v>
      </c>
      <c r="Q1160">
        <v>289061</v>
      </c>
      <c r="S1160">
        <v>-153011</v>
      </c>
    </row>
    <row r="1161" spans="16:19" x14ac:dyDescent="0.3">
      <c r="P1161">
        <v>1160</v>
      </c>
      <c r="Q1161">
        <v>851344</v>
      </c>
      <c r="S1161">
        <v>-230977</v>
      </c>
    </row>
    <row r="1162" spans="16:19" x14ac:dyDescent="0.3">
      <c r="P1162">
        <v>1161</v>
      </c>
      <c r="Q1162">
        <v>444706</v>
      </c>
      <c r="S1162">
        <v>-74235</v>
      </c>
    </row>
    <row r="1163" spans="16:19" x14ac:dyDescent="0.3">
      <c r="P1163">
        <v>1162</v>
      </c>
      <c r="Q1163">
        <v>-522954</v>
      </c>
      <c r="S1163">
        <v>40073</v>
      </c>
    </row>
    <row r="1164" spans="16:19" x14ac:dyDescent="0.3">
      <c r="P1164">
        <v>1163</v>
      </c>
      <c r="Q1164">
        <v>-389554</v>
      </c>
      <c r="S1164">
        <v>-83435</v>
      </c>
    </row>
    <row r="1165" spans="16:19" x14ac:dyDescent="0.3">
      <c r="P1165">
        <v>1164</v>
      </c>
      <c r="Q1165">
        <v>-506223</v>
      </c>
      <c r="S1165">
        <v>-772268</v>
      </c>
    </row>
    <row r="1166" spans="16:19" x14ac:dyDescent="0.3">
      <c r="P1166">
        <v>1165</v>
      </c>
      <c r="Q1166">
        <v>-662711</v>
      </c>
      <c r="S1166">
        <v>885429</v>
      </c>
    </row>
    <row r="1167" spans="16:19" x14ac:dyDescent="0.3">
      <c r="P1167">
        <v>1166</v>
      </c>
      <c r="Q1167">
        <v>39072</v>
      </c>
      <c r="S1167">
        <v>-326546</v>
      </c>
    </row>
    <row r="1168" spans="16:19" x14ac:dyDescent="0.3">
      <c r="P1168">
        <v>1167</v>
      </c>
      <c r="Q1168">
        <v>-477766</v>
      </c>
      <c r="S1168">
        <v>-289549</v>
      </c>
    </row>
    <row r="1169" spans="16:19" x14ac:dyDescent="0.3">
      <c r="P1169">
        <v>1168</v>
      </c>
      <c r="Q1169">
        <v>-615832</v>
      </c>
      <c r="S1169">
        <v>154909</v>
      </c>
    </row>
    <row r="1170" spans="16:19" x14ac:dyDescent="0.3">
      <c r="P1170">
        <v>1169</v>
      </c>
      <c r="Q1170">
        <v>-94521</v>
      </c>
      <c r="S1170">
        <v>-58149</v>
      </c>
    </row>
    <row r="1171" spans="16:19" x14ac:dyDescent="0.3">
      <c r="P1171">
        <v>1170</v>
      </c>
      <c r="Q1171">
        <v>149966</v>
      </c>
      <c r="S1171">
        <v>-142393</v>
      </c>
    </row>
    <row r="1172" spans="16:19" x14ac:dyDescent="0.3">
      <c r="P1172">
        <v>1171</v>
      </c>
      <c r="Q1172">
        <v>-57805</v>
      </c>
      <c r="S1172">
        <v>-736208</v>
      </c>
    </row>
    <row r="1173" spans="16:19" x14ac:dyDescent="0.3">
      <c r="P1173">
        <v>1172</v>
      </c>
      <c r="Q1173">
        <v>486703</v>
      </c>
      <c r="S1173">
        <v>-6867</v>
      </c>
    </row>
    <row r="1174" spans="16:19" x14ac:dyDescent="0.3">
      <c r="P1174">
        <v>1173</v>
      </c>
      <c r="Q1174">
        <v>331928</v>
      </c>
      <c r="S1174">
        <v>-703888</v>
      </c>
    </row>
    <row r="1175" spans="16:19" x14ac:dyDescent="0.3">
      <c r="P1175">
        <v>1174</v>
      </c>
      <c r="Q1175">
        <v>93776</v>
      </c>
      <c r="S1175">
        <v>-93309</v>
      </c>
    </row>
    <row r="1176" spans="16:19" x14ac:dyDescent="0.3">
      <c r="P1176">
        <v>1175</v>
      </c>
      <c r="Q1176">
        <v>-169488</v>
      </c>
      <c r="S1176">
        <v>396488</v>
      </c>
    </row>
    <row r="1177" spans="16:19" x14ac:dyDescent="0.3">
      <c r="P1177">
        <v>1176</v>
      </c>
      <c r="Q1177">
        <v>-152795</v>
      </c>
      <c r="S1177">
        <v>270003</v>
      </c>
    </row>
    <row r="1178" spans="16:19" x14ac:dyDescent="0.3">
      <c r="P1178">
        <v>1177</v>
      </c>
      <c r="Q1178">
        <v>-267187</v>
      </c>
      <c r="S1178">
        <v>-119749</v>
      </c>
    </row>
    <row r="1179" spans="16:19" x14ac:dyDescent="0.3">
      <c r="P1179">
        <v>1178</v>
      </c>
      <c r="Q1179">
        <v>-78679</v>
      </c>
      <c r="S1179">
        <v>-682066</v>
      </c>
    </row>
    <row r="1180" spans="16:19" x14ac:dyDescent="0.3">
      <c r="P1180">
        <v>1179</v>
      </c>
      <c r="Q1180">
        <v>-433477</v>
      </c>
      <c r="S1180">
        <v>-291344</v>
      </c>
    </row>
    <row r="1181" spans="16:19" x14ac:dyDescent="0.3">
      <c r="P1181">
        <v>1180</v>
      </c>
      <c r="Q1181">
        <v>-533446</v>
      </c>
      <c r="S1181">
        <v>-112698</v>
      </c>
    </row>
    <row r="1182" spans="16:19" x14ac:dyDescent="0.3">
      <c r="P1182">
        <v>1181</v>
      </c>
      <c r="Q1182">
        <v>901607</v>
      </c>
      <c r="S1182">
        <v>398822</v>
      </c>
    </row>
    <row r="1183" spans="16:19" x14ac:dyDescent="0.3">
      <c r="P1183">
        <v>1182</v>
      </c>
      <c r="Q1183">
        <v>103497</v>
      </c>
      <c r="S1183">
        <v>308638</v>
      </c>
    </row>
    <row r="1184" spans="16:19" x14ac:dyDescent="0.3">
      <c r="P1184">
        <v>1183</v>
      </c>
      <c r="Q1184">
        <v>66271</v>
      </c>
      <c r="S1184">
        <v>-666184</v>
      </c>
    </row>
    <row r="1185" spans="16:19" x14ac:dyDescent="0.3">
      <c r="P1185">
        <v>1184</v>
      </c>
      <c r="Q1185">
        <v>-154758</v>
      </c>
      <c r="S1185">
        <v>-354076</v>
      </c>
    </row>
    <row r="1186" spans="16:19" x14ac:dyDescent="0.3">
      <c r="P1186">
        <v>1185</v>
      </c>
      <c r="Q1186">
        <v>-483632</v>
      </c>
      <c r="S1186">
        <v>222761</v>
      </c>
    </row>
    <row r="1187" spans="16:19" x14ac:dyDescent="0.3">
      <c r="P1187">
        <v>1186</v>
      </c>
      <c r="Q1187">
        <v>-532066</v>
      </c>
      <c r="S1187">
        <v>452708</v>
      </c>
    </row>
    <row r="1188" spans="16:19" x14ac:dyDescent="0.3">
      <c r="P1188">
        <v>1187</v>
      </c>
      <c r="Q1188">
        <v>-200435</v>
      </c>
      <c r="S1188">
        <v>-573318</v>
      </c>
    </row>
    <row r="1189" spans="16:19" x14ac:dyDescent="0.3">
      <c r="P1189">
        <v>1188</v>
      </c>
      <c r="Q1189">
        <v>661092</v>
      </c>
      <c r="S1189">
        <v>221772</v>
      </c>
    </row>
    <row r="1190" spans="16:19" x14ac:dyDescent="0.3">
      <c r="P1190">
        <v>1189</v>
      </c>
      <c r="Q1190">
        <v>-190136</v>
      </c>
      <c r="S1190">
        <v>-316906</v>
      </c>
    </row>
    <row r="1191" spans="16:19" x14ac:dyDescent="0.3">
      <c r="P1191">
        <v>1190</v>
      </c>
      <c r="Q1191">
        <v>28451</v>
      </c>
      <c r="S1191">
        <v>679909</v>
      </c>
    </row>
    <row r="1192" spans="16:19" x14ac:dyDescent="0.3">
      <c r="P1192">
        <v>1191</v>
      </c>
      <c r="Q1192">
        <v>403081</v>
      </c>
      <c r="S1192">
        <v>138214</v>
      </c>
    </row>
    <row r="1193" spans="16:19" x14ac:dyDescent="0.3">
      <c r="P1193">
        <v>1192</v>
      </c>
      <c r="Q1193">
        <v>241533</v>
      </c>
      <c r="S1193">
        <v>692310</v>
      </c>
    </row>
    <row r="1194" spans="16:19" x14ac:dyDescent="0.3">
      <c r="P1194">
        <v>1193</v>
      </c>
      <c r="Q1194">
        <v>828354</v>
      </c>
      <c r="S1194">
        <v>-588027</v>
      </c>
    </row>
    <row r="1195" spans="16:19" x14ac:dyDescent="0.3">
      <c r="P1195">
        <v>1194</v>
      </c>
      <c r="Q1195">
        <v>370959</v>
      </c>
      <c r="S1195">
        <v>373665</v>
      </c>
    </row>
    <row r="1196" spans="16:19" x14ac:dyDescent="0.3">
      <c r="P1196">
        <v>1195</v>
      </c>
      <c r="Q1196">
        <v>634364</v>
      </c>
      <c r="S1196">
        <v>-114219</v>
      </c>
    </row>
    <row r="1197" spans="16:19" x14ac:dyDescent="0.3">
      <c r="P1197">
        <v>1196</v>
      </c>
      <c r="Q1197">
        <v>-717795</v>
      </c>
      <c r="S1197">
        <v>-532906</v>
      </c>
    </row>
    <row r="1198" spans="16:19" x14ac:dyDescent="0.3">
      <c r="P1198">
        <v>1197</v>
      </c>
      <c r="Q1198">
        <v>606770</v>
      </c>
      <c r="S1198">
        <v>-350820</v>
      </c>
    </row>
    <row r="1199" spans="16:19" x14ac:dyDescent="0.3">
      <c r="P1199">
        <v>1198</v>
      </c>
      <c r="Q1199">
        <v>-277330</v>
      </c>
      <c r="S1199">
        <v>397441</v>
      </c>
    </row>
    <row r="1200" spans="16:19" x14ac:dyDescent="0.3">
      <c r="P1200">
        <v>1199</v>
      </c>
      <c r="Q1200">
        <v>310933</v>
      </c>
      <c r="S1200">
        <v>-300773</v>
      </c>
    </row>
    <row r="1201" spans="16:19" x14ac:dyDescent="0.3">
      <c r="P1201">
        <v>1200</v>
      </c>
      <c r="Q1201">
        <v>532423</v>
      </c>
      <c r="S1201">
        <v>210063</v>
      </c>
    </row>
    <row r="1202" spans="16:19" x14ac:dyDescent="0.3">
      <c r="P1202">
        <v>1201</v>
      </c>
      <c r="Q1202">
        <v>-787597</v>
      </c>
      <c r="S1202">
        <v>652896</v>
      </c>
    </row>
    <row r="1203" spans="16:19" x14ac:dyDescent="0.3">
      <c r="P1203">
        <v>1202</v>
      </c>
      <c r="Q1203">
        <v>-71684</v>
      </c>
      <c r="S1203">
        <v>156379</v>
      </c>
    </row>
    <row r="1204" spans="16:19" x14ac:dyDescent="0.3">
      <c r="P1204">
        <v>1203</v>
      </c>
      <c r="Q1204">
        <v>-264464</v>
      </c>
      <c r="S1204">
        <v>-353227</v>
      </c>
    </row>
    <row r="1205" spans="16:19" x14ac:dyDescent="0.3">
      <c r="P1205">
        <v>1204</v>
      </c>
      <c r="Q1205">
        <v>-223352</v>
      </c>
      <c r="S1205">
        <v>205176</v>
      </c>
    </row>
    <row r="1206" spans="16:19" x14ac:dyDescent="0.3">
      <c r="P1206">
        <v>1205</v>
      </c>
      <c r="Q1206">
        <v>683765</v>
      </c>
      <c r="S1206">
        <v>-284329</v>
      </c>
    </row>
    <row r="1207" spans="16:19" x14ac:dyDescent="0.3">
      <c r="P1207">
        <v>1206</v>
      </c>
      <c r="Q1207">
        <v>38017</v>
      </c>
      <c r="S1207">
        <v>-231378</v>
      </c>
    </row>
    <row r="1208" spans="16:19" x14ac:dyDescent="0.3">
      <c r="P1208">
        <v>1207</v>
      </c>
      <c r="Q1208">
        <v>-31905</v>
      </c>
      <c r="S1208">
        <v>-407438</v>
      </c>
    </row>
    <row r="1209" spans="16:19" x14ac:dyDescent="0.3">
      <c r="P1209">
        <v>1208</v>
      </c>
      <c r="Q1209">
        <v>109859</v>
      </c>
      <c r="S1209">
        <v>-276296</v>
      </c>
    </row>
    <row r="1210" spans="16:19" x14ac:dyDescent="0.3">
      <c r="P1210">
        <v>1209</v>
      </c>
      <c r="Q1210">
        <v>119475</v>
      </c>
      <c r="S1210">
        <v>175623</v>
      </c>
    </row>
    <row r="1211" spans="16:19" x14ac:dyDescent="0.3">
      <c r="P1211">
        <v>1210</v>
      </c>
      <c r="Q1211">
        <v>-402916</v>
      </c>
      <c r="S1211">
        <v>35367</v>
      </c>
    </row>
    <row r="1212" spans="16:19" x14ac:dyDescent="0.3">
      <c r="P1212">
        <v>1211</v>
      </c>
      <c r="Q1212">
        <v>415288</v>
      </c>
      <c r="S1212">
        <v>-334761</v>
      </c>
    </row>
    <row r="1213" spans="16:19" x14ac:dyDescent="0.3">
      <c r="P1213">
        <v>1212</v>
      </c>
      <c r="Q1213">
        <v>-150821</v>
      </c>
      <c r="S1213">
        <v>-18416</v>
      </c>
    </row>
    <row r="1214" spans="16:19" x14ac:dyDescent="0.3">
      <c r="P1214">
        <v>1213</v>
      </c>
      <c r="Q1214">
        <v>-858269</v>
      </c>
      <c r="S1214">
        <v>99065</v>
      </c>
    </row>
    <row r="1215" spans="16:19" x14ac:dyDescent="0.3">
      <c r="P1215">
        <v>1214</v>
      </c>
      <c r="Q1215">
        <v>359014</v>
      </c>
      <c r="S1215">
        <v>-334204</v>
      </c>
    </row>
    <row r="1216" spans="16:19" x14ac:dyDescent="0.3">
      <c r="P1216">
        <v>1215</v>
      </c>
      <c r="Q1216">
        <v>190450</v>
      </c>
      <c r="S1216">
        <v>-21817</v>
      </c>
    </row>
    <row r="1217" spans="16:19" x14ac:dyDescent="0.3">
      <c r="P1217">
        <v>1216</v>
      </c>
      <c r="Q1217">
        <v>501419</v>
      </c>
      <c r="S1217">
        <v>24988</v>
      </c>
    </row>
    <row r="1218" spans="16:19" x14ac:dyDescent="0.3">
      <c r="P1218">
        <v>1217</v>
      </c>
      <c r="Q1218">
        <v>-860123</v>
      </c>
      <c r="S1218">
        <v>-341708</v>
      </c>
    </row>
    <row r="1219" spans="16:19" x14ac:dyDescent="0.3">
      <c r="P1219">
        <v>1218</v>
      </c>
      <c r="Q1219">
        <v>90764</v>
      </c>
      <c r="S1219">
        <v>23712</v>
      </c>
    </row>
    <row r="1220" spans="16:19" x14ac:dyDescent="0.3">
      <c r="P1220">
        <v>1219</v>
      </c>
      <c r="Q1220">
        <v>240312</v>
      </c>
      <c r="S1220">
        <v>76828</v>
      </c>
    </row>
    <row r="1221" spans="16:19" x14ac:dyDescent="0.3">
      <c r="P1221">
        <v>1220</v>
      </c>
      <c r="Q1221">
        <v>-800252</v>
      </c>
      <c r="S1221">
        <v>-646650</v>
      </c>
    </row>
    <row r="1222" spans="16:19" x14ac:dyDescent="0.3">
      <c r="P1222">
        <v>1221</v>
      </c>
      <c r="Q1222">
        <v>-526973</v>
      </c>
      <c r="S1222">
        <v>-562407</v>
      </c>
    </row>
    <row r="1223" spans="16:19" x14ac:dyDescent="0.3">
      <c r="P1223">
        <v>1222</v>
      </c>
      <c r="Q1223">
        <v>-410984</v>
      </c>
      <c r="S1223">
        <v>-793763</v>
      </c>
    </row>
    <row r="1224" spans="16:19" x14ac:dyDescent="0.3">
      <c r="P1224">
        <v>1223</v>
      </c>
      <c r="Q1224">
        <v>-57105</v>
      </c>
      <c r="S1224">
        <v>1033059</v>
      </c>
    </row>
    <row r="1225" spans="16:19" x14ac:dyDescent="0.3">
      <c r="P1225">
        <v>1224</v>
      </c>
      <c r="Q1225">
        <v>715873</v>
      </c>
      <c r="S1225">
        <v>-407564</v>
      </c>
    </row>
    <row r="1226" spans="16:19" x14ac:dyDescent="0.3">
      <c r="P1226">
        <v>1225</v>
      </c>
      <c r="Q1226">
        <v>265864</v>
      </c>
      <c r="S1226">
        <v>250862</v>
      </c>
    </row>
    <row r="1227" spans="16:19" x14ac:dyDescent="0.3">
      <c r="P1227">
        <v>1226</v>
      </c>
      <c r="Q1227">
        <v>-192831</v>
      </c>
      <c r="S1227">
        <v>323960</v>
      </c>
    </row>
    <row r="1228" spans="16:19" x14ac:dyDescent="0.3">
      <c r="P1228">
        <v>1227</v>
      </c>
      <c r="Q1228">
        <v>652809</v>
      </c>
      <c r="S1228">
        <v>-344387</v>
      </c>
    </row>
    <row r="1229" spans="16:19" x14ac:dyDescent="0.3">
      <c r="P1229">
        <v>1228</v>
      </c>
      <c r="Q1229">
        <v>-217331</v>
      </c>
      <c r="S1229">
        <v>609161</v>
      </c>
    </row>
    <row r="1230" spans="16:19" x14ac:dyDescent="0.3">
      <c r="P1230">
        <v>1229</v>
      </c>
      <c r="Q1230">
        <v>-237935</v>
      </c>
      <c r="S1230">
        <v>758798</v>
      </c>
    </row>
    <row r="1231" spans="16:19" x14ac:dyDescent="0.3">
      <c r="P1231">
        <v>1230</v>
      </c>
      <c r="Q1231">
        <v>264329</v>
      </c>
      <c r="S1231">
        <v>796529</v>
      </c>
    </row>
    <row r="1232" spans="16:19" x14ac:dyDescent="0.3">
      <c r="P1232">
        <v>1231</v>
      </c>
      <c r="Q1232">
        <v>-579806</v>
      </c>
      <c r="S1232">
        <v>-347780</v>
      </c>
    </row>
    <row r="1233" spans="16:19" x14ac:dyDescent="0.3">
      <c r="P1233">
        <v>1232</v>
      </c>
      <c r="Q1233">
        <v>-250437</v>
      </c>
      <c r="S1233">
        <v>-757234</v>
      </c>
    </row>
    <row r="1234" spans="16:19" x14ac:dyDescent="0.3">
      <c r="P1234">
        <v>1233</v>
      </c>
      <c r="Q1234">
        <v>-655467</v>
      </c>
      <c r="S1234">
        <v>-454373</v>
      </c>
    </row>
    <row r="1235" spans="16:19" x14ac:dyDescent="0.3">
      <c r="P1235">
        <v>1234</v>
      </c>
      <c r="Q1235">
        <v>-129618</v>
      </c>
      <c r="S1235">
        <v>466002</v>
      </c>
    </row>
    <row r="1236" spans="16:19" x14ac:dyDescent="0.3">
      <c r="P1236">
        <v>1235</v>
      </c>
      <c r="Q1236">
        <v>-491190</v>
      </c>
      <c r="S1236">
        <v>-259112</v>
      </c>
    </row>
    <row r="1237" spans="16:19" x14ac:dyDescent="0.3">
      <c r="P1237">
        <v>1236</v>
      </c>
      <c r="Q1237">
        <v>-21539</v>
      </c>
      <c r="S1237">
        <v>648190</v>
      </c>
    </row>
    <row r="1238" spans="16:19" x14ac:dyDescent="0.3">
      <c r="P1238">
        <v>1237</v>
      </c>
      <c r="Q1238">
        <v>95308</v>
      </c>
      <c r="S1238">
        <v>654903</v>
      </c>
    </row>
    <row r="1239" spans="16:19" x14ac:dyDescent="0.3">
      <c r="P1239">
        <v>1238</v>
      </c>
      <c r="Q1239">
        <v>253607</v>
      </c>
      <c r="S1239">
        <v>-113372</v>
      </c>
    </row>
    <row r="1240" spans="16:19" x14ac:dyDescent="0.3">
      <c r="P1240">
        <v>1239</v>
      </c>
      <c r="Q1240">
        <v>37878</v>
      </c>
      <c r="S1240">
        <v>-318944</v>
      </c>
    </row>
    <row r="1241" spans="16:19" x14ac:dyDescent="0.3">
      <c r="P1241">
        <v>1240</v>
      </c>
      <c r="Q1241">
        <v>972303</v>
      </c>
      <c r="S1241">
        <v>3597</v>
      </c>
    </row>
    <row r="1242" spans="16:19" x14ac:dyDescent="0.3">
      <c r="P1242">
        <v>1241</v>
      </c>
      <c r="Q1242">
        <v>-165473</v>
      </c>
      <c r="S1242">
        <v>824100</v>
      </c>
    </row>
    <row r="1243" spans="16:19" x14ac:dyDescent="0.3">
      <c r="P1243">
        <v>1242</v>
      </c>
      <c r="Q1243">
        <v>-92310</v>
      </c>
      <c r="S1243">
        <v>-304367</v>
      </c>
    </row>
    <row r="1244" spans="16:19" x14ac:dyDescent="0.3">
      <c r="P1244">
        <v>1243</v>
      </c>
      <c r="Q1244">
        <v>322047</v>
      </c>
      <c r="S1244">
        <v>-272884</v>
      </c>
    </row>
    <row r="1245" spans="16:19" x14ac:dyDescent="0.3">
      <c r="P1245">
        <v>1244</v>
      </c>
      <c r="Q1245">
        <v>-462272</v>
      </c>
      <c r="S1245">
        <v>264286</v>
      </c>
    </row>
    <row r="1246" spans="16:19" x14ac:dyDescent="0.3">
      <c r="P1246">
        <v>1245</v>
      </c>
      <c r="Q1246">
        <v>-73177</v>
      </c>
      <c r="S1246">
        <v>-25019</v>
      </c>
    </row>
    <row r="1247" spans="16:19" x14ac:dyDescent="0.3">
      <c r="P1247">
        <v>1246</v>
      </c>
      <c r="Q1247">
        <v>913819</v>
      </c>
      <c r="S1247">
        <v>-310738</v>
      </c>
    </row>
    <row r="1248" spans="16:19" x14ac:dyDescent="0.3">
      <c r="P1248">
        <v>1247</v>
      </c>
      <c r="Q1248">
        <v>-66466</v>
      </c>
      <c r="S1248">
        <v>-554628</v>
      </c>
    </row>
    <row r="1249" spans="16:19" x14ac:dyDescent="0.3">
      <c r="P1249">
        <v>1248</v>
      </c>
      <c r="Q1249">
        <v>-470270</v>
      </c>
      <c r="S1249">
        <v>22371</v>
      </c>
    </row>
    <row r="1250" spans="16:19" x14ac:dyDescent="0.3">
      <c r="P1250">
        <v>1249</v>
      </c>
      <c r="Q1250">
        <v>-468460</v>
      </c>
      <c r="S1250">
        <v>-480952</v>
      </c>
    </row>
    <row r="1251" spans="16:19" x14ac:dyDescent="0.3">
      <c r="P1251">
        <v>1250</v>
      </c>
      <c r="Q1251">
        <v>-570972</v>
      </c>
      <c r="S1251">
        <v>-246106</v>
      </c>
    </row>
    <row r="1252" spans="16:19" x14ac:dyDescent="0.3">
      <c r="P1252">
        <v>1251</v>
      </c>
      <c r="Q1252">
        <v>77290</v>
      </c>
      <c r="S1252">
        <v>246096</v>
      </c>
    </row>
    <row r="1253" spans="16:19" x14ac:dyDescent="0.3">
      <c r="P1253">
        <v>1252</v>
      </c>
      <c r="Q1253">
        <v>-557497</v>
      </c>
      <c r="S1253">
        <v>425582</v>
      </c>
    </row>
    <row r="1254" spans="16:19" x14ac:dyDescent="0.3">
      <c r="P1254">
        <v>1253</v>
      </c>
      <c r="Q1254">
        <v>-464501</v>
      </c>
      <c r="S1254">
        <v>-17807</v>
      </c>
    </row>
    <row r="1255" spans="16:19" x14ac:dyDescent="0.3">
      <c r="P1255">
        <v>1254</v>
      </c>
      <c r="Q1255">
        <v>-297169</v>
      </c>
      <c r="S1255">
        <v>-634867</v>
      </c>
    </row>
    <row r="1256" spans="16:19" x14ac:dyDescent="0.3">
      <c r="P1256">
        <v>1255</v>
      </c>
      <c r="Q1256">
        <v>-41955</v>
      </c>
      <c r="S1256">
        <v>-277299</v>
      </c>
    </row>
    <row r="1257" spans="16:19" x14ac:dyDescent="0.3">
      <c r="P1257">
        <v>1256</v>
      </c>
      <c r="Q1257">
        <v>715722</v>
      </c>
      <c r="S1257">
        <v>-362788</v>
      </c>
    </row>
    <row r="1258" spans="16:19" x14ac:dyDescent="0.3">
      <c r="P1258">
        <v>1257</v>
      </c>
      <c r="Q1258">
        <v>160232</v>
      </c>
      <c r="S1258">
        <v>394519</v>
      </c>
    </row>
    <row r="1259" spans="16:19" x14ac:dyDescent="0.3">
      <c r="P1259">
        <v>1258</v>
      </c>
      <c r="Q1259">
        <v>450178</v>
      </c>
      <c r="S1259">
        <v>884291</v>
      </c>
    </row>
    <row r="1260" spans="16:19" x14ac:dyDescent="0.3">
      <c r="P1260">
        <v>1259</v>
      </c>
      <c r="Q1260">
        <v>-723885</v>
      </c>
      <c r="S1260">
        <v>42187</v>
      </c>
    </row>
    <row r="1261" spans="16:19" x14ac:dyDescent="0.3">
      <c r="P1261">
        <v>1260</v>
      </c>
      <c r="Q1261">
        <v>-381465</v>
      </c>
      <c r="S1261">
        <v>155977</v>
      </c>
    </row>
    <row r="1262" spans="16:19" x14ac:dyDescent="0.3">
      <c r="P1262">
        <v>1261</v>
      </c>
      <c r="Q1262">
        <v>-444621</v>
      </c>
      <c r="S1262">
        <v>-498540</v>
      </c>
    </row>
    <row r="1263" spans="16:19" x14ac:dyDescent="0.3">
      <c r="P1263">
        <v>1262</v>
      </c>
      <c r="Q1263">
        <v>188465</v>
      </c>
      <c r="S1263">
        <v>-151760</v>
      </c>
    </row>
    <row r="1264" spans="16:19" x14ac:dyDescent="0.3">
      <c r="P1264">
        <v>1263</v>
      </c>
      <c r="Q1264">
        <v>602006</v>
      </c>
      <c r="S1264">
        <v>633469</v>
      </c>
    </row>
    <row r="1265" spans="16:19" x14ac:dyDescent="0.3">
      <c r="P1265">
        <v>1264</v>
      </c>
      <c r="Q1265">
        <v>-454616</v>
      </c>
      <c r="S1265">
        <v>-282949</v>
      </c>
    </row>
    <row r="1266" spans="16:19" x14ac:dyDescent="0.3">
      <c r="P1266">
        <v>1265</v>
      </c>
      <c r="Q1266">
        <v>265659</v>
      </c>
      <c r="S1266">
        <v>598758</v>
      </c>
    </row>
    <row r="1267" spans="16:19" x14ac:dyDescent="0.3">
      <c r="P1267">
        <v>1266</v>
      </c>
      <c r="Q1267">
        <v>-785828</v>
      </c>
      <c r="S1267">
        <v>132776</v>
      </c>
    </row>
    <row r="1268" spans="16:19" x14ac:dyDescent="0.3">
      <c r="P1268">
        <v>1267</v>
      </c>
      <c r="Q1268">
        <v>257473</v>
      </c>
      <c r="S1268">
        <v>645983</v>
      </c>
    </row>
    <row r="1269" spans="16:19" x14ac:dyDescent="0.3">
      <c r="P1269">
        <v>1268</v>
      </c>
      <c r="Q1269">
        <v>562535</v>
      </c>
      <c r="S1269">
        <v>241448</v>
      </c>
    </row>
    <row r="1270" spans="16:19" x14ac:dyDescent="0.3">
      <c r="P1270">
        <v>1269</v>
      </c>
      <c r="Q1270">
        <v>187022</v>
      </c>
      <c r="S1270">
        <v>761373</v>
      </c>
    </row>
    <row r="1271" spans="16:19" x14ac:dyDescent="0.3">
      <c r="P1271">
        <v>1270</v>
      </c>
      <c r="Q1271">
        <v>-14206</v>
      </c>
      <c r="S1271">
        <v>-334393</v>
      </c>
    </row>
    <row r="1272" spans="16:19" x14ac:dyDescent="0.3">
      <c r="P1272">
        <v>1271</v>
      </c>
      <c r="Q1272">
        <v>89007</v>
      </c>
      <c r="S1272">
        <v>-361571</v>
      </c>
    </row>
    <row r="1273" spans="16:19" x14ac:dyDescent="0.3">
      <c r="P1273">
        <v>1272</v>
      </c>
      <c r="Q1273">
        <v>161533</v>
      </c>
      <c r="S1273">
        <v>-196527</v>
      </c>
    </row>
    <row r="1274" spans="16:19" x14ac:dyDescent="0.3">
      <c r="P1274">
        <v>1273</v>
      </c>
      <c r="Q1274">
        <v>-224832</v>
      </c>
      <c r="S1274">
        <v>-630000</v>
      </c>
    </row>
    <row r="1275" spans="16:19" x14ac:dyDescent="0.3">
      <c r="P1275">
        <v>1274</v>
      </c>
      <c r="Q1275">
        <v>194991</v>
      </c>
      <c r="S1275">
        <v>-549433</v>
      </c>
    </row>
    <row r="1276" spans="16:19" x14ac:dyDescent="0.3">
      <c r="P1276">
        <v>1275</v>
      </c>
      <c r="Q1276">
        <v>725207</v>
      </c>
      <c r="S1276">
        <v>4232</v>
      </c>
    </row>
    <row r="1277" spans="16:19" x14ac:dyDescent="0.3">
      <c r="P1277">
        <v>1276</v>
      </c>
      <c r="Q1277">
        <v>472560</v>
      </c>
      <c r="S1277">
        <v>180121</v>
      </c>
    </row>
    <row r="1278" spans="16:19" x14ac:dyDescent="0.3">
      <c r="P1278">
        <v>1277</v>
      </c>
      <c r="Q1278">
        <v>-606381</v>
      </c>
      <c r="S1278">
        <v>611334</v>
      </c>
    </row>
    <row r="1279" spans="16:19" x14ac:dyDescent="0.3">
      <c r="P1279">
        <v>1278</v>
      </c>
      <c r="Q1279">
        <v>-440373</v>
      </c>
      <c r="S1279">
        <v>649848</v>
      </c>
    </row>
    <row r="1280" spans="16:19" x14ac:dyDescent="0.3">
      <c r="P1280">
        <v>1279</v>
      </c>
      <c r="Q1280">
        <v>-257712</v>
      </c>
      <c r="S1280">
        <v>535858</v>
      </c>
    </row>
    <row r="1281" spans="16:19" x14ac:dyDescent="0.3">
      <c r="P1281">
        <v>1280</v>
      </c>
      <c r="Q1281">
        <v>302627</v>
      </c>
      <c r="S1281">
        <v>193590</v>
      </c>
    </row>
    <row r="1282" spans="16:19" x14ac:dyDescent="0.3">
      <c r="P1282">
        <v>1281</v>
      </c>
      <c r="Q1282">
        <v>-230472</v>
      </c>
      <c r="S1282">
        <v>-509720</v>
      </c>
    </row>
    <row r="1283" spans="16:19" x14ac:dyDescent="0.3">
      <c r="P1283">
        <v>1282</v>
      </c>
      <c r="Q1283">
        <v>408684</v>
      </c>
      <c r="S1283">
        <v>722723</v>
      </c>
    </row>
    <row r="1284" spans="16:19" x14ac:dyDescent="0.3">
      <c r="P1284">
        <v>1283</v>
      </c>
      <c r="Q1284">
        <v>-326898</v>
      </c>
      <c r="S1284">
        <v>366341</v>
      </c>
    </row>
    <row r="1285" spans="16:19" x14ac:dyDescent="0.3">
      <c r="P1285">
        <v>1284</v>
      </c>
      <c r="Q1285">
        <v>-220073</v>
      </c>
      <c r="S1285">
        <v>174734</v>
      </c>
    </row>
    <row r="1286" spans="16:19" x14ac:dyDescent="0.3">
      <c r="P1286">
        <v>1285</v>
      </c>
      <c r="Q1286">
        <v>-430694</v>
      </c>
      <c r="S1286">
        <v>-121834</v>
      </c>
    </row>
    <row r="1287" spans="16:19" x14ac:dyDescent="0.3">
      <c r="P1287">
        <v>1286</v>
      </c>
      <c r="Q1287">
        <v>-539540</v>
      </c>
      <c r="S1287">
        <v>272642</v>
      </c>
    </row>
    <row r="1288" spans="16:19" x14ac:dyDescent="0.3">
      <c r="P1288">
        <v>1287</v>
      </c>
      <c r="Q1288">
        <v>-495378</v>
      </c>
      <c r="S1288">
        <v>45935</v>
      </c>
    </row>
    <row r="1289" spans="16:19" x14ac:dyDescent="0.3">
      <c r="P1289">
        <v>1288</v>
      </c>
      <c r="Q1289">
        <v>264873</v>
      </c>
      <c r="S1289">
        <v>786285</v>
      </c>
    </row>
    <row r="1290" spans="16:19" x14ac:dyDescent="0.3">
      <c r="P1290">
        <v>1289</v>
      </c>
      <c r="Q1290">
        <v>-427302</v>
      </c>
      <c r="S1290">
        <v>-377204</v>
      </c>
    </row>
    <row r="1291" spans="16:19" x14ac:dyDescent="0.3">
      <c r="P1291">
        <v>1290</v>
      </c>
      <c r="Q1291">
        <v>326154</v>
      </c>
      <c r="S1291">
        <v>-116948</v>
      </c>
    </row>
    <row r="1292" spans="16:19" x14ac:dyDescent="0.3">
      <c r="P1292">
        <v>1291</v>
      </c>
      <c r="Q1292">
        <v>-708073</v>
      </c>
      <c r="S1292">
        <v>-421597</v>
      </c>
    </row>
    <row r="1293" spans="16:19" x14ac:dyDescent="0.3">
      <c r="P1293">
        <v>1292</v>
      </c>
      <c r="Q1293">
        <v>478421</v>
      </c>
      <c r="S1293">
        <v>546834</v>
      </c>
    </row>
    <row r="1294" spans="16:19" x14ac:dyDescent="0.3">
      <c r="P1294">
        <v>1293</v>
      </c>
      <c r="Q1294">
        <v>-237143</v>
      </c>
      <c r="S1294">
        <v>608016</v>
      </c>
    </row>
    <row r="1295" spans="16:19" x14ac:dyDescent="0.3">
      <c r="P1295">
        <v>1294</v>
      </c>
      <c r="Q1295">
        <v>63842</v>
      </c>
      <c r="S1295">
        <v>-507430</v>
      </c>
    </row>
    <row r="1296" spans="16:19" x14ac:dyDescent="0.3">
      <c r="P1296">
        <v>1295</v>
      </c>
      <c r="Q1296">
        <v>543901</v>
      </c>
      <c r="S1296">
        <v>276117</v>
      </c>
    </row>
    <row r="1297" spans="16:19" x14ac:dyDescent="0.3">
      <c r="P1297">
        <v>1296</v>
      </c>
      <c r="Q1297">
        <v>-144608</v>
      </c>
      <c r="S1297">
        <v>78796</v>
      </c>
    </row>
    <row r="1298" spans="16:19" x14ac:dyDescent="0.3">
      <c r="P1298">
        <v>1297</v>
      </c>
      <c r="Q1298">
        <v>465891</v>
      </c>
      <c r="S1298">
        <v>-804683</v>
      </c>
    </row>
    <row r="1299" spans="16:19" x14ac:dyDescent="0.3">
      <c r="P1299">
        <v>1298</v>
      </c>
      <c r="Q1299">
        <v>202439</v>
      </c>
      <c r="S1299">
        <v>224113</v>
      </c>
    </row>
    <row r="1300" spans="16:19" x14ac:dyDescent="0.3">
      <c r="P1300">
        <v>1299</v>
      </c>
      <c r="Q1300">
        <v>-273335</v>
      </c>
      <c r="S1300">
        <v>-451057</v>
      </c>
    </row>
    <row r="1301" spans="16:19" x14ac:dyDescent="0.3">
      <c r="P1301">
        <v>1300</v>
      </c>
      <c r="Q1301">
        <v>-126637</v>
      </c>
      <c r="S1301">
        <v>426806</v>
      </c>
    </row>
    <row r="1302" spans="16:19" x14ac:dyDescent="0.3">
      <c r="P1302">
        <v>1301</v>
      </c>
      <c r="Q1302">
        <v>114967</v>
      </c>
      <c r="S1302">
        <v>791935</v>
      </c>
    </row>
    <row r="1303" spans="16:19" x14ac:dyDescent="0.3">
      <c r="P1303">
        <v>1302</v>
      </c>
      <c r="Q1303">
        <v>609753</v>
      </c>
      <c r="S1303">
        <v>-498764</v>
      </c>
    </row>
    <row r="1304" spans="16:19" x14ac:dyDescent="0.3">
      <c r="P1304">
        <v>1303</v>
      </c>
      <c r="Q1304">
        <v>232842</v>
      </c>
      <c r="S1304">
        <v>293684</v>
      </c>
    </row>
    <row r="1305" spans="16:19" x14ac:dyDescent="0.3">
      <c r="P1305">
        <v>1304</v>
      </c>
      <c r="Q1305">
        <v>342622</v>
      </c>
      <c r="S1305">
        <v>-366755</v>
      </c>
    </row>
    <row r="1306" spans="16:19" x14ac:dyDescent="0.3">
      <c r="P1306">
        <v>1305</v>
      </c>
      <c r="Q1306">
        <v>376076</v>
      </c>
      <c r="S1306">
        <v>-43515</v>
      </c>
    </row>
    <row r="1307" spans="16:19" x14ac:dyDescent="0.3">
      <c r="P1307">
        <v>1306</v>
      </c>
      <c r="Q1307">
        <v>-277287</v>
      </c>
      <c r="S1307">
        <v>-166172</v>
      </c>
    </row>
    <row r="1308" spans="16:19" x14ac:dyDescent="0.3">
      <c r="P1308">
        <v>1307</v>
      </c>
      <c r="Q1308">
        <v>-85061</v>
      </c>
      <c r="S1308">
        <v>400766</v>
      </c>
    </row>
    <row r="1309" spans="16:19" x14ac:dyDescent="0.3">
      <c r="P1309">
        <v>1308</v>
      </c>
      <c r="Q1309">
        <v>159674</v>
      </c>
      <c r="S1309">
        <v>950401</v>
      </c>
    </row>
    <row r="1310" spans="16:19" x14ac:dyDescent="0.3">
      <c r="P1310">
        <v>1309</v>
      </c>
      <c r="Q1310">
        <v>296156</v>
      </c>
      <c r="S1310">
        <v>-620344</v>
      </c>
    </row>
    <row r="1311" spans="16:19" x14ac:dyDescent="0.3">
      <c r="P1311">
        <v>1310</v>
      </c>
      <c r="Q1311">
        <v>-622054</v>
      </c>
      <c r="S1311">
        <v>425314</v>
      </c>
    </row>
    <row r="1312" spans="16:19" x14ac:dyDescent="0.3">
      <c r="P1312">
        <v>1311</v>
      </c>
      <c r="Q1312">
        <v>298008</v>
      </c>
      <c r="S1312">
        <v>703387</v>
      </c>
    </row>
    <row r="1313" spans="16:19" x14ac:dyDescent="0.3">
      <c r="P1313">
        <v>1312</v>
      </c>
      <c r="Q1313">
        <v>-76503</v>
      </c>
      <c r="S1313">
        <v>-123358</v>
      </c>
    </row>
    <row r="1314" spans="16:19" x14ac:dyDescent="0.3">
      <c r="P1314">
        <v>1313</v>
      </c>
      <c r="Q1314">
        <v>469035</v>
      </c>
      <c r="S1314">
        <v>-151537</v>
      </c>
    </row>
    <row r="1315" spans="16:19" x14ac:dyDescent="0.3">
      <c r="P1315">
        <v>1314</v>
      </c>
      <c r="Q1315">
        <v>-184654</v>
      </c>
      <c r="S1315">
        <v>481253</v>
      </c>
    </row>
    <row r="1316" spans="16:19" x14ac:dyDescent="0.3">
      <c r="P1316">
        <v>1315</v>
      </c>
      <c r="Q1316">
        <v>-86888</v>
      </c>
      <c r="S1316">
        <v>-400478</v>
      </c>
    </row>
    <row r="1317" spans="16:19" x14ac:dyDescent="0.3">
      <c r="P1317">
        <v>1316</v>
      </c>
      <c r="Q1317">
        <v>-292715</v>
      </c>
      <c r="S1317">
        <v>-588524</v>
      </c>
    </row>
    <row r="1318" spans="16:19" x14ac:dyDescent="0.3">
      <c r="P1318">
        <v>1317</v>
      </c>
      <c r="Q1318">
        <v>536001</v>
      </c>
      <c r="S1318">
        <v>-161748</v>
      </c>
    </row>
    <row r="1319" spans="16:19" x14ac:dyDescent="0.3">
      <c r="P1319">
        <v>1318</v>
      </c>
      <c r="Q1319">
        <v>-131877</v>
      </c>
      <c r="S1319">
        <v>-711277</v>
      </c>
    </row>
    <row r="1320" spans="16:19" x14ac:dyDescent="0.3">
      <c r="P1320">
        <v>1319</v>
      </c>
      <c r="Q1320">
        <v>-143373</v>
      </c>
      <c r="S1320">
        <v>647828</v>
      </c>
    </row>
    <row r="1321" spans="16:19" x14ac:dyDescent="0.3">
      <c r="P1321">
        <v>1320</v>
      </c>
      <c r="Q1321">
        <v>613639</v>
      </c>
      <c r="S1321">
        <v>112171</v>
      </c>
    </row>
    <row r="1322" spans="16:19" x14ac:dyDescent="0.3">
      <c r="P1322">
        <v>1321</v>
      </c>
      <c r="Q1322">
        <v>-391683</v>
      </c>
      <c r="S1322">
        <v>675069</v>
      </c>
    </row>
    <row r="1323" spans="16:19" x14ac:dyDescent="0.3">
      <c r="P1323">
        <v>1322</v>
      </c>
      <c r="Q1323">
        <v>678439</v>
      </c>
      <c r="S1323">
        <v>82714</v>
      </c>
    </row>
    <row r="1324" spans="16:19" x14ac:dyDescent="0.3">
      <c r="P1324">
        <v>1323</v>
      </c>
      <c r="Q1324">
        <v>139866</v>
      </c>
      <c r="S1324">
        <v>821814</v>
      </c>
    </row>
    <row r="1325" spans="16:19" x14ac:dyDescent="0.3">
      <c r="P1325">
        <v>1324</v>
      </c>
      <c r="Q1325">
        <v>481630</v>
      </c>
      <c r="S1325">
        <v>-694831</v>
      </c>
    </row>
    <row r="1326" spans="16:19" x14ac:dyDescent="0.3">
      <c r="P1326">
        <v>1325</v>
      </c>
      <c r="Q1326">
        <v>663414</v>
      </c>
      <c r="S1326">
        <v>3465</v>
      </c>
    </row>
    <row r="1327" spans="16:19" x14ac:dyDescent="0.3">
      <c r="P1327">
        <v>1326</v>
      </c>
      <c r="Q1327">
        <v>-207109</v>
      </c>
      <c r="S1327">
        <v>152032</v>
      </c>
    </row>
    <row r="1328" spans="16:19" x14ac:dyDescent="0.3">
      <c r="P1328">
        <v>1327</v>
      </c>
      <c r="Q1328">
        <v>-477578</v>
      </c>
      <c r="S1328">
        <v>117556</v>
      </c>
    </row>
    <row r="1329" spans="16:19" x14ac:dyDescent="0.3">
      <c r="P1329">
        <v>1328</v>
      </c>
      <c r="Q1329">
        <v>708653</v>
      </c>
      <c r="S1329">
        <v>153282</v>
      </c>
    </row>
    <row r="1330" spans="16:19" x14ac:dyDescent="0.3">
      <c r="P1330">
        <v>1329</v>
      </c>
      <c r="Q1330">
        <v>742783</v>
      </c>
      <c r="S1330">
        <v>-392629</v>
      </c>
    </row>
    <row r="1331" spans="16:19" x14ac:dyDescent="0.3">
      <c r="P1331">
        <v>1330</v>
      </c>
      <c r="Q1331">
        <v>814450</v>
      </c>
      <c r="S1331">
        <v>169749</v>
      </c>
    </row>
    <row r="1332" spans="16:19" x14ac:dyDescent="0.3">
      <c r="P1332">
        <v>1331</v>
      </c>
      <c r="Q1332">
        <v>66550</v>
      </c>
      <c r="S1332">
        <v>-267912</v>
      </c>
    </row>
    <row r="1333" spans="16:19" x14ac:dyDescent="0.3">
      <c r="P1333">
        <v>1332</v>
      </c>
      <c r="Q1333">
        <v>-14060</v>
      </c>
      <c r="S1333">
        <v>103832</v>
      </c>
    </row>
    <row r="1334" spans="16:19" x14ac:dyDescent="0.3">
      <c r="P1334">
        <v>1333</v>
      </c>
      <c r="Q1334">
        <v>-127654</v>
      </c>
      <c r="S1334">
        <v>357807</v>
      </c>
    </row>
    <row r="1335" spans="16:19" x14ac:dyDescent="0.3">
      <c r="P1335">
        <v>1334</v>
      </c>
      <c r="Q1335">
        <v>32101</v>
      </c>
      <c r="S1335">
        <v>-579342</v>
      </c>
    </row>
    <row r="1336" spans="16:19" x14ac:dyDescent="0.3">
      <c r="P1336">
        <v>1335</v>
      </c>
      <c r="Q1336">
        <v>15535</v>
      </c>
      <c r="S1336">
        <v>584481</v>
      </c>
    </row>
    <row r="1337" spans="16:19" x14ac:dyDescent="0.3">
      <c r="P1337">
        <v>1336</v>
      </c>
      <c r="Q1337">
        <v>-134762</v>
      </c>
      <c r="S1337">
        <v>-101687</v>
      </c>
    </row>
    <row r="1338" spans="16:19" x14ac:dyDescent="0.3">
      <c r="P1338">
        <v>1337</v>
      </c>
      <c r="Q1338">
        <v>-70065</v>
      </c>
      <c r="S1338">
        <v>66517</v>
      </c>
    </row>
    <row r="1339" spans="16:19" x14ac:dyDescent="0.3">
      <c r="P1339">
        <v>1338</v>
      </c>
      <c r="Q1339">
        <v>245762</v>
      </c>
      <c r="S1339">
        <v>-487618</v>
      </c>
    </row>
    <row r="1340" spans="16:19" x14ac:dyDescent="0.3">
      <c r="P1340">
        <v>1339</v>
      </c>
      <c r="Q1340">
        <v>-101367</v>
      </c>
      <c r="S1340">
        <v>-555017</v>
      </c>
    </row>
    <row r="1341" spans="16:19" x14ac:dyDescent="0.3">
      <c r="P1341">
        <v>1340</v>
      </c>
      <c r="Q1341">
        <v>640556</v>
      </c>
      <c r="S1341">
        <v>-94769</v>
      </c>
    </row>
    <row r="1342" spans="16:19" x14ac:dyDescent="0.3">
      <c r="P1342">
        <v>1341</v>
      </c>
      <c r="Q1342">
        <v>421837</v>
      </c>
      <c r="S1342">
        <v>556452</v>
      </c>
    </row>
    <row r="1343" spans="16:19" x14ac:dyDescent="0.3">
      <c r="P1343">
        <v>1342</v>
      </c>
      <c r="Q1343">
        <v>732036</v>
      </c>
      <c r="S1343">
        <v>-287750</v>
      </c>
    </row>
    <row r="1344" spans="16:19" x14ac:dyDescent="0.3">
      <c r="P1344">
        <v>1343</v>
      </c>
      <c r="Q1344">
        <v>294126</v>
      </c>
      <c r="S1344">
        <v>-358008</v>
      </c>
    </row>
    <row r="1345" spans="16:19" x14ac:dyDescent="0.3">
      <c r="P1345">
        <v>1344</v>
      </c>
      <c r="Q1345">
        <v>-266013</v>
      </c>
      <c r="S1345">
        <v>57355</v>
      </c>
    </row>
    <row r="1346" spans="16:19" x14ac:dyDescent="0.3">
      <c r="P1346">
        <v>1345</v>
      </c>
      <c r="Q1346">
        <v>407262</v>
      </c>
      <c r="S1346">
        <v>1150813</v>
      </c>
    </row>
    <row r="1347" spans="16:19" x14ac:dyDescent="0.3">
      <c r="P1347">
        <v>1346</v>
      </c>
      <c r="Q1347">
        <v>-381303</v>
      </c>
      <c r="S1347">
        <v>514825</v>
      </c>
    </row>
    <row r="1348" spans="16:19" x14ac:dyDescent="0.3">
      <c r="P1348">
        <v>1347</v>
      </c>
      <c r="Q1348">
        <v>410105</v>
      </c>
      <c r="S1348">
        <v>759913</v>
      </c>
    </row>
    <row r="1349" spans="16:19" x14ac:dyDescent="0.3">
      <c r="P1349">
        <v>1348</v>
      </c>
      <c r="Q1349">
        <v>221351</v>
      </c>
      <c r="S1349">
        <v>-794716</v>
      </c>
    </row>
    <row r="1350" spans="16:19" x14ac:dyDescent="0.3">
      <c r="P1350">
        <v>1349</v>
      </c>
      <c r="Q1350">
        <v>-410179</v>
      </c>
      <c r="S1350">
        <v>267487</v>
      </c>
    </row>
    <row r="1351" spans="16:19" x14ac:dyDescent="0.3">
      <c r="P1351">
        <v>1350</v>
      </c>
      <c r="Q1351">
        <v>-350860</v>
      </c>
      <c r="S1351">
        <v>-670852</v>
      </c>
    </row>
    <row r="1352" spans="16:19" x14ac:dyDescent="0.3">
      <c r="P1352">
        <v>1351</v>
      </c>
      <c r="Q1352">
        <v>281699</v>
      </c>
      <c r="S1352">
        <v>-28951</v>
      </c>
    </row>
    <row r="1353" spans="16:19" x14ac:dyDescent="0.3">
      <c r="P1353">
        <v>1352</v>
      </c>
      <c r="Q1353">
        <v>620291</v>
      </c>
      <c r="S1353">
        <v>711442</v>
      </c>
    </row>
    <row r="1354" spans="16:19" x14ac:dyDescent="0.3">
      <c r="P1354">
        <v>1353</v>
      </c>
      <c r="Q1354">
        <v>-413597</v>
      </c>
      <c r="S1354">
        <v>302832</v>
      </c>
    </row>
    <row r="1355" spans="16:19" x14ac:dyDescent="0.3">
      <c r="P1355">
        <v>1354</v>
      </c>
      <c r="Q1355">
        <v>-209694</v>
      </c>
      <c r="S1355">
        <v>-233839</v>
      </c>
    </row>
    <row r="1356" spans="16:19" x14ac:dyDescent="0.3">
      <c r="P1356">
        <v>1355</v>
      </c>
      <c r="Q1356">
        <v>389247</v>
      </c>
      <c r="S1356">
        <v>712683</v>
      </c>
    </row>
    <row r="1357" spans="16:19" x14ac:dyDescent="0.3">
      <c r="P1357">
        <v>1356</v>
      </c>
      <c r="Q1357">
        <v>-50287</v>
      </c>
      <c r="S1357">
        <v>530176</v>
      </c>
    </row>
    <row r="1358" spans="16:19" x14ac:dyDescent="0.3">
      <c r="P1358">
        <v>1357</v>
      </c>
      <c r="Q1358">
        <v>-25317</v>
      </c>
      <c r="S1358">
        <v>-152197</v>
      </c>
    </row>
    <row r="1359" spans="16:19" x14ac:dyDescent="0.3">
      <c r="P1359">
        <v>1358</v>
      </c>
      <c r="Q1359">
        <v>271291</v>
      </c>
      <c r="S1359">
        <v>601439</v>
      </c>
    </row>
    <row r="1360" spans="16:19" x14ac:dyDescent="0.3">
      <c r="P1360">
        <v>1359</v>
      </c>
      <c r="Q1360">
        <v>229047</v>
      </c>
      <c r="S1360">
        <v>479694</v>
      </c>
    </row>
    <row r="1361" spans="16:19" x14ac:dyDescent="0.3">
      <c r="P1361">
        <v>1360</v>
      </c>
      <c r="Q1361">
        <v>-257131</v>
      </c>
      <c r="S1361">
        <v>-685171</v>
      </c>
    </row>
    <row r="1362" spans="16:19" x14ac:dyDescent="0.3">
      <c r="P1362">
        <v>1361</v>
      </c>
      <c r="Q1362">
        <v>78412</v>
      </c>
      <c r="S1362">
        <v>608116</v>
      </c>
    </row>
    <row r="1363" spans="16:19" x14ac:dyDescent="0.3">
      <c r="P1363">
        <v>1362</v>
      </c>
      <c r="Q1363">
        <v>-536311</v>
      </c>
      <c r="S1363">
        <v>-178323</v>
      </c>
    </row>
    <row r="1364" spans="16:19" x14ac:dyDescent="0.3">
      <c r="P1364">
        <v>1363</v>
      </c>
      <c r="Q1364">
        <v>-369924</v>
      </c>
      <c r="S1364">
        <v>-315106</v>
      </c>
    </row>
    <row r="1365" spans="16:19" x14ac:dyDescent="0.3">
      <c r="P1365">
        <v>1364</v>
      </c>
      <c r="Q1365">
        <v>363862</v>
      </c>
      <c r="S1365">
        <v>-427083</v>
      </c>
    </row>
    <row r="1366" spans="16:19" x14ac:dyDescent="0.3">
      <c r="P1366">
        <v>1365</v>
      </c>
      <c r="Q1366">
        <v>-724193</v>
      </c>
      <c r="S1366">
        <v>177311</v>
      </c>
    </row>
    <row r="1367" spans="16:19" x14ac:dyDescent="0.3">
      <c r="P1367">
        <v>1366</v>
      </c>
      <c r="Q1367">
        <v>400323</v>
      </c>
      <c r="S1367">
        <v>499559</v>
      </c>
    </row>
    <row r="1368" spans="16:19" x14ac:dyDescent="0.3">
      <c r="P1368">
        <v>1367</v>
      </c>
      <c r="Q1368">
        <v>-504630</v>
      </c>
      <c r="S1368">
        <v>711222</v>
      </c>
    </row>
    <row r="1369" spans="16:19" x14ac:dyDescent="0.3">
      <c r="P1369">
        <v>1368</v>
      </c>
      <c r="Q1369">
        <v>-660105</v>
      </c>
      <c r="S1369">
        <v>323130</v>
      </c>
    </row>
    <row r="1370" spans="16:19" x14ac:dyDescent="0.3">
      <c r="P1370">
        <v>1369</v>
      </c>
      <c r="Q1370">
        <v>653342</v>
      </c>
      <c r="S1370">
        <v>108918</v>
      </c>
    </row>
    <row r="1371" spans="16:19" x14ac:dyDescent="0.3">
      <c r="P1371">
        <v>1370</v>
      </c>
      <c r="Q1371">
        <v>-131892</v>
      </c>
      <c r="S1371">
        <v>835321</v>
      </c>
    </row>
    <row r="1372" spans="16:19" x14ac:dyDescent="0.3">
      <c r="P1372">
        <v>1371</v>
      </c>
      <c r="Q1372">
        <v>196637</v>
      </c>
      <c r="S1372">
        <v>371779</v>
      </c>
    </row>
    <row r="1373" spans="16:19" x14ac:dyDescent="0.3">
      <c r="P1373">
        <v>1372</v>
      </c>
      <c r="Q1373">
        <v>218910</v>
      </c>
      <c r="S1373">
        <v>69945</v>
      </c>
    </row>
    <row r="1374" spans="16:19" x14ac:dyDescent="0.3">
      <c r="P1374">
        <v>1373</v>
      </c>
      <c r="Q1374">
        <v>229669</v>
      </c>
      <c r="S1374">
        <v>67184</v>
      </c>
    </row>
    <row r="1375" spans="16:19" x14ac:dyDescent="0.3">
      <c r="P1375">
        <v>1374</v>
      </c>
      <c r="Q1375">
        <v>-232283</v>
      </c>
      <c r="S1375">
        <v>681567</v>
      </c>
    </row>
    <row r="1376" spans="16:19" x14ac:dyDescent="0.3">
      <c r="P1376">
        <v>1375</v>
      </c>
      <c r="Q1376">
        <v>-566607</v>
      </c>
      <c r="S1376">
        <v>569472</v>
      </c>
    </row>
    <row r="1377" spans="16:19" x14ac:dyDescent="0.3">
      <c r="P1377">
        <v>1376</v>
      </c>
      <c r="Q1377">
        <v>29257</v>
      </c>
      <c r="S1377">
        <v>-427326</v>
      </c>
    </row>
    <row r="1378" spans="16:19" x14ac:dyDescent="0.3">
      <c r="P1378">
        <v>1377</v>
      </c>
      <c r="Q1378">
        <v>327657</v>
      </c>
      <c r="S1378">
        <v>-540747</v>
      </c>
    </row>
    <row r="1379" spans="16:19" x14ac:dyDescent="0.3">
      <c r="P1379">
        <v>1378</v>
      </c>
      <c r="Q1379">
        <v>-437270</v>
      </c>
      <c r="S1379">
        <v>-183248</v>
      </c>
    </row>
    <row r="1380" spans="16:19" x14ac:dyDescent="0.3">
      <c r="P1380">
        <v>1379</v>
      </c>
      <c r="Q1380">
        <v>-298217</v>
      </c>
      <c r="S1380">
        <v>-751121</v>
      </c>
    </row>
    <row r="1381" spans="16:19" x14ac:dyDescent="0.3">
      <c r="P1381">
        <v>1380</v>
      </c>
      <c r="Q1381">
        <v>-102026</v>
      </c>
      <c r="S1381">
        <v>-324784</v>
      </c>
    </row>
    <row r="1382" spans="16:19" x14ac:dyDescent="0.3">
      <c r="P1382">
        <v>1381</v>
      </c>
      <c r="Q1382">
        <v>-821266</v>
      </c>
      <c r="S1382">
        <v>69012</v>
      </c>
    </row>
    <row r="1383" spans="16:19" x14ac:dyDescent="0.3">
      <c r="P1383">
        <v>1382</v>
      </c>
      <c r="Q1383">
        <v>425234</v>
      </c>
      <c r="S1383">
        <v>40606</v>
      </c>
    </row>
    <row r="1384" spans="16:19" x14ac:dyDescent="0.3">
      <c r="P1384">
        <v>1383</v>
      </c>
      <c r="Q1384">
        <v>292076</v>
      </c>
      <c r="S1384">
        <v>-19675</v>
      </c>
    </row>
    <row r="1385" spans="16:19" x14ac:dyDescent="0.3">
      <c r="P1385">
        <v>1384</v>
      </c>
      <c r="Q1385">
        <v>-409851</v>
      </c>
      <c r="S1385">
        <v>-246844</v>
      </c>
    </row>
    <row r="1386" spans="16:19" x14ac:dyDescent="0.3">
      <c r="P1386">
        <v>1385</v>
      </c>
      <c r="Q1386">
        <v>-413885</v>
      </c>
      <c r="S1386">
        <v>152725</v>
      </c>
    </row>
    <row r="1387" spans="16:19" x14ac:dyDescent="0.3">
      <c r="P1387">
        <v>1386</v>
      </c>
      <c r="Q1387">
        <v>-566365</v>
      </c>
      <c r="S1387">
        <v>50981</v>
      </c>
    </row>
    <row r="1388" spans="16:19" x14ac:dyDescent="0.3">
      <c r="P1388">
        <v>1387</v>
      </c>
      <c r="Q1388">
        <v>183336</v>
      </c>
      <c r="S1388">
        <v>-105263</v>
      </c>
    </row>
    <row r="1389" spans="16:19" x14ac:dyDescent="0.3">
      <c r="P1389">
        <v>1388</v>
      </c>
      <c r="Q1389">
        <v>528251</v>
      </c>
      <c r="S1389">
        <v>-263870</v>
      </c>
    </row>
    <row r="1390" spans="16:19" x14ac:dyDescent="0.3">
      <c r="P1390">
        <v>1389</v>
      </c>
      <c r="Q1390">
        <v>416193</v>
      </c>
      <c r="S1390">
        <v>-109254</v>
      </c>
    </row>
    <row r="1391" spans="16:19" x14ac:dyDescent="0.3">
      <c r="P1391">
        <v>1390</v>
      </c>
      <c r="Q1391">
        <v>718345</v>
      </c>
      <c r="S1391">
        <v>-62952</v>
      </c>
    </row>
    <row r="1392" spans="16:19" x14ac:dyDescent="0.3">
      <c r="P1392">
        <v>1391</v>
      </c>
      <c r="Q1392">
        <v>-415530</v>
      </c>
      <c r="S1392">
        <v>705563</v>
      </c>
    </row>
    <row r="1393" spans="16:19" x14ac:dyDescent="0.3">
      <c r="P1393">
        <v>1392</v>
      </c>
      <c r="Q1393">
        <v>223461</v>
      </c>
      <c r="S1393">
        <v>462632</v>
      </c>
    </row>
    <row r="1394" spans="16:19" x14ac:dyDescent="0.3">
      <c r="P1394">
        <v>1393</v>
      </c>
      <c r="Q1394">
        <v>203463</v>
      </c>
      <c r="S1394">
        <v>-369521</v>
      </c>
    </row>
    <row r="1395" spans="16:19" x14ac:dyDescent="0.3">
      <c r="P1395">
        <v>1394</v>
      </c>
      <c r="Q1395">
        <v>-250522</v>
      </c>
      <c r="S1395">
        <v>261164</v>
      </c>
    </row>
    <row r="1396" spans="16:19" x14ac:dyDescent="0.3">
      <c r="P1396">
        <v>1395</v>
      </c>
      <c r="Q1396">
        <v>-224692</v>
      </c>
      <c r="S1396">
        <v>97235</v>
      </c>
    </row>
    <row r="1397" spans="16:19" x14ac:dyDescent="0.3">
      <c r="P1397">
        <v>1396</v>
      </c>
      <c r="Q1397">
        <v>185351</v>
      </c>
      <c r="S1397">
        <v>774306</v>
      </c>
    </row>
    <row r="1398" spans="16:19" x14ac:dyDescent="0.3">
      <c r="P1398">
        <v>1397</v>
      </c>
      <c r="Q1398">
        <v>-389547</v>
      </c>
      <c r="S1398">
        <v>-241273</v>
      </c>
    </row>
    <row r="1399" spans="16:19" x14ac:dyDescent="0.3">
      <c r="P1399">
        <v>1398</v>
      </c>
      <c r="Q1399">
        <v>-9830</v>
      </c>
      <c r="S1399">
        <v>317771</v>
      </c>
    </row>
    <row r="1400" spans="16:19" x14ac:dyDescent="0.3">
      <c r="P1400">
        <v>1399</v>
      </c>
      <c r="Q1400">
        <v>254288</v>
      </c>
      <c r="S1400">
        <v>-286874</v>
      </c>
    </row>
    <row r="1401" spans="16:19" x14ac:dyDescent="0.3">
      <c r="P1401">
        <v>1400</v>
      </c>
      <c r="Q1401">
        <v>160971</v>
      </c>
      <c r="S1401">
        <v>921421</v>
      </c>
    </row>
    <row r="1402" spans="16:19" x14ac:dyDescent="0.3">
      <c r="P1402">
        <v>1401</v>
      </c>
      <c r="Q1402">
        <v>-290467</v>
      </c>
      <c r="S1402">
        <v>-485642</v>
      </c>
    </row>
    <row r="1403" spans="16:19" x14ac:dyDescent="0.3">
      <c r="P1403">
        <v>1402</v>
      </c>
      <c r="Q1403">
        <v>-296315</v>
      </c>
      <c r="S1403">
        <v>129004</v>
      </c>
    </row>
    <row r="1404" spans="16:19" x14ac:dyDescent="0.3">
      <c r="P1404">
        <v>1403</v>
      </c>
      <c r="Q1404">
        <v>552129</v>
      </c>
      <c r="S1404">
        <v>-15162</v>
      </c>
    </row>
    <row r="1405" spans="16:19" x14ac:dyDescent="0.3">
      <c r="P1405">
        <v>1404</v>
      </c>
      <c r="Q1405">
        <v>-197546</v>
      </c>
      <c r="S1405">
        <v>-664198</v>
      </c>
    </row>
    <row r="1406" spans="16:19" x14ac:dyDescent="0.3">
      <c r="P1406">
        <v>1405</v>
      </c>
      <c r="Q1406">
        <v>-821886</v>
      </c>
      <c r="S1406">
        <v>230758</v>
      </c>
    </row>
    <row r="1407" spans="16:19" x14ac:dyDescent="0.3">
      <c r="P1407">
        <v>1406</v>
      </c>
      <c r="Q1407">
        <v>416810</v>
      </c>
      <c r="S1407">
        <v>-689547</v>
      </c>
    </row>
    <row r="1408" spans="16:19" x14ac:dyDescent="0.3">
      <c r="P1408">
        <v>1407</v>
      </c>
      <c r="Q1408">
        <v>253684</v>
      </c>
      <c r="S1408">
        <v>459349</v>
      </c>
    </row>
    <row r="1409" spans="16:19" x14ac:dyDescent="0.3">
      <c r="P1409">
        <v>1408</v>
      </c>
      <c r="Q1409">
        <v>-177268</v>
      </c>
      <c r="S1409">
        <v>151035</v>
      </c>
    </row>
    <row r="1410" spans="16:19" x14ac:dyDescent="0.3">
      <c r="P1410">
        <v>1409</v>
      </c>
      <c r="Q1410">
        <v>-117485</v>
      </c>
      <c r="S1410">
        <v>245811</v>
      </c>
    </row>
    <row r="1411" spans="16:19" x14ac:dyDescent="0.3">
      <c r="P1411">
        <v>1410</v>
      </c>
      <c r="Q1411">
        <v>139018</v>
      </c>
      <c r="S1411">
        <v>-646149</v>
      </c>
    </row>
    <row r="1412" spans="16:19" x14ac:dyDescent="0.3">
      <c r="P1412">
        <v>1411</v>
      </c>
      <c r="Q1412">
        <v>-697208</v>
      </c>
      <c r="S1412">
        <v>834239</v>
      </c>
    </row>
    <row r="1413" spans="16:19" x14ac:dyDescent="0.3">
      <c r="P1413">
        <v>1412</v>
      </c>
      <c r="Q1413">
        <v>201339</v>
      </c>
      <c r="S1413">
        <v>646407</v>
      </c>
    </row>
    <row r="1414" spans="16:19" x14ac:dyDescent="0.3">
      <c r="P1414">
        <v>1413</v>
      </c>
      <c r="Q1414">
        <v>-148818</v>
      </c>
      <c r="S1414">
        <v>-848579</v>
      </c>
    </row>
    <row r="1415" spans="16:19" x14ac:dyDescent="0.3">
      <c r="P1415">
        <v>1414</v>
      </c>
      <c r="Q1415">
        <v>318222</v>
      </c>
      <c r="S1415">
        <v>747038</v>
      </c>
    </row>
    <row r="1416" spans="16:19" x14ac:dyDescent="0.3">
      <c r="P1416">
        <v>1415</v>
      </c>
      <c r="Q1416">
        <v>107429</v>
      </c>
      <c r="S1416">
        <v>536190</v>
      </c>
    </row>
    <row r="1417" spans="16:19" x14ac:dyDescent="0.3">
      <c r="P1417">
        <v>1416</v>
      </c>
      <c r="Q1417">
        <v>409508</v>
      </c>
      <c r="S1417">
        <v>389340</v>
      </c>
    </row>
    <row r="1418" spans="16:19" x14ac:dyDescent="0.3">
      <c r="P1418">
        <v>1417</v>
      </c>
      <c r="Q1418">
        <v>8102</v>
      </c>
      <c r="S1418">
        <v>-430055</v>
      </c>
    </row>
    <row r="1419" spans="16:19" x14ac:dyDescent="0.3">
      <c r="P1419">
        <v>1418</v>
      </c>
      <c r="Q1419">
        <v>741153</v>
      </c>
      <c r="S1419">
        <v>157252</v>
      </c>
    </row>
    <row r="1420" spans="16:19" x14ac:dyDescent="0.3">
      <c r="P1420">
        <v>1419</v>
      </c>
      <c r="Q1420">
        <v>-259964</v>
      </c>
      <c r="S1420">
        <v>-402440</v>
      </c>
    </row>
    <row r="1421" spans="16:19" x14ac:dyDescent="0.3">
      <c r="P1421">
        <v>1420</v>
      </c>
      <c r="Q1421">
        <v>-355490</v>
      </c>
      <c r="S1421">
        <v>-326762</v>
      </c>
    </row>
    <row r="1422" spans="16:19" x14ac:dyDescent="0.3">
      <c r="P1422">
        <v>1421</v>
      </c>
      <c r="Q1422">
        <v>302982</v>
      </c>
      <c r="S1422">
        <v>509681</v>
      </c>
    </row>
    <row r="1423" spans="16:19" x14ac:dyDescent="0.3">
      <c r="P1423">
        <v>1422</v>
      </c>
      <c r="Q1423">
        <v>86234</v>
      </c>
      <c r="S1423">
        <v>567563</v>
      </c>
    </row>
    <row r="1424" spans="16:19" x14ac:dyDescent="0.3">
      <c r="P1424">
        <v>1423</v>
      </c>
      <c r="Q1424">
        <v>511204</v>
      </c>
      <c r="S1424">
        <v>203089</v>
      </c>
    </row>
    <row r="1425" spans="16:19" x14ac:dyDescent="0.3">
      <c r="P1425">
        <v>1424</v>
      </c>
      <c r="Q1425">
        <v>475524</v>
      </c>
      <c r="S1425">
        <v>706107</v>
      </c>
    </row>
    <row r="1426" spans="16:19" x14ac:dyDescent="0.3">
      <c r="P1426">
        <v>1425</v>
      </c>
      <c r="Q1426">
        <v>231105</v>
      </c>
      <c r="S1426">
        <v>212913</v>
      </c>
    </row>
    <row r="1427" spans="16:19" x14ac:dyDescent="0.3">
      <c r="P1427">
        <v>1426</v>
      </c>
      <c r="Q1427">
        <v>322086</v>
      </c>
      <c r="S1427">
        <v>-244567</v>
      </c>
    </row>
    <row r="1428" spans="16:19" x14ac:dyDescent="0.3">
      <c r="P1428">
        <v>1427</v>
      </c>
      <c r="Q1428">
        <v>164115</v>
      </c>
      <c r="S1428">
        <v>-118729</v>
      </c>
    </row>
    <row r="1429" spans="16:19" x14ac:dyDescent="0.3">
      <c r="P1429">
        <v>1428</v>
      </c>
      <c r="Q1429">
        <v>428941</v>
      </c>
      <c r="S1429">
        <v>175925</v>
      </c>
    </row>
    <row r="1430" spans="16:19" x14ac:dyDescent="0.3">
      <c r="P1430">
        <v>1429</v>
      </c>
      <c r="Q1430">
        <v>138174</v>
      </c>
      <c r="S1430">
        <v>647909</v>
      </c>
    </row>
    <row r="1431" spans="16:19" x14ac:dyDescent="0.3">
      <c r="P1431">
        <v>1430</v>
      </c>
      <c r="Q1431">
        <v>393117</v>
      </c>
      <c r="S1431">
        <v>-43314</v>
      </c>
    </row>
    <row r="1432" spans="16:19" x14ac:dyDescent="0.3">
      <c r="P1432">
        <v>1431</v>
      </c>
      <c r="Q1432">
        <v>547384</v>
      </c>
      <c r="S1432">
        <v>-456234</v>
      </c>
    </row>
    <row r="1433" spans="16:19" x14ac:dyDescent="0.3">
      <c r="P1433">
        <v>1432</v>
      </c>
      <c r="Q1433">
        <v>228548</v>
      </c>
      <c r="S1433">
        <v>761943</v>
      </c>
    </row>
    <row r="1434" spans="16:19" x14ac:dyDescent="0.3">
      <c r="P1434">
        <v>1433</v>
      </c>
      <c r="Q1434">
        <v>-429575</v>
      </c>
      <c r="S1434">
        <v>430423</v>
      </c>
    </row>
    <row r="1435" spans="16:19" x14ac:dyDescent="0.3">
      <c r="P1435">
        <v>1434</v>
      </c>
      <c r="Q1435">
        <v>-225100</v>
      </c>
      <c r="S1435">
        <v>685191</v>
      </c>
    </row>
    <row r="1436" spans="16:19" x14ac:dyDescent="0.3">
      <c r="P1436">
        <v>1435</v>
      </c>
      <c r="Q1436">
        <v>751417</v>
      </c>
      <c r="S1436">
        <v>315192</v>
      </c>
    </row>
    <row r="1437" spans="16:19" x14ac:dyDescent="0.3">
      <c r="P1437">
        <v>1436</v>
      </c>
      <c r="Q1437">
        <v>-187482</v>
      </c>
      <c r="S1437">
        <v>42169</v>
      </c>
    </row>
    <row r="1438" spans="16:19" x14ac:dyDescent="0.3">
      <c r="P1438">
        <v>1437</v>
      </c>
      <c r="Q1438">
        <v>-720016</v>
      </c>
      <c r="S1438">
        <v>-167424</v>
      </c>
    </row>
    <row r="1439" spans="16:19" x14ac:dyDescent="0.3">
      <c r="P1439">
        <v>1438</v>
      </c>
      <c r="Q1439">
        <v>-363787</v>
      </c>
      <c r="S1439">
        <v>713461</v>
      </c>
    </row>
    <row r="1440" spans="16:19" x14ac:dyDescent="0.3">
      <c r="P1440">
        <v>1439</v>
      </c>
      <c r="Q1440">
        <v>167722</v>
      </c>
      <c r="S1440">
        <v>-446975</v>
      </c>
    </row>
    <row r="1441" spans="16:19" x14ac:dyDescent="0.3">
      <c r="P1441">
        <v>1440</v>
      </c>
      <c r="Q1441">
        <v>145666</v>
      </c>
      <c r="S1441">
        <v>-111795</v>
      </c>
    </row>
    <row r="1442" spans="16:19" x14ac:dyDescent="0.3">
      <c r="P1442">
        <v>1441</v>
      </c>
      <c r="Q1442">
        <v>311465</v>
      </c>
      <c r="S1442">
        <v>2715</v>
      </c>
    </row>
    <row r="1443" spans="16:19" x14ac:dyDescent="0.3">
      <c r="P1443">
        <v>1442</v>
      </c>
      <c r="Q1443">
        <v>154751</v>
      </c>
      <c r="S1443">
        <v>102410</v>
      </c>
    </row>
    <row r="1444" spans="16:19" x14ac:dyDescent="0.3">
      <c r="P1444">
        <v>1443</v>
      </c>
      <c r="Q1444">
        <v>-167394</v>
      </c>
      <c r="S1444">
        <v>-468261</v>
      </c>
    </row>
    <row r="1445" spans="16:19" x14ac:dyDescent="0.3">
      <c r="P1445">
        <v>1444</v>
      </c>
      <c r="Q1445">
        <v>-48447</v>
      </c>
      <c r="S1445">
        <v>-613253</v>
      </c>
    </row>
    <row r="1446" spans="16:19" x14ac:dyDescent="0.3">
      <c r="P1446">
        <v>1445</v>
      </c>
      <c r="Q1446">
        <v>-66312</v>
      </c>
      <c r="S1446">
        <v>-508986</v>
      </c>
    </row>
    <row r="1447" spans="16:19" x14ac:dyDescent="0.3">
      <c r="P1447">
        <v>1446</v>
      </c>
      <c r="Q1447">
        <v>37856</v>
      </c>
      <c r="S1447">
        <v>164289</v>
      </c>
    </row>
    <row r="1448" spans="16:19" x14ac:dyDescent="0.3">
      <c r="P1448">
        <v>1447</v>
      </c>
      <c r="Q1448">
        <v>516409</v>
      </c>
      <c r="S1448">
        <v>-164878</v>
      </c>
    </row>
    <row r="1449" spans="16:19" x14ac:dyDescent="0.3">
      <c r="P1449">
        <v>1448</v>
      </c>
      <c r="Q1449">
        <v>18816</v>
      </c>
      <c r="S1449">
        <v>-466131</v>
      </c>
    </row>
    <row r="1450" spans="16:19" x14ac:dyDescent="0.3">
      <c r="P1450">
        <v>1449</v>
      </c>
      <c r="Q1450">
        <v>-211099</v>
      </c>
      <c r="S1450">
        <v>-154437</v>
      </c>
    </row>
    <row r="1451" spans="16:19" x14ac:dyDescent="0.3">
      <c r="P1451">
        <v>1450</v>
      </c>
      <c r="Q1451">
        <v>-305270</v>
      </c>
      <c r="S1451">
        <v>-165496</v>
      </c>
    </row>
    <row r="1452" spans="16:19" x14ac:dyDescent="0.3">
      <c r="P1452">
        <v>1451</v>
      </c>
      <c r="Q1452">
        <v>-465401</v>
      </c>
      <c r="S1452">
        <v>271232</v>
      </c>
    </row>
    <row r="1453" spans="16:19" x14ac:dyDescent="0.3">
      <c r="P1453">
        <v>1452</v>
      </c>
      <c r="Q1453">
        <v>-320606</v>
      </c>
      <c r="S1453">
        <v>36063</v>
      </c>
    </row>
    <row r="1454" spans="16:19" x14ac:dyDescent="0.3">
      <c r="P1454">
        <v>1453</v>
      </c>
      <c r="Q1454">
        <v>922485</v>
      </c>
      <c r="S1454">
        <v>-288634</v>
      </c>
    </row>
    <row r="1455" spans="16:19" x14ac:dyDescent="0.3">
      <c r="P1455">
        <v>1454</v>
      </c>
      <c r="Q1455">
        <v>222229</v>
      </c>
      <c r="S1455">
        <v>-492934</v>
      </c>
    </row>
    <row r="1456" spans="16:19" x14ac:dyDescent="0.3">
      <c r="P1456">
        <v>1455</v>
      </c>
      <c r="Q1456">
        <v>-742401</v>
      </c>
      <c r="S1456">
        <v>126863</v>
      </c>
    </row>
    <row r="1457" spans="16:19" x14ac:dyDescent="0.3">
      <c r="P1457">
        <v>1456</v>
      </c>
      <c r="Q1457">
        <v>283618</v>
      </c>
      <c r="S1457">
        <v>412956</v>
      </c>
    </row>
    <row r="1458" spans="16:19" x14ac:dyDescent="0.3">
      <c r="P1458">
        <v>1457</v>
      </c>
      <c r="Q1458">
        <v>395228</v>
      </c>
      <c r="S1458">
        <v>-472929</v>
      </c>
    </row>
    <row r="1459" spans="16:19" x14ac:dyDescent="0.3">
      <c r="P1459">
        <v>1458</v>
      </c>
      <c r="Q1459">
        <v>-290380</v>
      </c>
      <c r="S1459">
        <v>-601896</v>
      </c>
    </row>
    <row r="1460" spans="16:19" x14ac:dyDescent="0.3">
      <c r="P1460">
        <v>1459</v>
      </c>
      <c r="Q1460">
        <v>-434796</v>
      </c>
      <c r="S1460">
        <v>87122</v>
      </c>
    </row>
    <row r="1461" spans="16:19" x14ac:dyDescent="0.3">
      <c r="P1461">
        <v>1460</v>
      </c>
      <c r="Q1461">
        <v>-379824</v>
      </c>
      <c r="S1461">
        <v>498284</v>
      </c>
    </row>
    <row r="1462" spans="16:19" x14ac:dyDescent="0.3">
      <c r="P1462">
        <v>1461</v>
      </c>
      <c r="Q1462">
        <v>-780785</v>
      </c>
      <c r="S1462">
        <v>-508957</v>
      </c>
    </row>
    <row r="1463" spans="16:19" x14ac:dyDescent="0.3">
      <c r="P1463">
        <v>1462</v>
      </c>
      <c r="Q1463">
        <v>-482429</v>
      </c>
      <c r="S1463">
        <v>-475852</v>
      </c>
    </row>
    <row r="1464" spans="16:19" x14ac:dyDescent="0.3">
      <c r="P1464">
        <v>1463</v>
      </c>
      <c r="Q1464">
        <v>-582124</v>
      </c>
      <c r="S1464">
        <v>388926</v>
      </c>
    </row>
    <row r="1465" spans="16:19" x14ac:dyDescent="0.3">
      <c r="P1465">
        <v>1464</v>
      </c>
      <c r="Q1465">
        <v>-642701</v>
      </c>
      <c r="S1465">
        <v>-182076</v>
      </c>
    </row>
    <row r="1466" spans="16:19" x14ac:dyDescent="0.3">
      <c r="P1466">
        <v>1465</v>
      </c>
      <c r="Q1466">
        <v>94375</v>
      </c>
      <c r="S1466">
        <v>450102</v>
      </c>
    </row>
    <row r="1467" spans="16:19" x14ac:dyDescent="0.3">
      <c r="P1467">
        <v>1466</v>
      </c>
      <c r="Q1467">
        <v>-228718</v>
      </c>
      <c r="S1467">
        <v>51546</v>
      </c>
    </row>
    <row r="1468" spans="16:19" x14ac:dyDescent="0.3">
      <c r="P1468">
        <v>1467</v>
      </c>
      <c r="Q1468">
        <v>273984</v>
      </c>
      <c r="S1468">
        <v>609607</v>
      </c>
    </row>
    <row r="1469" spans="16:19" x14ac:dyDescent="0.3">
      <c r="P1469">
        <v>1468</v>
      </c>
      <c r="Q1469">
        <v>246378</v>
      </c>
      <c r="S1469">
        <v>-498455</v>
      </c>
    </row>
    <row r="1470" spans="16:19" x14ac:dyDescent="0.3">
      <c r="P1470">
        <v>1469</v>
      </c>
      <c r="Q1470">
        <v>-328287</v>
      </c>
      <c r="S1470">
        <v>-165062</v>
      </c>
    </row>
    <row r="1471" spans="16:19" x14ac:dyDescent="0.3">
      <c r="P1471">
        <v>1470</v>
      </c>
      <c r="Q1471">
        <v>-723391</v>
      </c>
      <c r="S1471">
        <v>-578819</v>
      </c>
    </row>
    <row r="1472" spans="16:19" x14ac:dyDescent="0.3">
      <c r="P1472">
        <v>1471</v>
      </c>
      <c r="Q1472">
        <v>-463989</v>
      </c>
      <c r="S1472">
        <v>550507</v>
      </c>
    </row>
    <row r="1473" spans="16:19" x14ac:dyDescent="0.3">
      <c r="P1473">
        <v>1472</v>
      </c>
      <c r="Q1473">
        <v>67770</v>
      </c>
      <c r="S1473">
        <v>-585103</v>
      </c>
    </row>
    <row r="1474" spans="16:19" x14ac:dyDescent="0.3">
      <c r="P1474">
        <v>1473</v>
      </c>
      <c r="Q1474">
        <v>-793827</v>
      </c>
      <c r="S1474">
        <v>-212321</v>
      </c>
    </row>
    <row r="1475" spans="16:19" x14ac:dyDescent="0.3">
      <c r="P1475">
        <v>1474</v>
      </c>
      <c r="Q1475">
        <v>291282</v>
      </c>
      <c r="S1475">
        <v>575904</v>
      </c>
    </row>
    <row r="1476" spans="16:19" x14ac:dyDescent="0.3">
      <c r="P1476">
        <v>1475</v>
      </c>
      <c r="Q1476">
        <v>-210058</v>
      </c>
      <c r="S1476">
        <v>-665927</v>
      </c>
    </row>
    <row r="1477" spans="16:19" x14ac:dyDescent="0.3">
      <c r="P1477">
        <v>1476</v>
      </c>
      <c r="Q1477">
        <v>-39560</v>
      </c>
      <c r="S1477">
        <v>-11195</v>
      </c>
    </row>
    <row r="1478" spans="16:19" x14ac:dyDescent="0.3">
      <c r="P1478">
        <v>1477</v>
      </c>
      <c r="Q1478">
        <v>-769581</v>
      </c>
      <c r="S1478">
        <v>-461272</v>
      </c>
    </row>
    <row r="1479" spans="16:19" x14ac:dyDescent="0.3">
      <c r="P1479">
        <v>1478</v>
      </c>
      <c r="Q1479">
        <v>115557</v>
      </c>
      <c r="S1479">
        <v>-372033</v>
      </c>
    </row>
    <row r="1480" spans="16:19" x14ac:dyDescent="0.3">
      <c r="P1480">
        <v>1479</v>
      </c>
      <c r="Q1480">
        <v>136894</v>
      </c>
      <c r="S1480">
        <v>-80620</v>
      </c>
    </row>
    <row r="1481" spans="16:19" x14ac:dyDescent="0.3">
      <c r="P1481">
        <v>1480</v>
      </c>
      <c r="Q1481">
        <v>-470480</v>
      </c>
      <c r="S1481">
        <v>-72233</v>
      </c>
    </row>
    <row r="1482" spans="16:19" x14ac:dyDescent="0.3">
      <c r="P1482">
        <v>1481</v>
      </c>
      <c r="Q1482">
        <v>-311822</v>
      </c>
      <c r="S1482">
        <v>-752799</v>
      </c>
    </row>
    <row r="1483" spans="16:19" x14ac:dyDescent="0.3">
      <c r="P1483">
        <v>1482</v>
      </c>
      <c r="Q1483">
        <v>-473362</v>
      </c>
      <c r="S1483">
        <v>-45140</v>
      </c>
    </row>
    <row r="1484" spans="16:19" x14ac:dyDescent="0.3">
      <c r="P1484">
        <v>1483</v>
      </c>
      <c r="Q1484">
        <v>157882</v>
      </c>
      <c r="S1484">
        <v>333906</v>
      </c>
    </row>
    <row r="1485" spans="16:19" x14ac:dyDescent="0.3">
      <c r="P1485">
        <v>1484</v>
      </c>
      <c r="Q1485">
        <v>74568</v>
      </c>
      <c r="S1485">
        <v>-562516</v>
      </c>
    </row>
    <row r="1486" spans="16:19" x14ac:dyDescent="0.3">
      <c r="P1486">
        <v>1485</v>
      </c>
      <c r="Q1486">
        <v>-527349</v>
      </c>
      <c r="S1486">
        <v>-431104</v>
      </c>
    </row>
    <row r="1487" spans="16:19" x14ac:dyDescent="0.3">
      <c r="P1487">
        <v>1486</v>
      </c>
      <c r="Q1487">
        <v>-96509</v>
      </c>
      <c r="S1487">
        <v>674866</v>
      </c>
    </row>
    <row r="1488" spans="16:19" x14ac:dyDescent="0.3">
      <c r="P1488">
        <v>1487</v>
      </c>
      <c r="Q1488">
        <v>-755140</v>
      </c>
      <c r="S1488">
        <v>987833</v>
      </c>
    </row>
    <row r="1489" spans="16:19" x14ac:dyDescent="0.3">
      <c r="P1489">
        <v>1488</v>
      </c>
      <c r="Q1489">
        <v>-201597</v>
      </c>
      <c r="S1489">
        <v>409253</v>
      </c>
    </row>
    <row r="1490" spans="16:19" x14ac:dyDescent="0.3">
      <c r="P1490">
        <v>1489</v>
      </c>
      <c r="Q1490">
        <v>749057</v>
      </c>
      <c r="S1490">
        <v>-619288</v>
      </c>
    </row>
    <row r="1491" spans="16:19" x14ac:dyDescent="0.3">
      <c r="P1491">
        <v>1490</v>
      </c>
      <c r="Q1491">
        <v>-545732</v>
      </c>
      <c r="S1491">
        <v>16947</v>
      </c>
    </row>
    <row r="1492" spans="16:19" x14ac:dyDescent="0.3">
      <c r="P1492">
        <v>1491</v>
      </c>
      <c r="Q1492">
        <v>168329</v>
      </c>
      <c r="S1492">
        <v>-596042</v>
      </c>
    </row>
    <row r="1493" spans="16:19" x14ac:dyDescent="0.3">
      <c r="P1493">
        <v>1492</v>
      </c>
      <c r="Q1493">
        <v>335257</v>
      </c>
      <c r="S1493">
        <v>-463886</v>
      </c>
    </row>
    <row r="1494" spans="16:19" x14ac:dyDescent="0.3">
      <c r="P1494">
        <v>1493</v>
      </c>
      <c r="Q1494">
        <v>-57508</v>
      </c>
      <c r="S1494">
        <v>-550789</v>
      </c>
    </row>
    <row r="1495" spans="16:19" x14ac:dyDescent="0.3">
      <c r="P1495">
        <v>1494</v>
      </c>
      <c r="Q1495">
        <v>-514621</v>
      </c>
      <c r="S1495">
        <v>243936</v>
      </c>
    </row>
    <row r="1496" spans="16:19" x14ac:dyDescent="0.3">
      <c r="P1496">
        <v>1495</v>
      </c>
      <c r="Q1496">
        <v>-256569</v>
      </c>
      <c r="S1496">
        <v>362379</v>
      </c>
    </row>
    <row r="1497" spans="16:19" x14ac:dyDescent="0.3">
      <c r="P1497">
        <v>1496</v>
      </c>
      <c r="Q1497">
        <v>41046</v>
      </c>
      <c r="S1497">
        <v>338030</v>
      </c>
    </row>
    <row r="1498" spans="16:19" x14ac:dyDescent="0.3">
      <c r="P1498">
        <v>1497</v>
      </c>
      <c r="Q1498">
        <v>465605</v>
      </c>
      <c r="S1498">
        <v>111647</v>
      </c>
    </row>
    <row r="1499" spans="16:19" x14ac:dyDescent="0.3">
      <c r="P1499">
        <v>1498</v>
      </c>
      <c r="Q1499">
        <v>-451260</v>
      </c>
      <c r="S1499">
        <v>-315718</v>
      </c>
    </row>
    <row r="1500" spans="16:19" x14ac:dyDescent="0.3">
      <c r="P1500">
        <v>1499</v>
      </c>
      <c r="Q1500">
        <v>388534</v>
      </c>
      <c r="S1500">
        <v>-472618</v>
      </c>
    </row>
    <row r="1501" spans="16:19" x14ac:dyDescent="0.3">
      <c r="P1501">
        <v>1500</v>
      </c>
      <c r="Q1501">
        <v>-77619</v>
      </c>
      <c r="S1501">
        <v>218384</v>
      </c>
    </row>
    <row r="1502" spans="16:19" x14ac:dyDescent="0.3">
      <c r="P1502">
        <v>1501</v>
      </c>
      <c r="Q1502">
        <v>246632</v>
      </c>
      <c r="S1502">
        <v>-617969</v>
      </c>
    </row>
    <row r="1503" spans="16:19" x14ac:dyDescent="0.3">
      <c r="P1503">
        <v>1502</v>
      </c>
      <c r="Q1503">
        <v>250543</v>
      </c>
      <c r="S1503">
        <v>211058</v>
      </c>
    </row>
    <row r="1504" spans="16:19" x14ac:dyDescent="0.3">
      <c r="P1504">
        <v>1503</v>
      </c>
      <c r="Q1504">
        <v>89979</v>
      </c>
      <c r="S1504">
        <v>14867</v>
      </c>
    </row>
    <row r="1505" spans="16:19" x14ac:dyDescent="0.3">
      <c r="P1505">
        <v>1504</v>
      </c>
      <c r="Q1505">
        <v>261778</v>
      </c>
      <c r="S1505">
        <v>-484421</v>
      </c>
    </row>
    <row r="1506" spans="16:19" x14ac:dyDescent="0.3">
      <c r="P1506">
        <v>1505</v>
      </c>
      <c r="Q1506">
        <v>-76573</v>
      </c>
      <c r="S1506">
        <v>-48183</v>
      </c>
    </row>
    <row r="1507" spans="16:19" x14ac:dyDescent="0.3">
      <c r="P1507">
        <v>1506</v>
      </c>
      <c r="Q1507">
        <v>-214307</v>
      </c>
      <c r="S1507">
        <v>262992</v>
      </c>
    </row>
    <row r="1508" spans="16:19" x14ac:dyDescent="0.3">
      <c r="P1508">
        <v>1507</v>
      </c>
      <c r="Q1508">
        <v>80783</v>
      </c>
      <c r="S1508">
        <v>-433669</v>
      </c>
    </row>
    <row r="1509" spans="16:19" x14ac:dyDescent="0.3">
      <c r="P1509">
        <v>1508</v>
      </c>
      <c r="Q1509">
        <v>-248459</v>
      </c>
      <c r="S1509">
        <v>-497250</v>
      </c>
    </row>
    <row r="1510" spans="16:19" x14ac:dyDescent="0.3">
      <c r="P1510">
        <v>1509</v>
      </c>
      <c r="Q1510">
        <v>176765</v>
      </c>
      <c r="S1510">
        <v>-470879</v>
      </c>
    </row>
    <row r="1511" spans="16:19" x14ac:dyDescent="0.3">
      <c r="P1511">
        <v>1510</v>
      </c>
      <c r="Q1511">
        <v>-557830</v>
      </c>
      <c r="S1511">
        <v>-435396</v>
      </c>
    </row>
    <row r="1512" spans="16:19" x14ac:dyDescent="0.3">
      <c r="P1512">
        <v>1511</v>
      </c>
      <c r="Q1512">
        <v>-560517</v>
      </c>
      <c r="S1512">
        <v>103670</v>
      </c>
    </row>
    <row r="1513" spans="16:19" x14ac:dyDescent="0.3">
      <c r="P1513">
        <v>1512</v>
      </c>
      <c r="Q1513">
        <v>-452122</v>
      </c>
      <c r="S1513">
        <v>-404693</v>
      </c>
    </row>
    <row r="1514" spans="16:19" x14ac:dyDescent="0.3">
      <c r="P1514">
        <v>1513</v>
      </c>
      <c r="Q1514">
        <v>-35077</v>
      </c>
      <c r="S1514">
        <v>670956</v>
      </c>
    </row>
    <row r="1515" spans="16:19" x14ac:dyDescent="0.3">
      <c r="P1515">
        <v>1514</v>
      </c>
      <c r="Q1515">
        <v>-345610</v>
      </c>
      <c r="S1515">
        <v>443571</v>
      </c>
    </row>
    <row r="1516" spans="16:19" x14ac:dyDescent="0.3">
      <c r="P1516">
        <v>1515</v>
      </c>
      <c r="Q1516">
        <v>-537751</v>
      </c>
      <c r="S1516">
        <v>679049</v>
      </c>
    </row>
    <row r="1517" spans="16:19" x14ac:dyDescent="0.3">
      <c r="P1517">
        <v>1516</v>
      </c>
      <c r="Q1517">
        <v>648562</v>
      </c>
      <c r="S1517">
        <v>-119335</v>
      </c>
    </row>
    <row r="1518" spans="16:19" x14ac:dyDescent="0.3">
      <c r="P1518">
        <v>1517</v>
      </c>
      <c r="Q1518">
        <v>104453</v>
      </c>
      <c r="S1518">
        <v>825192</v>
      </c>
    </row>
    <row r="1519" spans="16:19" x14ac:dyDescent="0.3">
      <c r="P1519">
        <v>1518</v>
      </c>
      <c r="Q1519">
        <v>315294</v>
      </c>
      <c r="S1519">
        <v>505922</v>
      </c>
    </row>
    <row r="1520" spans="16:19" x14ac:dyDescent="0.3">
      <c r="P1520">
        <v>1519</v>
      </c>
      <c r="Q1520">
        <v>-473244</v>
      </c>
      <c r="S1520">
        <v>104751</v>
      </c>
    </row>
    <row r="1521" spans="16:19" x14ac:dyDescent="0.3">
      <c r="P1521">
        <v>1520</v>
      </c>
      <c r="Q1521">
        <v>456894</v>
      </c>
      <c r="S1521">
        <v>-469662</v>
      </c>
    </row>
    <row r="1522" spans="16:19" x14ac:dyDescent="0.3">
      <c r="P1522">
        <v>1521</v>
      </c>
      <c r="Q1522">
        <v>240744</v>
      </c>
      <c r="S1522">
        <v>626657</v>
      </c>
    </row>
    <row r="1523" spans="16:19" x14ac:dyDescent="0.3">
      <c r="P1523">
        <v>1522</v>
      </c>
      <c r="Q1523">
        <v>472652</v>
      </c>
      <c r="S1523">
        <v>-318328</v>
      </c>
    </row>
    <row r="1524" spans="16:19" x14ac:dyDescent="0.3">
      <c r="P1524">
        <v>1523</v>
      </c>
      <c r="Q1524">
        <v>224307</v>
      </c>
      <c r="S1524">
        <v>-19437</v>
      </c>
    </row>
    <row r="1525" spans="16:19" x14ac:dyDescent="0.3">
      <c r="P1525">
        <v>1524</v>
      </c>
      <c r="Q1525">
        <v>289924</v>
      </c>
      <c r="S1525">
        <v>392467</v>
      </c>
    </row>
    <row r="1526" spans="16:19" x14ac:dyDescent="0.3">
      <c r="P1526">
        <v>1525</v>
      </c>
      <c r="Q1526">
        <v>57298</v>
      </c>
      <c r="S1526">
        <v>-427071</v>
      </c>
    </row>
    <row r="1527" spans="16:19" x14ac:dyDescent="0.3">
      <c r="P1527">
        <v>1526</v>
      </c>
      <c r="Q1527">
        <v>-416622</v>
      </c>
      <c r="S1527">
        <v>430178</v>
      </c>
    </row>
    <row r="1528" spans="16:19" x14ac:dyDescent="0.3">
      <c r="P1528">
        <v>1527</v>
      </c>
      <c r="Q1528">
        <v>-500932</v>
      </c>
      <c r="S1528">
        <v>302242</v>
      </c>
    </row>
    <row r="1529" spans="16:19" x14ac:dyDescent="0.3">
      <c r="P1529">
        <v>1528</v>
      </c>
      <c r="Q1529">
        <v>-567641</v>
      </c>
      <c r="S1529">
        <v>718400</v>
      </c>
    </row>
    <row r="1530" spans="16:19" x14ac:dyDescent="0.3">
      <c r="P1530">
        <v>1529</v>
      </c>
      <c r="Q1530">
        <v>-372333</v>
      </c>
      <c r="S1530">
        <v>-223281</v>
      </c>
    </row>
    <row r="1531" spans="16:19" x14ac:dyDescent="0.3">
      <c r="P1531">
        <v>1530</v>
      </c>
      <c r="Q1531">
        <v>-761862</v>
      </c>
      <c r="S1531">
        <v>-56027</v>
      </c>
    </row>
    <row r="1532" spans="16:19" x14ac:dyDescent="0.3">
      <c r="P1532">
        <v>1531</v>
      </c>
      <c r="Q1532">
        <v>-171938</v>
      </c>
      <c r="S1532">
        <v>362026</v>
      </c>
    </row>
    <row r="1533" spans="16:19" x14ac:dyDescent="0.3">
      <c r="P1533">
        <v>1532</v>
      </c>
      <c r="Q1533">
        <v>-780349</v>
      </c>
      <c r="S1533">
        <v>-472818</v>
      </c>
    </row>
    <row r="1534" spans="16:19" x14ac:dyDescent="0.3">
      <c r="P1534">
        <v>1533</v>
      </c>
      <c r="Q1534">
        <v>471669</v>
      </c>
      <c r="S1534">
        <v>-188219</v>
      </c>
    </row>
    <row r="1535" spans="16:19" x14ac:dyDescent="0.3">
      <c r="P1535">
        <v>1534</v>
      </c>
      <c r="Q1535">
        <v>354395</v>
      </c>
      <c r="S1535">
        <v>-682169</v>
      </c>
    </row>
    <row r="1536" spans="16:19" x14ac:dyDescent="0.3">
      <c r="P1536">
        <v>1535</v>
      </c>
      <c r="Q1536">
        <v>-486184</v>
      </c>
      <c r="S1536">
        <v>159935</v>
      </c>
    </row>
    <row r="1537" spans="16:19" x14ac:dyDescent="0.3">
      <c r="P1537">
        <v>1536</v>
      </c>
      <c r="Q1537">
        <v>539434</v>
      </c>
      <c r="S1537">
        <v>-295392</v>
      </c>
    </row>
    <row r="1538" spans="16:19" x14ac:dyDescent="0.3">
      <c r="P1538">
        <v>1537</v>
      </c>
      <c r="Q1538">
        <v>-158963</v>
      </c>
      <c r="S1538">
        <v>41120</v>
      </c>
    </row>
    <row r="1539" spans="16:19" x14ac:dyDescent="0.3">
      <c r="P1539">
        <v>1538</v>
      </c>
      <c r="Q1539">
        <v>-91579</v>
      </c>
      <c r="S1539">
        <v>227720</v>
      </c>
    </row>
    <row r="1540" spans="16:19" x14ac:dyDescent="0.3">
      <c r="P1540">
        <v>1539</v>
      </c>
      <c r="Q1540">
        <v>-116493</v>
      </c>
      <c r="S1540">
        <v>321610</v>
      </c>
    </row>
    <row r="1541" spans="16:19" x14ac:dyDescent="0.3">
      <c r="P1541">
        <v>1540</v>
      </c>
      <c r="Q1541">
        <v>-291876</v>
      </c>
      <c r="S1541">
        <v>754840</v>
      </c>
    </row>
    <row r="1542" spans="16:19" x14ac:dyDescent="0.3">
      <c r="P1542">
        <v>1541</v>
      </c>
      <c r="Q1542">
        <v>-495997</v>
      </c>
      <c r="S1542">
        <v>-92060</v>
      </c>
    </row>
    <row r="1543" spans="16:19" x14ac:dyDescent="0.3">
      <c r="P1543">
        <v>1542</v>
      </c>
      <c r="Q1543">
        <v>127982</v>
      </c>
      <c r="S1543">
        <v>514662</v>
      </c>
    </row>
    <row r="1544" spans="16:19" x14ac:dyDescent="0.3">
      <c r="P1544">
        <v>1543</v>
      </c>
      <c r="Q1544">
        <v>313274</v>
      </c>
      <c r="S1544">
        <v>887082</v>
      </c>
    </row>
    <row r="1545" spans="16:19" x14ac:dyDescent="0.3">
      <c r="P1545">
        <v>1544</v>
      </c>
      <c r="Q1545">
        <v>-604175</v>
      </c>
      <c r="S1545">
        <v>358076</v>
      </c>
    </row>
    <row r="1546" spans="16:19" x14ac:dyDescent="0.3">
      <c r="P1546">
        <v>1545</v>
      </c>
      <c r="Q1546">
        <v>-58671</v>
      </c>
      <c r="S1546">
        <v>286251</v>
      </c>
    </row>
    <row r="1547" spans="16:19" x14ac:dyDescent="0.3">
      <c r="P1547">
        <v>1546</v>
      </c>
      <c r="Q1547">
        <v>-659993</v>
      </c>
      <c r="S1547">
        <v>-661350</v>
      </c>
    </row>
    <row r="1548" spans="16:19" x14ac:dyDescent="0.3">
      <c r="P1548">
        <v>1547</v>
      </c>
      <c r="Q1548">
        <v>326608</v>
      </c>
      <c r="S1548">
        <v>-6965</v>
      </c>
    </row>
    <row r="1549" spans="16:19" x14ac:dyDescent="0.3">
      <c r="P1549">
        <v>1548</v>
      </c>
      <c r="Q1549">
        <v>-515307</v>
      </c>
      <c r="S1549">
        <v>54668</v>
      </c>
    </row>
    <row r="1550" spans="16:19" x14ac:dyDescent="0.3">
      <c r="P1550">
        <v>1549</v>
      </c>
      <c r="Q1550">
        <v>250635</v>
      </c>
      <c r="S1550">
        <v>64181</v>
      </c>
    </row>
    <row r="1551" spans="16:19" x14ac:dyDescent="0.3">
      <c r="P1551">
        <v>1550</v>
      </c>
      <c r="Q1551">
        <v>-544161</v>
      </c>
      <c r="S1551">
        <v>221016</v>
      </c>
    </row>
    <row r="1552" spans="16:19" x14ac:dyDescent="0.3">
      <c r="P1552">
        <v>1551</v>
      </c>
      <c r="Q1552">
        <v>701295</v>
      </c>
      <c r="S1552">
        <v>-199026</v>
      </c>
    </row>
    <row r="1553" spans="16:19" x14ac:dyDescent="0.3">
      <c r="P1553">
        <v>1552</v>
      </c>
      <c r="Q1553">
        <v>-585006</v>
      </c>
      <c r="S1553">
        <v>-310778</v>
      </c>
    </row>
    <row r="1554" spans="16:19" x14ac:dyDescent="0.3">
      <c r="P1554">
        <v>1553</v>
      </c>
      <c r="Q1554">
        <v>927310</v>
      </c>
      <c r="S1554">
        <v>464367</v>
      </c>
    </row>
    <row r="1555" spans="16:19" x14ac:dyDescent="0.3">
      <c r="P1555">
        <v>1554</v>
      </c>
      <c r="Q1555">
        <v>649108</v>
      </c>
      <c r="S1555">
        <v>309553</v>
      </c>
    </row>
    <row r="1556" spans="16:19" x14ac:dyDescent="0.3">
      <c r="P1556">
        <v>1555</v>
      </c>
      <c r="Q1556">
        <v>-434127</v>
      </c>
      <c r="S1556">
        <v>461312</v>
      </c>
    </row>
    <row r="1557" spans="16:19" x14ac:dyDescent="0.3">
      <c r="P1557">
        <v>1556</v>
      </c>
      <c r="Q1557">
        <v>486974</v>
      </c>
      <c r="S1557">
        <v>222954</v>
      </c>
    </row>
    <row r="1558" spans="16:19" x14ac:dyDescent="0.3">
      <c r="P1558">
        <v>1557</v>
      </c>
      <c r="Q1558">
        <v>-316584</v>
      </c>
      <c r="S1558">
        <v>170586</v>
      </c>
    </row>
    <row r="1559" spans="16:19" x14ac:dyDescent="0.3">
      <c r="P1559">
        <v>1558</v>
      </c>
      <c r="Q1559">
        <v>-531770</v>
      </c>
      <c r="S1559">
        <v>-429593</v>
      </c>
    </row>
    <row r="1560" spans="16:19" x14ac:dyDescent="0.3">
      <c r="P1560">
        <v>1559</v>
      </c>
      <c r="Q1560">
        <v>-163173</v>
      </c>
      <c r="S1560">
        <v>485028</v>
      </c>
    </row>
    <row r="1561" spans="16:19" x14ac:dyDescent="0.3">
      <c r="P1561">
        <v>1560</v>
      </c>
      <c r="Q1561">
        <v>404478</v>
      </c>
      <c r="S1561">
        <v>-90521</v>
      </c>
    </row>
    <row r="1562" spans="16:19" x14ac:dyDescent="0.3">
      <c r="P1562">
        <v>1561</v>
      </c>
      <c r="Q1562">
        <v>180607</v>
      </c>
      <c r="S1562">
        <v>366061</v>
      </c>
    </row>
    <row r="1563" spans="16:19" x14ac:dyDescent="0.3">
      <c r="P1563">
        <v>1562</v>
      </c>
      <c r="Q1563">
        <v>312164</v>
      </c>
      <c r="S1563">
        <v>13868</v>
      </c>
    </row>
    <row r="1564" spans="16:19" x14ac:dyDescent="0.3">
      <c r="P1564">
        <v>1563</v>
      </c>
      <c r="Q1564">
        <v>-160748</v>
      </c>
      <c r="S1564">
        <v>7992</v>
      </c>
    </row>
    <row r="1565" spans="16:19" x14ac:dyDescent="0.3">
      <c r="P1565">
        <v>1564</v>
      </c>
      <c r="Q1565">
        <v>314866</v>
      </c>
      <c r="S1565">
        <v>266481</v>
      </c>
    </row>
    <row r="1566" spans="16:19" x14ac:dyDescent="0.3">
      <c r="P1566">
        <v>1565</v>
      </c>
      <c r="Q1566">
        <v>-467770</v>
      </c>
      <c r="S1566">
        <v>-689845</v>
      </c>
    </row>
    <row r="1567" spans="16:19" x14ac:dyDescent="0.3">
      <c r="P1567">
        <v>1566</v>
      </c>
      <c r="Q1567">
        <v>36957</v>
      </c>
      <c r="S1567">
        <v>650734</v>
      </c>
    </row>
    <row r="1568" spans="16:19" x14ac:dyDescent="0.3">
      <c r="P1568">
        <v>1567</v>
      </c>
      <c r="Q1568">
        <v>430749</v>
      </c>
      <c r="S1568">
        <v>-171746</v>
      </c>
    </row>
    <row r="1569" spans="16:19" x14ac:dyDescent="0.3">
      <c r="P1569">
        <v>1568</v>
      </c>
      <c r="Q1569">
        <v>968472</v>
      </c>
      <c r="S1569">
        <v>-326860</v>
      </c>
    </row>
    <row r="1570" spans="16:19" x14ac:dyDescent="0.3">
      <c r="P1570">
        <v>1569</v>
      </c>
      <c r="Q1570">
        <v>527817</v>
      </c>
      <c r="S1570">
        <v>-544616</v>
      </c>
    </row>
    <row r="1571" spans="16:19" x14ac:dyDescent="0.3">
      <c r="P1571">
        <v>1570</v>
      </c>
      <c r="Q1571">
        <v>-362180</v>
      </c>
      <c r="S1571">
        <v>254369</v>
      </c>
    </row>
    <row r="1572" spans="16:19" x14ac:dyDescent="0.3">
      <c r="P1572">
        <v>1571</v>
      </c>
      <c r="Q1572">
        <v>581007</v>
      </c>
      <c r="S1572">
        <v>293720</v>
      </c>
    </row>
    <row r="1573" spans="16:19" x14ac:dyDescent="0.3">
      <c r="P1573">
        <v>1572</v>
      </c>
      <c r="Q1573">
        <v>127391</v>
      </c>
      <c r="S1573">
        <v>-424995</v>
      </c>
    </row>
    <row r="1574" spans="16:19" x14ac:dyDescent="0.3">
      <c r="P1574">
        <v>1573</v>
      </c>
      <c r="Q1574">
        <v>-75896</v>
      </c>
      <c r="S1574">
        <v>-878342</v>
      </c>
    </row>
    <row r="1575" spans="16:19" x14ac:dyDescent="0.3">
      <c r="P1575">
        <v>1574</v>
      </c>
      <c r="Q1575">
        <v>-299964</v>
      </c>
      <c r="S1575">
        <v>-110301</v>
      </c>
    </row>
    <row r="1576" spans="16:19" x14ac:dyDescent="0.3">
      <c r="P1576">
        <v>1575</v>
      </c>
      <c r="Q1576">
        <v>124813</v>
      </c>
      <c r="S1576">
        <v>457426</v>
      </c>
    </row>
    <row r="1577" spans="16:19" x14ac:dyDescent="0.3">
      <c r="P1577">
        <v>1576</v>
      </c>
      <c r="Q1577">
        <v>20738</v>
      </c>
      <c r="S1577">
        <v>667134</v>
      </c>
    </row>
    <row r="1578" spans="16:19" x14ac:dyDescent="0.3">
      <c r="P1578">
        <v>1577</v>
      </c>
      <c r="Q1578">
        <v>-231126</v>
      </c>
      <c r="S1578">
        <v>11759</v>
      </c>
    </row>
    <row r="1579" spans="16:19" x14ac:dyDescent="0.3">
      <c r="P1579">
        <v>1578</v>
      </c>
      <c r="Q1579">
        <v>-303145</v>
      </c>
      <c r="S1579">
        <v>512689</v>
      </c>
    </row>
    <row r="1580" spans="16:19" x14ac:dyDescent="0.3">
      <c r="P1580">
        <v>1579</v>
      </c>
      <c r="Q1580">
        <v>-38668</v>
      </c>
      <c r="S1580">
        <v>741337</v>
      </c>
    </row>
    <row r="1581" spans="16:19" x14ac:dyDescent="0.3">
      <c r="P1581">
        <v>1580</v>
      </c>
      <c r="Q1581">
        <v>221793</v>
      </c>
      <c r="S1581">
        <v>-465817</v>
      </c>
    </row>
    <row r="1582" spans="16:19" x14ac:dyDescent="0.3">
      <c r="P1582">
        <v>1581</v>
      </c>
      <c r="Q1582">
        <v>-84192</v>
      </c>
      <c r="S1582">
        <v>-18360</v>
      </c>
    </row>
    <row r="1583" spans="16:19" x14ac:dyDescent="0.3">
      <c r="P1583">
        <v>1582</v>
      </c>
      <c r="Q1583">
        <v>-797878</v>
      </c>
      <c r="S1583">
        <v>826976</v>
      </c>
    </row>
    <row r="1584" spans="16:19" x14ac:dyDescent="0.3">
      <c r="P1584">
        <v>1583</v>
      </c>
      <c r="Q1584">
        <v>-352436</v>
      </c>
      <c r="S1584">
        <v>-363565</v>
      </c>
    </row>
    <row r="1585" spans="16:19" x14ac:dyDescent="0.3">
      <c r="P1585">
        <v>1584</v>
      </c>
      <c r="Q1585">
        <v>-153057</v>
      </c>
      <c r="S1585">
        <v>-327853</v>
      </c>
    </row>
    <row r="1586" spans="16:19" x14ac:dyDescent="0.3">
      <c r="P1586">
        <v>1585</v>
      </c>
      <c r="Q1586">
        <v>825163</v>
      </c>
      <c r="S1586">
        <v>460744</v>
      </c>
    </row>
    <row r="1587" spans="16:19" x14ac:dyDescent="0.3">
      <c r="P1587">
        <v>1586</v>
      </c>
      <c r="Q1587">
        <v>236512</v>
      </c>
      <c r="S1587">
        <v>642566</v>
      </c>
    </row>
    <row r="1588" spans="16:19" x14ac:dyDescent="0.3">
      <c r="P1588">
        <v>1587</v>
      </c>
      <c r="Q1588">
        <v>-215636</v>
      </c>
      <c r="S1588">
        <v>-190587</v>
      </c>
    </row>
    <row r="1589" spans="16:19" x14ac:dyDescent="0.3">
      <c r="P1589">
        <v>1588</v>
      </c>
      <c r="Q1589">
        <v>779652</v>
      </c>
      <c r="S1589">
        <v>158153</v>
      </c>
    </row>
    <row r="1590" spans="16:19" x14ac:dyDescent="0.3">
      <c r="P1590">
        <v>1589</v>
      </c>
      <c r="Q1590">
        <v>542826</v>
      </c>
      <c r="S1590">
        <v>-185094</v>
      </c>
    </row>
    <row r="1591" spans="16:19" x14ac:dyDescent="0.3">
      <c r="P1591">
        <v>1590</v>
      </c>
      <c r="Q1591">
        <v>306659</v>
      </c>
      <c r="S1591">
        <v>-712014</v>
      </c>
    </row>
    <row r="1592" spans="16:19" x14ac:dyDescent="0.3">
      <c r="P1592">
        <v>1591</v>
      </c>
      <c r="Q1592">
        <v>-667763</v>
      </c>
      <c r="S1592">
        <v>-172818</v>
      </c>
    </row>
    <row r="1593" spans="16:19" x14ac:dyDescent="0.3">
      <c r="P1593">
        <v>1592</v>
      </c>
      <c r="Q1593">
        <v>392401</v>
      </c>
      <c r="S1593">
        <v>-654506</v>
      </c>
    </row>
    <row r="1594" spans="16:19" x14ac:dyDescent="0.3">
      <c r="P1594">
        <v>1593</v>
      </c>
      <c r="Q1594">
        <v>431644</v>
      </c>
      <c r="S1594">
        <v>-661604</v>
      </c>
    </row>
    <row r="1595" spans="16:19" x14ac:dyDescent="0.3">
      <c r="P1595">
        <v>1594</v>
      </c>
      <c r="Q1595">
        <v>865020</v>
      </c>
      <c r="S1595">
        <v>8444</v>
      </c>
    </row>
    <row r="1596" spans="16:19" x14ac:dyDescent="0.3">
      <c r="P1596">
        <v>1595</v>
      </c>
      <c r="Q1596">
        <v>-281397</v>
      </c>
      <c r="S1596">
        <v>673734</v>
      </c>
    </row>
    <row r="1597" spans="16:19" x14ac:dyDescent="0.3">
      <c r="P1597">
        <v>1596</v>
      </c>
      <c r="Q1597">
        <v>630767</v>
      </c>
      <c r="S1597">
        <v>-375094</v>
      </c>
    </row>
    <row r="1598" spans="16:19" x14ac:dyDescent="0.3">
      <c r="P1598">
        <v>1597</v>
      </c>
      <c r="Q1598">
        <v>-680681</v>
      </c>
      <c r="S1598">
        <v>-260331</v>
      </c>
    </row>
    <row r="1599" spans="16:19" x14ac:dyDescent="0.3">
      <c r="P1599">
        <v>1598</v>
      </c>
      <c r="Q1599">
        <v>-642680</v>
      </c>
      <c r="S1599">
        <v>265603</v>
      </c>
    </row>
    <row r="1600" spans="16:19" x14ac:dyDescent="0.3">
      <c r="P1600">
        <v>1599</v>
      </c>
      <c r="Q1600">
        <v>299268</v>
      </c>
      <c r="S1600">
        <v>17613</v>
      </c>
    </row>
    <row r="1601" spans="16:19" x14ac:dyDescent="0.3">
      <c r="P1601">
        <v>1600</v>
      </c>
      <c r="Q1601">
        <v>-20579</v>
      </c>
      <c r="S1601">
        <v>462933</v>
      </c>
    </row>
    <row r="1602" spans="16:19" x14ac:dyDescent="0.3">
      <c r="P1602">
        <v>1601</v>
      </c>
      <c r="Q1602">
        <v>610008</v>
      </c>
      <c r="S1602">
        <v>63822</v>
      </c>
    </row>
    <row r="1603" spans="16:19" x14ac:dyDescent="0.3">
      <c r="P1603">
        <v>1602</v>
      </c>
      <c r="Q1603">
        <v>-398539</v>
      </c>
      <c r="S1603">
        <v>51155</v>
      </c>
    </row>
    <row r="1604" spans="16:19" x14ac:dyDescent="0.3">
      <c r="P1604">
        <v>1603</v>
      </c>
      <c r="Q1604">
        <v>-199845</v>
      </c>
      <c r="S1604">
        <v>966848</v>
      </c>
    </row>
    <row r="1605" spans="16:19" x14ac:dyDescent="0.3">
      <c r="P1605">
        <v>1604</v>
      </c>
      <c r="Q1605">
        <v>-60569</v>
      </c>
      <c r="S1605">
        <v>174876</v>
      </c>
    </row>
    <row r="1606" spans="16:19" x14ac:dyDescent="0.3">
      <c r="P1606">
        <v>1605</v>
      </c>
      <c r="Q1606">
        <v>-794651</v>
      </c>
      <c r="S1606">
        <v>38907</v>
      </c>
    </row>
    <row r="1607" spans="16:19" x14ac:dyDescent="0.3">
      <c r="P1607">
        <v>1606</v>
      </c>
      <c r="Q1607">
        <v>944527</v>
      </c>
      <c r="S1607">
        <v>-282976</v>
      </c>
    </row>
    <row r="1608" spans="16:19" x14ac:dyDescent="0.3">
      <c r="P1608">
        <v>1607</v>
      </c>
      <c r="Q1608">
        <v>420710</v>
      </c>
      <c r="S1608">
        <v>-245746</v>
      </c>
    </row>
    <row r="1609" spans="16:19" x14ac:dyDescent="0.3">
      <c r="P1609">
        <v>1608</v>
      </c>
      <c r="Q1609">
        <v>-245358</v>
      </c>
      <c r="S1609">
        <v>-462412</v>
      </c>
    </row>
    <row r="1610" spans="16:19" x14ac:dyDescent="0.3">
      <c r="P1610">
        <v>1609</v>
      </c>
      <c r="Q1610">
        <v>434876</v>
      </c>
      <c r="S1610">
        <v>646006</v>
      </c>
    </row>
    <row r="1611" spans="16:19" x14ac:dyDescent="0.3">
      <c r="P1611">
        <v>1610</v>
      </c>
      <c r="Q1611">
        <v>-307604</v>
      </c>
      <c r="S1611">
        <v>18608</v>
      </c>
    </row>
    <row r="1612" spans="16:19" x14ac:dyDescent="0.3">
      <c r="P1612">
        <v>1611</v>
      </c>
      <c r="Q1612">
        <v>118943</v>
      </c>
      <c r="S1612">
        <v>91443</v>
      </c>
    </row>
    <row r="1613" spans="16:19" x14ac:dyDescent="0.3">
      <c r="P1613">
        <v>1612</v>
      </c>
      <c r="Q1613">
        <v>-674627</v>
      </c>
      <c r="S1613">
        <v>170150</v>
      </c>
    </row>
    <row r="1614" spans="16:19" x14ac:dyDescent="0.3">
      <c r="P1614">
        <v>1613</v>
      </c>
      <c r="Q1614">
        <v>841880</v>
      </c>
      <c r="S1614">
        <v>-324736</v>
      </c>
    </row>
    <row r="1615" spans="16:19" x14ac:dyDescent="0.3">
      <c r="P1615">
        <v>1614</v>
      </c>
      <c r="Q1615">
        <v>-121264</v>
      </c>
      <c r="S1615">
        <v>-39325</v>
      </c>
    </row>
    <row r="1616" spans="16:19" x14ac:dyDescent="0.3">
      <c r="P1616">
        <v>1615</v>
      </c>
      <c r="Q1616">
        <v>85418</v>
      </c>
      <c r="S1616">
        <v>9823</v>
      </c>
    </row>
    <row r="1617" spans="16:19" x14ac:dyDescent="0.3">
      <c r="P1617">
        <v>1616</v>
      </c>
      <c r="Q1617">
        <v>656495</v>
      </c>
      <c r="S1617">
        <v>466661</v>
      </c>
    </row>
    <row r="1618" spans="16:19" x14ac:dyDescent="0.3">
      <c r="P1618">
        <v>1617</v>
      </c>
      <c r="Q1618">
        <v>310174</v>
      </c>
      <c r="S1618">
        <v>288071</v>
      </c>
    </row>
    <row r="1619" spans="16:19" x14ac:dyDescent="0.3">
      <c r="P1619">
        <v>1618</v>
      </c>
      <c r="Q1619">
        <v>-214845</v>
      </c>
      <c r="S1619">
        <v>-622044</v>
      </c>
    </row>
    <row r="1620" spans="16:19" x14ac:dyDescent="0.3">
      <c r="P1620">
        <v>1619</v>
      </c>
      <c r="Q1620">
        <v>-325635</v>
      </c>
      <c r="S1620">
        <v>301520</v>
      </c>
    </row>
    <row r="1621" spans="16:19" x14ac:dyDescent="0.3">
      <c r="P1621">
        <v>1620</v>
      </c>
      <c r="Q1621">
        <v>-265261</v>
      </c>
      <c r="S1621">
        <v>-524050</v>
      </c>
    </row>
    <row r="1622" spans="16:19" x14ac:dyDescent="0.3">
      <c r="P1622">
        <v>1621</v>
      </c>
      <c r="Q1622">
        <v>53555</v>
      </c>
      <c r="S1622">
        <v>43520</v>
      </c>
    </row>
    <row r="1623" spans="16:19" x14ac:dyDescent="0.3">
      <c r="P1623">
        <v>1622</v>
      </c>
      <c r="Q1623">
        <v>-757405</v>
      </c>
      <c r="S1623">
        <v>-108312</v>
      </c>
    </row>
    <row r="1624" spans="16:19" x14ac:dyDescent="0.3">
      <c r="P1624">
        <v>1623</v>
      </c>
      <c r="Q1624">
        <v>30248</v>
      </c>
      <c r="S1624">
        <v>-611173</v>
      </c>
    </row>
    <row r="1625" spans="16:19" x14ac:dyDescent="0.3">
      <c r="P1625">
        <v>1624</v>
      </c>
      <c r="Q1625">
        <v>296753</v>
      </c>
      <c r="S1625">
        <v>-759319</v>
      </c>
    </row>
    <row r="1626" spans="16:19" x14ac:dyDescent="0.3">
      <c r="P1626">
        <v>1625</v>
      </c>
      <c r="Q1626">
        <v>-162761</v>
      </c>
      <c r="S1626">
        <v>349618</v>
      </c>
    </row>
    <row r="1627" spans="16:19" x14ac:dyDescent="0.3">
      <c r="P1627">
        <v>1626</v>
      </c>
      <c r="Q1627">
        <v>594048</v>
      </c>
      <c r="S1627">
        <v>-599489</v>
      </c>
    </row>
    <row r="1628" spans="16:19" x14ac:dyDescent="0.3">
      <c r="P1628">
        <v>1627</v>
      </c>
      <c r="Q1628">
        <v>-246301</v>
      </c>
      <c r="S1628">
        <v>276137</v>
      </c>
    </row>
    <row r="1629" spans="16:19" x14ac:dyDescent="0.3">
      <c r="P1629">
        <v>1628</v>
      </c>
      <c r="Q1629">
        <v>-820489</v>
      </c>
      <c r="S1629">
        <v>377726</v>
      </c>
    </row>
    <row r="1630" spans="16:19" x14ac:dyDescent="0.3">
      <c r="P1630">
        <v>1629</v>
      </c>
      <c r="Q1630">
        <v>321453</v>
      </c>
      <c r="S1630">
        <v>71446</v>
      </c>
    </row>
    <row r="1631" spans="16:19" x14ac:dyDescent="0.3">
      <c r="P1631">
        <v>1630</v>
      </c>
      <c r="Q1631">
        <v>-342843</v>
      </c>
      <c r="S1631">
        <v>112634</v>
      </c>
    </row>
    <row r="1632" spans="16:19" x14ac:dyDescent="0.3">
      <c r="P1632">
        <v>1631</v>
      </c>
      <c r="Q1632">
        <v>107826</v>
      </c>
      <c r="S1632">
        <v>-526504</v>
      </c>
    </row>
    <row r="1633" spans="16:19" x14ac:dyDescent="0.3">
      <c r="P1633">
        <v>1632</v>
      </c>
      <c r="Q1633">
        <v>-513399</v>
      </c>
      <c r="S1633">
        <v>-10254</v>
      </c>
    </row>
    <row r="1634" spans="16:19" x14ac:dyDescent="0.3">
      <c r="P1634">
        <v>1633</v>
      </c>
      <c r="Q1634">
        <v>876459</v>
      </c>
      <c r="S1634">
        <v>-365856</v>
      </c>
    </row>
    <row r="1635" spans="16:19" x14ac:dyDescent="0.3">
      <c r="P1635">
        <v>1634</v>
      </c>
      <c r="Q1635">
        <v>855176</v>
      </c>
      <c r="S1635">
        <v>150519</v>
      </c>
    </row>
    <row r="1636" spans="16:19" x14ac:dyDescent="0.3">
      <c r="P1636">
        <v>1635</v>
      </c>
      <c r="Q1636">
        <v>107748</v>
      </c>
      <c r="S1636">
        <v>586410</v>
      </c>
    </row>
    <row r="1637" spans="16:19" x14ac:dyDescent="0.3">
      <c r="P1637">
        <v>1636</v>
      </c>
      <c r="Q1637">
        <v>-87415</v>
      </c>
      <c r="S1637">
        <v>555859</v>
      </c>
    </row>
    <row r="1638" spans="16:19" x14ac:dyDescent="0.3">
      <c r="P1638">
        <v>1637</v>
      </c>
      <c r="Q1638">
        <v>374377</v>
      </c>
      <c r="S1638">
        <v>-347819</v>
      </c>
    </row>
    <row r="1639" spans="16:19" x14ac:dyDescent="0.3">
      <c r="P1639">
        <v>1638</v>
      </c>
      <c r="Q1639">
        <v>199907</v>
      </c>
      <c r="S1639">
        <v>329327</v>
      </c>
    </row>
    <row r="1640" spans="16:19" x14ac:dyDescent="0.3">
      <c r="P1640">
        <v>1639</v>
      </c>
      <c r="Q1640">
        <v>-271355</v>
      </c>
      <c r="S1640">
        <v>49964</v>
      </c>
    </row>
    <row r="1641" spans="16:19" x14ac:dyDescent="0.3">
      <c r="P1641">
        <v>1640</v>
      </c>
      <c r="Q1641">
        <v>533143</v>
      </c>
      <c r="S1641">
        <v>132860</v>
      </c>
    </row>
    <row r="1642" spans="16:19" x14ac:dyDescent="0.3">
      <c r="P1642">
        <v>1641</v>
      </c>
      <c r="Q1642">
        <v>635981</v>
      </c>
      <c r="S1642">
        <v>-53284</v>
      </c>
    </row>
    <row r="1643" spans="16:19" x14ac:dyDescent="0.3">
      <c r="P1643">
        <v>1642</v>
      </c>
      <c r="Q1643">
        <v>-63953</v>
      </c>
      <c r="S1643">
        <v>259837</v>
      </c>
    </row>
    <row r="1644" spans="16:19" x14ac:dyDescent="0.3">
      <c r="P1644">
        <v>1643</v>
      </c>
      <c r="Q1644">
        <v>972713</v>
      </c>
      <c r="S1644">
        <v>493805</v>
      </c>
    </row>
    <row r="1645" spans="16:19" x14ac:dyDescent="0.3">
      <c r="P1645">
        <v>1644</v>
      </c>
      <c r="Q1645">
        <v>-599873</v>
      </c>
      <c r="S1645">
        <v>-128570</v>
      </c>
    </row>
    <row r="1646" spans="16:19" x14ac:dyDescent="0.3">
      <c r="P1646">
        <v>1645</v>
      </c>
      <c r="Q1646">
        <v>-479351</v>
      </c>
      <c r="S1646">
        <v>-846170</v>
      </c>
    </row>
    <row r="1647" spans="16:19" x14ac:dyDescent="0.3">
      <c r="P1647">
        <v>1646</v>
      </c>
      <c r="Q1647">
        <v>-67347</v>
      </c>
      <c r="S1647">
        <v>-83591</v>
      </c>
    </row>
    <row r="1648" spans="16:19" x14ac:dyDescent="0.3">
      <c r="P1648">
        <v>1647</v>
      </c>
      <c r="Q1648">
        <v>297691</v>
      </c>
      <c r="S1648">
        <v>357808</v>
      </c>
    </row>
    <row r="1649" spans="16:19" x14ac:dyDescent="0.3">
      <c r="P1649">
        <v>1648</v>
      </c>
      <c r="Q1649">
        <v>-255590</v>
      </c>
      <c r="S1649">
        <v>-820084</v>
      </c>
    </row>
    <row r="1650" spans="16:19" x14ac:dyDescent="0.3">
      <c r="P1650">
        <v>1649</v>
      </c>
      <c r="Q1650">
        <v>-604243</v>
      </c>
      <c r="S1650">
        <v>-11313</v>
      </c>
    </row>
    <row r="1651" spans="16:19" x14ac:dyDescent="0.3">
      <c r="P1651">
        <v>1650</v>
      </c>
      <c r="Q1651">
        <v>-412476</v>
      </c>
      <c r="S1651">
        <v>-420733</v>
      </c>
    </row>
    <row r="1652" spans="16:19" x14ac:dyDescent="0.3">
      <c r="P1652">
        <v>1651</v>
      </c>
      <c r="Q1652">
        <v>-75275</v>
      </c>
      <c r="S1652">
        <v>-475828</v>
      </c>
    </row>
    <row r="1653" spans="16:19" x14ac:dyDescent="0.3">
      <c r="P1653">
        <v>1652</v>
      </c>
      <c r="Q1653">
        <v>296301</v>
      </c>
      <c r="S1653">
        <v>384861</v>
      </c>
    </row>
    <row r="1654" spans="16:19" x14ac:dyDescent="0.3">
      <c r="P1654">
        <v>1653</v>
      </c>
      <c r="Q1654">
        <v>721548</v>
      </c>
      <c r="S1654">
        <v>-601815</v>
      </c>
    </row>
    <row r="1655" spans="16:19" x14ac:dyDescent="0.3">
      <c r="P1655">
        <v>1654</v>
      </c>
      <c r="Q1655">
        <v>-140708</v>
      </c>
      <c r="S1655">
        <v>571406</v>
      </c>
    </row>
    <row r="1656" spans="16:19" x14ac:dyDescent="0.3">
      <c r="P1656">
        <v>1655</v>
      </c>
      <c r="Q1656">
        <v>625543</v>
      </c>
      <c r="S1656">
        <v>668406</v>
      </c>
    </row>
    <row r="1657" spans="16:19" x14ac:dyDescent="0.3">
      <c r="P1657">
        <v>1656</v>
      </c>
      <c r="Q1657">
        <v>634976</v>
      </c>
      <c r="S1657">
        <v>723763</v>
      </c>
    </row>
    <row r="1658" spans="16:19" x14ac:dyDescent="0.3">
      <c r="P1658">
        <v>1657</v>
      </c>
      <c r="Q1658">
        <v>276980</v>
      </c>
      <c r="S1658">
        <v>85951</v>
      </c>
    </row>
    <row r="1659" spans="16:19" x14ac:dyDescent="0.3">
      <c r="P1659">
        <v>1658</v>
      </c>
      <c r="Q1659">
        <v>-560042</v>
      </c>
      <c r="S1659">
        <v>-718428</v>
      </c>
    </row>
    <row r="1660" spans="16:19" x14ac:dyDescent="0.3">
      <c r="P1660">
        <v>1659</v>
      </c>
      <c r="Q1660">
        <v>38791</v>
      </c>
      <c r="S1660">
        <v>-170905</v>
      </c>
    </row>
    <row r="1661" spans="16:19" x14ac:dyDescent="0.3">
      <c r="P1661">
        <v>1660</v>
      </c>
      <c r="Q1661">
        <v>-332245</v>
      </c>
      <c r="S1661">
        <v>-201725</v>
      </c>
    </row>
    <row r="1662" spans="16:19" x14ac:dyDescent="0.3">
      <c r="P1662">
        <v>1661</v>
      </c>
      <c r="Q1662">
        <v>49223</v>
      </c>
      <c r="S1662">
        <v>494315</v>
      </c>
    </row>
    <row r="1663" spans="16:19" x14ac:dyDescent="0.3">
      <c r="P1663">
        <v>1662</v>
      </c>
      <c r="Q1663">
        <v>599149</v>
      </c>
      <c r="S1663">
        <v>-697443</v>
      </c>
    </row>
    <row r="1664" spans="16:19" x14ac:dyDescent="0.3">
      <c r="P1664">
        <v>1663</v>
      </c>
      <c r="Q1664">
        <v>-408031</v>
      </c>
      <c r="S1664">
        <v>-471276</v>
      </c>
    </row>
    <row r="1665" spans="16:19" x14ac:dyDescent="0.3">
      <c r="P1665">
        <v>1664</v>
      </c>
      <c r="Q1665">
        <v>-51250</v>
      </c>
      <c r="S1665">
        <v>-427603</v>
      </c>
    </row>
    <row r="1666" spans="16:19" x14ac:dyDescent="0.3">
      <c r="P1666">
        <v>1665</v>
      </c>
      <c r="Q1666">
        <v>-627442</v>
      </c>
      <c r="S1666">
        <v>-360998</v>
      </c>
    </row>
    <row r="1667" spans="16:19" x14ac:dyDescent="0.3">
      <c r="P1667">
        <v>1666</v>
      </c>
      <c r="Q1667">
        <v>5418</v>
      </c>
      <c r="S1667">
        <v>814621</v>
      </c>
    </row>
    <row r="1668" spans="16:19" x14ac:dyDescent="0.3">
      <c r="P1668">
        <v>1667</v>
      </c>
      <c r="Q1668">
        <v>-6936</v>
      </c>
      <c r="S1668">
        <v>148332</v>
      </c>
    </row>
    <row r="1669" spans="16:19" x14ac:dyDescent="0.3">
      <c r="P1669">
        <v>1668</v>
      </c>
      <c r="Q1669">
        <v>-629836</v>
      </c>
      <c r="S1669">
        <v>146945</v>
      </c>
    </row>
    <row r="1670" spans="16:19" x14ac:dyDescent="0.3">
      <c r="P1670">
        <v>1669</v>
      </c>
      <c r="Q1670">
        <v>-691042</v>
      </c>
      <c r="S1670">
        <v>511791</v>
      </c>
    </row>
    <row r="1671" spans="16:19" x14ac:dyDescent="0.3">
      <c r="P1671">
        <v>1670</v>
      </c>
      <c r="Q1671">
        <v>875892</v>
      </c>
      <c r="S1671">
        <v>-204827</v>
      </c>
    </row>
    <row r="1672" spans="16:19" x14ac:dyDescent="0.3">
      <c r="P1672">
        <v>1671</v>
      </c>
      <c r="Q1672">
        <v>-435624</v>
      </c>
      <c r="S1672">
        <v>-456989</v>
      </c>
    </row>
    <row r="1673" spans="16:19" x14ac:dyDescent="0.3">
      <c r="P1673">
        <v>1672</v>
      </c>
      <c r="Q1673">
        <v>568716</v>
      </c>
      <c r="S1673">
        <v>375692</v>
      </c>
    </row>
    <row r="1674" spans="16:19" x14ac:dyDescent="0.3">
      <c r="P1674">
        <v>1673</v>
      </c>
      <c r="Q1674">
        <v>-422363</v>
      </c>
      <c r="S1674">
        <v>508898</v>
      </c>
    </row>
    <row r="1675" spans="16:19" x14ac:dyDescent="0.3">
      <c r="P1675">
        <v>1674</v>
      </c>
      <c r="Q1675">
        <v>-163651</v>
      </c>
      <c r="S1675">
        <v>-344889</v>
      </c>
    </row>
    <row r="1676" spans="16:19" x14ac:dyDescent="0.3">
      <c r="P1676">
        <v>1675</v>
      </c>
      <c r="Q1676">
        <v>247206</v>
      </c>
      <c r="S1676">
        <v>640451</v>
      </c>
    </row>
    <row r="1677" spans="16:19" x14ac:dyDescent="0.3">
      <c r="P1677">
        <v>1676</v>
      </c>
      <c r="Q1677">
        <v>74997</v>
      </c>
      <c r="S1677">
        <v>-521273</v>
      </c>
    </row>
    <row r="1678" spans="16:19" x14ac:dyDescent="0.3">
      <c r="P1678">
        <v>1677</v>
      </c>
      <c r="Q1678">
        <v>-285019</v>
      </c>
      <c r="S1678">
        <v>606545</v>
      </c>
    </row>
    <row r="1679" spans="16:19" x14ac:dyDescent="0.3">
      <c r="P1679">
        <v>1678</v>
      </c>
      <c r="Q1679">
        <v>-307829</v>
      </c>
      <c r="S1679">
        <v>548606</v>
      </c>
    </row>
    <row r="1680" spans="16:19" x14ac:dyDescent="0.3">
      <c r="P1680">
        <v>1679</v>
      </c>
      <c r="Q1680">
        <v>248148</v>
      </c>
      <c r="S1680">
        <v>-397354</v>
      </c>
    </row>
    <row r="1681" spans="16:19" x14ac:dyDescent="0.3">
      <c r="P1681">
        <v>1680</v>
      </c>
      <c r="Q1681">
        <v>110500</v>
      </c>
      <c r="S1681">
        <v>570218</v>
      </c>
    </row>
    <row r="1682" spans="16:19" x14ac:dyDescent="0.3">
      <c r="P1682">
        <v>1681</v>
      </c>
      <c r="Q1682">
        <v>-192032</v>
      </c>
      <c r="S1682">
        <v>-263034</v>
      </c>
    </row>
    <row r="1683" spans="16:19" x14ac:dyDescent="0.3">
      <c r="P1683">
        <v>1682</v>
      </c>
      <c r="Q1683">
        <v>-391010</v>
      </c>
      <c r="S1683">
        <v>705575</v>
      </c>
    </row>
    <row r="1684" spans="16:19" x14ac:dyDescent="0.3">
      <c r="P1684">
        <v>1683</v>
      </c>
      <c r="Q1684">
        <v>-399747</v>
      </c>
      <c r="S1684">
        <v>-111021</v>
      </c>
    </row>
    <row r="1685" spans="16:19" x14ac:dyDescent="0.3">
      <c r="P1685">
        <v>1684</v>
      </c>
      <c r="Q1685">
        <v>-189731</v>
      </c>
      <c r="S1685">
        <v>319275</v>
      </c>
    </row>
    <row r="1686" spans="16:19" x14ac:dyDescent="0.3">
      <c r="P1686">
        <v>1685</v>
      </c>
      <c r="Q1686">
        <v>-39567</v>
      </c>
      <c r="S1686">
        <v>295740</v>
      </c>
    </row>
    <row r="1687" spans="16:19" x14ac:dyDescent="0.3">
      <c r="P1687">
        <v>1686</v>
      </c>
      <c r="Q1687">
        <v>-572951</v>
      </c>
      <c r="S1687">
        <v>-359273</v>
      </c>
    </row>
    <row r="1688" spans="16:19" x14ac:dyDescent="0.3">
      <c r="P1688">
        <v>1687</v>
      </c>
      <c r="Q1688">
        <v>-469181</v>
      </c>
      <c r="S1688">
        <v>248511</v>
      </c>
    </row>
    <row r="1689" spans="16:19" x14ac:dyDescent="0.3">
      <c r="P1689">
        <v>1688</v>
      </c>
      <c r="Q1689">
        <v>743818</v>
      </c>
      <c r="S1689">
        <v>-355508</v>
      </c>
    </row>
    <row r="1690" spans="16:19" x14ac:dyDescent="0.3">
      <c r="P1690">
        <v>1689</v>
      </c>
      <c r="Q1690">
        <v>-212109</v>
      </c>
      <c r="S1690">
        <v>-431834</v>
      </c>
    </row>
    <row r="1691" spans="16:19" x14ac:dyDescent="0.3">
      <c r="P1691">
        <v>1690</v>
      </c>
      <c r="Q1691">
        <v>-184957</v>
      </c>
      <c r="S1691">
        <v>688432</v>
      </c>
    </row>
    <row r="1692" spans="16:19" x14ac:dyDescent="0.3">
      <c r="P1692">
        <v>1691</v>
      </c>
      <c r="Q1692">
        <v>-183975</v>
      </c>
      <c r="S1692">
        <v>602963</v>
      </c>
    </row>
    <row r="1693" spans="16:19" x14ac:dyDescent="0.3">
      <c r="P1693">
        <v>1692</v>
      </c>
      <c r="Q1693">
        <v>504625</v>
      </c>
      <c r="S1693">
        <v>20569</v>
      </c>
    </row>
    <row r="1694" spans="16:19" x14ac:dyDescent="0.3">
      <c r="P1694">
        <v>1693</v>
      </c>
      <c r="Q1694">
        <v>-806323</v>
      </c>
      <c r="S1694">
        <v>244794</v>
      </c>
    </row>
    <row r="1695" spans="16:19" x14ac:dyDescent="0.3">
      <c r="P1695">
        <v>1694</v>
      </c>
      <c r="Q1695">
        <v>-424885</v>
      </c>
      <c r="S1695">
        <v>-309728</v>
      </c>
    </row>
    <row r="1696" spans="16:19" x14ac:dyDescent="0.3">
      <c r="P1696">
        <v>1695</v>
      </c>
      <c r="Q1696">
        <v>-342594</v>
      </c>
      <c r="S1696">
        <v>-141098</v>
      </c>
    </row>
    <row r="1697" spans="16:19" x14ac:dyDescent="0.3">
      <c r="P1697">
        <v>1696</v>
      </c>
      <c r="Q1697">
        <v>-416058</v>
      </c>
      <c r="S1697">
        <v>-284534</v>
      </c>
    </row>
    <row r="1698" spans="16:19" x14ac:dyDescent="0.3">
      <c r="P1698">
        <v>1697</v>
      </c>
      <c r="Q1698">
        <v>-237724</v>
      </c>
      <c r="S1698">
        <v>822547</v>
      </c>
    </row>
    <row r="1699" spans="16:19" x14ac:dyDescent="0.3">
      <c r="P1699">
        <v>1698</v>
      </c>
      <c r="Q1699">
        <v>341069</v>
      </c>
      <c r="S1699">
        <v>-789566</v>
      </c>
    </row>
    <row r="1700" spans="16:19" x14ac:dyDescent="0.3">
      <c r="P1700">
        <v>1699</v>
      </c>
      <c r="Q1700">
        <v>-182430</v>
      </c>
      <c r="S1700">
        <v>-187928</v>
      </c>
    </row>
    <row r="1701" spans="16:19" x14ac:dyDescent="0.3">
      <c r="P1701">
        <v>1700</v>
      </c>
      <c r="Q1701">
        <v>-490784</v>
      </c>
      <c r="S1701">
        <v>303114</v>
      </c>
    </row>
    <row r="1702" spans="16:19" x14ac:dyDescent="0.3">
      <c r="P1702">
        <v>1701</v>
      </c>
      <c r="Q1702">
        <v>-664817</v>
      </c>
      <c r="S1702">
        <v>505295</v>
      </c>
    </row>
    <row r="1703" spans="16:19" x14ac:dyDescent="0.3">
      <c r="P1703">
        <v>1702</v>
      </c>
      <c r="Q1703">
        <v>131609</v>
      </c>
      <c r="S1703">
        <v>-34006</v>
      </c>
    </row>
    <row r="1704" spans="16:19" x14ac:dyDescent="0.3">
      <c r="P1704">
        <v>1703</v>
      </c>
      <c r="Q1704">
        <v>725194</v>
      </c>
      <c r="S1704">
        <v>261310</v>
      </c>
    </row>
    <row r="1705" spans="16:19" x14ac:dyDescent="0.3">
      <c r="P1705">
        <v>1704</v>
      </c>
      <c r="Q1705">
        <v>-101354</v>
      </c>
      <c r="S1705">
        <v>-447374</v>
      </c>
    </row>
    <row r="1706" spans="16:19" x14ac:dyDescent="0.3">
      <c r="P1706">
        <v>1705</v>
      </c>
      <c r="Q1706">
        <v>219355</v>
      </c>
      <c r="S1706">
        <v>-65909</v>
      </c>
    </row>
    <row r="1707" spans="16:19" x14ac:dyDescent="0.3">
      <c r="P1707">
        <v>1706</v>
      </c>
      <c r="Q1707">
        <v>597078</v>
      </c>
      <c r="S1707">
        <v>-450756</v>
      </c>
    </row>
    <row r="1708" spans="16:19" x14ac:dyDescent="0.3">
      <c r="P1708">
        <v>1707</v>
      </c>
      <c r="Q1708">
        <v>-512444</v>
      </c>
      <c r="S1708">
        <v>270588</v>
      </c>
    </row>
    <row r="1709" spans="16:19" x14ac:dyDescent="0.3">
      <c r="P1709">
        <v>1708</v>
      </c>
      <c r="Q1709">
        <v>176407</v>
      </c>
      <c r="S1709">
        <v>326968</v>
      </c>
    </row>
    <row r="1710" spans="16:19" x14ac:dyDescent="0.3">
      <c r="P1710">
        <v>1709</v>
      </c>
      <c r="Q1710">
        <v>-576843</v>
      </c>
      <c r="S1710">
        <v>117039</v>
      </c>
    </row>
    <row r="1711" spans="16:19" x14ac:dyDescent="0.3">
      <c r="P1711">
        <v>1710</v>
      </c>
      <c r="Q1711">
        <v>499136</v>
      </c>
      <c r="S1711">
        <v>195969</v>
      </c>
    </row>
    <row r="1712" spans="16:19" x14ac:dyDescent="0.3">
      <c r="P1712">
        <v>1711</v>
      </c>
      <c r="Q1712">
        <v>572217</v>
      </c>
      <c r="S1712">
        <v>-512088</v>
      </c>
    </row>
    <row r="1713" spans="16:19" x14ac:dyDescent="0.3">
      <c r="P1713">
        <v>1712</v>
      </c>
      <c r="Q1713">
        <v>398074</v>
      </c>
      <c r="S1713">
        <v>-246630</v>
      </c>
    </row>
    <row r="1714" spans="16:19" x14ac:dyDescent="0.3">
      <c r="P1714">
        <v>1713</v>
      </c>
      <c r="Q1714">
        <v>-202312</v>
      </c>
      <c r="S1714">
        <v>-704700</v>
      </c>
    </row>
    <row r="1715" spans="16:19" x14ac:dyDescent="0.3">
      <c r="P1715">
        <v>1714</v>
      </c>
      <c r="Q1715">
        <v>342387</v>
      </c>
      <c r="S1715">
        <v>453724</v>
      </c>
    </row>
    <row r="1716" spans="16:19" x14ac:dyDescent="0.3">
      <c r="P1716">
        <v>1715</v>
      </c>
      <c r="Q1716">
        <v>383891</v>
      </c>
      <c r="S1716">
        <v>43948</v>
      </c>
    </row>
    <row r="1717" spans="16:19" x14ac:dyDescent="0.3">
      <c r="P1717">
        <v>1716</v>
      </c>
      <c r="Q1717">
        <v>-140820</v>
      </c>
      <c r="S1717">
        <v>-363491</v>
      </c>
    </row>
    <row r="1718" spans="16:19" x14ac:dyDescent="0.3">
      <c r="P1718">
        <v>1717</v>
      </c>
      <c r="Q1718">
        <v>-372913</v>
      </c>
      <c r="S1718">
        <v>247642</v>
      </c>
    </row>
    <row r="1719" spans="16:19" x14ac:dyDescent="0.3">
      <c r="P1719">
        <v>1718</v>
      </c>
      <c r="Q1719">
        <v>-45440</v>
      </c>
      <c r="S1719">
        <v>563819</v>
      </c>
    </row>
    <row r="1720" spans="16:19" x14ac:dyDescent="0.3">
      <c r="P1720">
        <v>1719</v>
      </c>
      <c r="Q1720">
        <v>359898</v>
      </c>
      <c r="S1720">
        <v>-811325</v>
      </c>
    </row>
    <row r="1721" spans="16:19" x14ac:dyDescent="0.3">
      <c r="P1721">
        <v>1720</v>
      </c>
      <c r="Q1721">
        <v>653696</v>
      </c>
      <c r="S1721">
        <v>520191</v>
      </c>
    </row>
    <row r="1722" spans="16:19" x14ac:dyDescent="0.3">
      <c r="P1722">
        <v>1721</v>
      </c>
      <c r="Q1722">
        <v>-74666</v>
      </c>
      <c r="S1722">
        <v>361620</v>
      </c>
    </row>
    <row r="1723" spans="16:19" x14ac:dyDescent="0.3">
      <c r="P1723">
        <v>1722</v>
      </c>
      <c r="Q1723">
        <v>-9882</v>
      </c>
      <c r="S1723">
        <v>-283062</v>
      </c>
    </row>
    <row r="1724" spans="16:19" x14ac:dyDescent="0.3">
      <c r="P1724">
        <v>1723</v>
      </c>
      <c r="Q1724">
        <v>-271997</v>
      </c>
      <c r="S1724">
        <v>293194</v>
      </c>
    </row>
    <row r="1725" spans="16:19" x14ac:dyDescent="0.3">
      <c r="P1725">
        <v>1724</v>
      </c>
      <c r="Q1725">
        <v>91148</v>
      </c>
      <c r="S1725">
        <v>-565903</v>
      </c>
    </row>
    <row r="1726" spans="16:19" x14ac:dyDescent="0.3">
      <c r="P1726">
        <v>1725</v>
      </c>
      <c r="Q1726">
        <v>867065</v>
      </c>
      <c r="S1726">
        <v>-280697</v>
      </c>
    </row>
    <row r="1727" spans="16:19" x14ac:dyDescent="0.3">
      <c r="P1727">
        <v>1726</v>
      </c>
      <c r="Q1727">
        <v>104534</v>
      </c>
      <c r="S1727">
        <v>302265</v>
      </c>
    </row>
    <row r="1728" spans="16:19" x14ac:dyDescent="0.3">
      <c r="P1728">
        <v>1727</v>
      </c>
      <c r="Q1728">
        <v>-278832</v>
      </c>
      <c r="S1728">
        <v>-147414</v>
      </c>
    </row>
    <row r="1729" spans="16:19" x14ac:dyDescent="0.3">
      <c r="P1729">
        <v>1728</v>
      </c>
      <c r="Q1729">
        <v>-394275</v>
      </c>
      <c r="S1729">
        <v>454644</v>
      </c>
    </row>
    <row r="1730" spans="16:19" x14ac:dyDescent="0.3">
      <c r="P1730">
        <v>1729</v>
      </c>
      <c r="Q1730">
        <v>814081</v>
      </c>
      <c r="S1730">
        <v>380154</v>
      </c>
    </row>
    <row r="1731" spans="16:19" x14ac:dyDescent="0.3">
      <c r="P1731">
        <v>1730</v>
      </c>
      <c r="Q1731">
        <v>745408</v>
      </c>
      <c r="S1731">
        <v>-727164</v>
      </c>
    </row>
    <row r="1732" spans="16:19" x14ac:dyDescent="0.3">
      <c r="P1732">
        <v>1731</v>
      </c>
      <c r="Q1732">
        <v>63027</v>
      </c>
      <c r="S1732">
        <v>-607356</v>
      </c>
    </row>
    <row r="1733" spans="16:19" x14ac:dyDescent="0.3">
      <c r="P1733">
        <v>1732</v>
      </c>
      <c r="Q1733">
        <v>-397602</v>
      </c>
      <c r="S1733">
        <v>-443535</v>
      </c>
    </row>
    <row r="1734" spans="16:19" x14ac:dyDescent="0.3">
      <c r="P1734">
        <v>1733</v>
      </c>
      <c r="Q1734">
        <v>997132</v>
      </c>
      <c r="S1734">
        <v>-802598</v>
      </c>
    </row>
    <row r="1735" spans="16:19" x14ac:dyDescent="0.3">
      <c r="P1735">
        <v>1734</v>
      </c>
      <c r="Q1735">
        <v>156958</v>
      </c>
      <c r="S1735">
        <v>877690</v>
      </c>
    </row>
    <row r="1736" spans="16:19" x14ac:dyDescent="0.3">
      <c r="P1736">
        <v>1735</v>
      </c>
      <c r="Q1736">
        <v>-515464</v>
      </c>
      <c r="S1736">
        <v>-736240</v>
      </c>
    </row>
    <row r="1737" spans="16:19" x14ac:dyDescent="0.3">
      <c r="P1737">
        <v>1736</v>
      </c>
      <c r="Q1737">
        <v>-617162</v>
      </c>
      <c r="S1737">
        <v>463377</v>
      </c>
    </row>
    <row r="1738" spans="16:19" x14ac:dyDescent="0.3">
      <c r="P1738">
        <v>1737</v>
      </c>
      <c r="Q1738">
        <v>-693005</v>
      </c>
      <c r="S1738">
        <v>635898</v>
      </c>
    </row>
    <row r="1739" spans="16:19" x14ac:dyDescent="0.3">
      <c r="P1739">
        <v>1738</v>
      </c>
      <c r="Q1739">
        <v>-304555</v>
      </c>
      <c r="S1739">
        <v>-443712</v>
      </c>
    </row>
    <row r="1740" spans="16:19" x14ac:dyDescent="0.3">
      <c r="P1740">
        <v>1739</v>
      </c>
      <c r="Q1740">
        <v>331594</v>
      </c>
      <c r="S1740">
        <v>191144</v>
      </c>
    </row>
    <row r="1741" spans="16:19" x14ac:dyDescent="0.3">
      <c r="P1741">
        <v>1740</v>
      </c>
      <c r="Q1741">
        <v>-574469</v>
      </c>
      <c r="S1741">
        <v>133039</v>
      </c>
    </row>
    <row r="1742" spans="16:19" x14ac:dyDescent="0.3">
      <c r="P1742">
        <v>1741</v>
      </c>
      <c r="Q1742">
        <v>574432</v>
      </c>
      <c r="S1742">
        <v>-540893</v>
      </c>
    </row>
    <row r="1743" spans="16:19" x14ac:dyDescent="0.3">
      <c r="P1743">
        <v>1742</v>
      </c>
      <c r="Q1743">
        <v>29844</v>
      </c>
      <c r="S1743">
        <v>237072</v>
      </c>
    </row>
    <row r="1744" spans="16:19" x14ac:dyDescent="0.3">
      <c r="P1744">
        <v>1743</v>
      </c>
      <c r="Q1744">
        <v>-348509</v>
      </c>
      <c r="S1744">
        <v>-138703</v>
      </c>
    </row>
    <row r="1745" spans="16:19" x14ac:dyDescent="0.3">
      <c r="P1745">
        <v>1744</v>
      </c>
      <c r="Q1745">
        <v>-379915</v>
      </c>
      <c r="S1745">
        <v>-617757</v>
      </c>
    </row>
    <row r="1746" spans="16:19" x14ac:dyDescent="0.3">
      <c r="P1746">
        <v>1745</v>
      </c>
      <c r="Q1746">
        <v>-520601</v>
      </c>
      <c r="S1746">
        <v>959175</v>
      </c>
    </row>
    <row r="1747" spans="16:19" x14ac:dyDescent="0.3">
      <c r="P1747">
        <v>1746</v>
      </c>
      <c r="Q1747">
        <v>-175192</v>
      </c>
      <c r="S1747">
        <v>378432</v>
      </c>
    </row>
    <row r="1748" spans="16:19" x14ac:dyDescent="0.3">
      <c r="P1748">
        <v>1747</v>
      </c>
      <c r="Q1748">
        <v>-202520</v>
      </c>
      <c r="S1748">
        <v>-560451</v>
      </c>
    </row>
    <row r="1749" spans="16:19" x14ac:dyDescent="0.3">
      <c r="P1749">
        <v>1748</v>
      </c>
      <c r="Q1749">
        <v>-251446</v>
      </c>
      <c r="S1749">
        <v>564364</v>
      </c>
    </row>
    <row r="1750" spans="16:19" x14ac:dyDescent="0.3">
      <c r="P1750">
        <v>1749</v>
      </c>
      <c r="Q1750">
        <v>-631974</v>
      </c>
      <c r="S1750">
        <v>107666</v>
      </c>
    </row>
    <row r="1751" spans="16:19" x14ac:dyDescent="0.3">
      <c r="P1751">
        <v>1750</v>
      </c>
      <c r="Q1751">
        <v>203688</v>
      </c>
      <c r="S1751">
        <v>-206695</v>
      </c>
    </row>
    <row r="1752" spans="16:19" x14ac:dyDescent="0.3">
      <c r="P1752">
        <v>1751</v>
      </c>
      <c r="Q1752">
        <v>489838</v>
      </c>
      <c r="S1752">
        <v>-604210</v>
      </c>
    </row>
    <row r="1753" spans="16:19" x14ac:dyDescent="0.3">
      <c r="P1753">
        <v>1752</v>
      </c>
      <c r="Q1753">
        <v>432109</v>
      </c>
      <c r="S1753">
        <v>86475</v>
      </c>
    </row>
    <row r="1754" spans="16:19" x14ac:dyDescent="0.3">
      <c r="P1754">
        <v>1753</v>
      </c>
      <c r="Q1754">
        <v>703574</v>
      </c>
      <c r="S1754">
        <v>-672618</v>
      </c>
    </row>
    <row r="1755" spans="16:19" x14ac:dyDescent="0.3">
      <c r="P1755">
        <v>1754</v>
      </c>
      <c r="Q1755">
        <v>-325506</v>
      </c>
      <c r="S1755">
        <v>-153032</v>
      </c>
    </row>
    <row r="1756" spans="16:19" x14ac:dyDescent="0.3">
      <c r="P1756">
        <v>1755</v>
      </c>
      <c r="Q1756">
        <v>818210</v>
      </c>
      <c r="S1756">
        <v>861178</v>
      </c>
    </row>
    <row r="1757" spans="16:19" x14ac:dyDescent="0.3">
      <c r="P1757">
        <v>1756</v>
      </c>
      <c r="Q1757">
        <v>-434309</v>
      </c>
      <c r="S1757">
        <v>910252</v>
      </c>
    </row>
    <row r="1758" spans="16:19" x14ac:dyDescent="0.3">
      <c r="P1758">
        <v>1757</v>
      </c>
      <c r="Q1758">
        <v>926754</v>
      </c>
      <c r="S1758">
        <v>478159</v>
      </c>
    </row>
    <row r="1759" spans="16:19" x14ac:dyDescent="0.3">
      <c r="P1759">
        <v>1758</v>
      </c>
      <c r="Q1759">
        <v>-644864</v>
      </c>
      <c r="S1759">
        <v>136316</v>
      </c>
    </row>
    <row r="1760" spans="16:19" x14ac:dyDescent="0.3">
      <c r="P1760">
        <v>1759</v>
      </c>
      <c r="Q1760">
        <v>-64470</v>
      </c>
      <c r="S1760">
        <v>1035406</v>
      </c>
    </row>
    <row r="1761" spans="16:19" x14ac:dyDescent="0.3">
      <c r="P1761">
        <v>1760</v>
      </c>
      <c r="Q1761">
        <v>-782499</v>
      </c>
      <c r="S1761">
        <v>741550</v>
      </c>
    </row>
    <row r="1762" spans="16:19" x14ac:dyDescent="0.3">
      <c r="P1762">
        <v>1761</v>
      </c>
      <c r="Q1762">
        <v>-432031</v>
      </c>
      <c r="S1762">
        <v>383664</v>
      </c>
    </row>
    <row r="1763" spans="16:19" x14ac:dyDescent="0.3">
      <c r="P1763">
        <v>1762</v>
      </c>
      <c r="Q1763">
        <v>-515538</v>
      </c>
      <c r="S1763">
        <v>-468639</v>
      </c>
    </row>
    <row r="1764" spans="16:19" x14ac:dyDescent="0.3">
      <c r="P1764">
        <v>1763</v>
      </c>
      <c r="Q1764">
        <v>45202</v>
      </c>
      <c r="S1764">
        <v>15881</v>
      </c>
    </row>
    <row r="1765" spans="16:19" x14ac:dyDescent="0.3">
      <c r="P1765">
        <v>1764</v>
      </c>
      <c r="Q1765">
        <v>-346919</v>
      </c>
      <c r="S1765">
        <v>-46855</v>
      </c>
    </row>
    <row r="1766" spans="16:19" x14ac:dyDescent="0.3">
      <c r="P1766">
        <v>1765</v>
      </c>
      <c r="Q1766">
        <v>-80604</v>
      </c>
      <c r="S1766">
        <v>182217</v>
      </c>
    </row>
    <row r="1767" spans="16:19" x14ac:dyDescent="0.3">
      <c r="P1767">
        <v>1766</v>
      </c>
      <c r="Q1767">
        <v>177584</v>
      </c>
      <c r="S1767">
        <v>141519</v>
      </c>
    </row>
    <row r="1768" spans="16:19" x14ac:dyDescent="0.3">
      <c r="P1768">
        <v>1767</v>
      </c>
      <c r="Q1768">
        <v>557799</v>
      </c>
      <c r="S1768">
        <v>590394</v>
      </c>
    </row>
    <row r="1769" spans="16:19" x14ac:dyDescent="0.3">
      <c r="P1769">
        <v>1768</v>
      </c>
      <c r="Q1769">
        <v>-805401</v>
      </c>
      <c r="S1769">
        <v>60945</v>
      </c>
    </row>
    <row r="1770" spans="16:19" x14ac:dyDescent="0.3">
      <c r="P1770">
        <v>1769</v>
      </c>
      <c r="Q1770">
        <v>-343683</v>
      </c>
      <c r="S1770">
        <v>-440024</v>
      </c>
    </row>
    <row r="1771" spans="16:19" x14ac:dyDescent="0.3">
      <c r="P1771">
        <v>1770</v>
      </c>
      <c r="Q1771">
        <v>-24635</v>
      </c>
      <c r="S1771">
        <v>343192</v>
      </c>
    </row>
    <row r="1772" spans="16:19" x14ac:dyDescent="0.3">
      <c r="P1772">
        <v>1771</v>
      </c>
      <c r="Q1772">
        <v>272182</v>
      </c>
      <c r="S1772">
        <v>-299203</v>
      </c>
    </row>
    <row r="1773" spans="16:19" x14ac:dyDescent="0.3">
      <c r="P1773">
        <v>1772</v>
      </c>
      <c r="Q1773">
        <v>187729</v>
      </c>
      <c r="S1773">
        <v>693828</v>
      </c>
    </row>
    <row r="1774" spans="16:19" x14ac:dyDescent="0.3">
      <c r="P1774">
        <v>1773</v>
      </c>
      <c r="Q1774">
        <v>-86708</v>
      </c>
      <c r="S1774">
        <v>-458070</v>
      </c>
    </row>
    <row r="1775" spans="16:19" x14ac:dyDescent="0.3">
      <c r="P1775">
        <v>1774</v>
      </c>
      <c r="Q1775">
        <v>-74476</v>
      </c>
      <c r="S1775">
        <v>-341766</v>
      </c>
    </row>
    <row r="1776" spans="16:19" x14ac:dyDescent="0.3">
      <c r="P1776">
        <v>1775</v>
      </c>
      <c r="Q1776">
        <v>403186</v>
      </c>
      <c r="S1776">
        <v>90461</v>
      </c>
    </row>
    <row r="1777" spans="16:19" x14ac:dyDescent="0.3">
      <c r="P1777">
        <v>1776</v>
      </c>
      <c r="Q1777">
        <v>359646</v>
      </c>
      <c r="S1777">
        <v>-431802</v>
      </c>
    </row>
    <row r="1778" spans="16:19" x14ac:dyDescent="0.3">
      <c r="P1778">
        <v>1777</v>
      </c>
      <c r="Q1778">
        <v>209561</v>
      </c>
      <c r="S1778">
        <v>840035</v>
      </c>
    </row>
    <row r="1779" spans="16:19" x14ac:dyDescent="0.3">
      <c r="P1779">
        <v>1778</v>
      </c>
      <c r="Q1779">
        <v>-317037</v>
      </c>
      <c r="S1779">
        <v>320695</v>
      </c>
    </row>
    <row r="1780" spans="16:19" x14ac:dyDescent="0.3">
      <c r="P1780">
        <v>1779</v>
      </c>
      <c r="Q1780">
        <v>-72684</v>
      </c>
      <c r="S1780">
        <v>-119350</v>
      </c>
    </row>
    <row r="1781" spans="16:19" x14ac:dyDescent="0.3">
      <c r="P1781">
        <v>1780</v>
      </c>
      <c r="Q1781">
        <v>156850</v>
      </c>
      <c r="S1781">
        <v>244024</v>
      </c>
    </row>
    <row r="1782" spans="16:19" x14ac:dyDescent="0.3">
      <c r="P1782">
        <v>1781</v>
      </c>
      <c r="Q1782">
        <v>59678</v>
      </c>
      <c r="S1782">
        <v>319660</v>
      </c>
    </row>
    <row r="1783" spans="16:19" x14ac:dyDescent="0.3">
      <c r="P1783">
        <v>1782</v>
      </c>
      <c r="Q1783">
        <v>-17545</v>
      </c>
      <c r="S1783">
        <v>388416</v>
      </c>
    </row>
    <row r="1784" spans="16:19" x14ac:dyDescent="0.3">
      <c r="P1784">
        <v>1783</v>
      </c>
      <c r="Q1784">
        <v>-377267</v>
      </c>
      <c r="S1784">
        <v>-129566</v>
      </c>
    </row>
    <row r="1785" spans="16:19" x14ac:dyDescent="0.3">
      <c r="P1785">
        <v>1784</v>
      </c>
      <c r="Q1785">
        <v>-195798</v>
      </c>
      <c r="S1785">
        <v>684985</v>
      </c>
    </row>
    <row r="1786" spans="16:19" x14ac:dyDescent="0.3">
      <c r="P1786">
        <v>1785</v>
      </c>
      <c r="Q1786">
        <v>-432338</v>
      </c>
      <c r="S1786">
        <v>674971</v>
      </c>
    </row>
    <row r="1787" spans="16:19" x14ac:dyDescent="0.3">
      <c r="P1787">
        <v>1786</v>
      </c>
      <c r="Q1787">
        <v>-139171</v>
      </c>
      <c r="S1787">
        <v>-683005</v>
      </c>
    </row>
    <row r="1788" spans="16:19" x14ac:dyDescent="0.3">
      <c r="P1788">
        <v>1787</v>
      </c>
      <c r="Q1788">
        <v>252224</v>
      </c>
      <c r="S1788">
        <v>-553145</v>
      </c>
    </row>
    <row r="1789" spans="16:19" x14ac:dyDescent="0.3">
      <c r="P1789">
        <v>1788</v>
      </c>
      <c r="Q1789">
        <v>79555</v>
      </c>
      <c r="S1789">
        <v>-251770</v>
      </c>
    </row>
    <row r="1790" spans="16:19" x14ac:dyDescent="0.3">
      <c r="P1790">
        <v>1789</v>
      </c>
      <c r="Q1790">
        <v>258662</v>
      </c>
      <c r="S1790">
        <v>495700</v>
      </c>
    </row>
    <row r="1791" spans="16:19" x14ac:dyDescent="0.3">
      <c r="P1791">
        <v>1790</v>
      </c>
      <c r="Q1791">
        <v>-61752</v>
      </c>
      <c r="S1791">
        <v>117491</v>
      </c>
    </row>
    <row r="1792" spans="16:19" x14ac:dyDescent="0.3">
      <c r="P1792">
        <v>1791</v>
      </c>
      <c r="Q1792">
        <v>285716</v>
      </c>
      <c r="S1792">
        <v>394997</v>
      </c>
    </row>
    <row r="1793" spans="16:19" x14ac:dyDescent="0.3">
      <c r="P1793">
        <v>1792</v>
      </c>
      <c r="Q1793">
        <v>-541898</v>
      </c>
      <c r="S1793">
        <v>1084700</v>
      </c>
    </row>
    <row r="1794" spans="16:19" x14ac:dyDescent="0.3">
      <c r="P1794">
        <v>1793</v>
      </c>
      <c r="Q1794">
        <v>-602449</v>
      </c>
      <c r="S1794">
        <v>424468</v>
      </c>
    </row>
    <row r="1795" spans="16:19" x14ac:dyDescent="0.3">
      <c r="P1795">
        <v>1794</v>
      </c>
      <c r="Q1795">
        <v>-217955</v>
      </c>
      <c r="S1795">
        <v>-198070</v>
      </c>
    </row>
    <row r="1796" spans="16:19" x14ac:dyDescent="0.3">
      <c r="P1796">
        <v>1795</v>
      </c>
      <c r="Q1796">
        <v>162901</v>
      </c>
      <c r="S1796">
        <v>-794461</v>
      </c>
    </row>
    <row r="1797" spans="16:19" x14ac:dyDescent="0.3">
      <c r="P1797">
        <v>1796</v>
      </c>
      <c r="Q1797">
        <v>-530958</v>
      </c>
      <c r="S1797">
        <v>-269557</v>
      </c>
    </row>
    <row r="1798" spans="16:19" x14ac:dyDescent="0.3">
      <c r="P1798">
        <v>1797</v>
      </c>
      <c r="Q1798">
        <v>215343</v>
      </c>
      <c r="S1798">
        <v>51714</v>
      </c>
    </row>
    <row r="1799" spans="16:19" x14ac:dyDescent="0.3">
      <c r="P1799">
        <v>1798</v>
      </c>
      <c r="Q1799">
        <v>221684</v>
      </c>
      <c r="S1799">
        <v>827690</v>
      </c>
    </row>
    <row r="1800" spans="16:19" x14ac:dyDescent="0.3">
      <c r="P1800">
        <v>1799</v>
      </c>
      <c r="Q1800">
        <v>-52398</v>
      </c>
      <c r="S1800">
        <v>-756651</v>
      </c>
    </row>
    <row r="1801" spans="16:19" x14ac:dyDescent="0.3">
      <c r="P1801">
        <v>1800</v>
      </c>
      <c r="Q1801">
        <v>867608</v>
      </c>
      <c r="S1801">
        <v>-73166</v>
      </c>
    </row>
    <row r="1802" spans="16:19" x14ac:dyDescent="0.3">
      <c r="P1802">
        <v>1801</v>
      </c>
      <c r="Q1802">
        <v>-212908</v>
      </c>
      <c r="S1802">
        <v>-320958</v>
      </c>
    </row>
    <row r="1803" spans="16:19" x14ac:dyDescent="0.3">
      <c r="P1803">
        <v>1802</v>
      </c>
      <c r="Q1803">
        <v>-536636</v>
      </c>
      <c r="S1803">
        <v>-161778</v>
      </c>
    </row>
    <row r="1804" spans="16:19" x14ac:dyDescent="0.3">
      <c r="P1804">
        <v>1803</v>
      </c>
      <c r="Q1804">
        <v>-566588</v>
      </c>
      <c r="S1804">
        <v>914040</v>
      </c>
    </row>
    <row r="1805" spans="16:19" x14ac:dyDescent="0.3">
      <c r="P1805">
        <v>1804</v>
      </c>
      <c r="Q1805">
        <v>-224848</v>
      </c>
      <c r="S1805">
        <v>336418</v>
      </c>
    </row>
    <row r="1806" spans="16:19" x14ac:dyDescent="0.3">
      <c r="P1806">
        <v>1805</v>
      </c>
      <c r="Q1806">
        <v>15209</v>
      </c>
      <c r="S1806">
        <v>-96851</v>
      </c>
    </row>
    <row r="1807" spans="16:19" x14ac:dyDescent="0.3">
      <c r="P1807">
        <v>1806</v>
      </c>
      <c r="Q1807">
        <v>20961</v>
      </c>
      <c r="S1807">
        <v>-13252</v>
      </c>
    </row>
    <row r="1808" spans="16:19" x14ac:dyDescent="0.3">
      <c r="P1808">
        <v>1807</v>
      </c>
      <c r="Q1808">
        <v>-46709</v>
      </c>
      <c r="S1808">
        <v>-331637</v>
      </c>
    </row>
    <row r="1809" spans="16:19" x14ac:dyDescent="0.3">
      <c r="P1809">
        <v>1808</v>
      </c>
      <c r="Q1809">
        <v>261209</v>
      </c>
      <c r="S1809">
        <v>231501</v>
      </c>
    </row>
    <row r="1810" spans="16:19" x14ac:dyDescent="0.3">
      <c r="P1810">
        <v>1809</v>
      </c>
      <c r="Q1810">
        <v>-299007</v>
      </c>
      <c r="S1810">
        <v>-483798</v>
      </c>
    </row>
    <row r="1811" spans="16:19" x14ac:dyDescent="0.3">
      <c r="P1811">
        <v>1810</v>
      </c>
      <c r="Q1811">
        <v>797725</v>
      </c>
      <c r="S1811">
        <v>958287</v>
      </c>
    </row>
    <row r="1812" spans="16:19" x14ac:dyDescent="0.3">
      <c r="P1812">
        <v>1811</v>
      </c>
      <c r="Q1812">
        <v>504090</v>
      </c>
      <c r="S1812">
        <v>592860</v>
      </c>
    </row>
    <row r="1813" spans="16:19" x14ac:dyDescent="0.3">
      <c r="P1813">
        <v>1812</v>
      </c>
      <c r="Q1813">
        <v>502207</v>
      </c>
      <c r="S1813">
        <v>713946</v>
      </c>
    </row>
    <row r="1814" spans="16:19" x14ac:dyDescent="0.3">
      <c r="P1814">
        <v>1813</v>
      </c>
      <c r="Q1814">
        <v>387467</v>
      </c>
      <c r="S1814">
        <v>636145</v>
      </c>
    </row>
    <row r="1815" spans="16:19" x14ac:dyDescent="0.3">
      <c r="P1815">
        <v>1814</v>
      </c>
      <c r="Q1815">
        <v>-805708</v>
      </c>
      <c r="S1815">
        <v>-508992</v>
      </c>
    </row>
    <row r="1816" spans="16:19" x14ac:dyDescent="0.3">
      <c r="P1816">
        <v>1815</v>
      </c>
      <c r="Q1816">
        <v>-138705</v>
      </c>
      <c r="S1816">
        <v>735610</v>
      </c>
    </row>
    <row r="1817" spans="16:19" x14ac:dyDescent="0.3">
      <c r="P1817">
        <v>1816</v>
      </c>
      <c r="Q1817">
        <v>6391</v>
      </c>
      <c r="S1817">
        <v>-241553</v>
      </c>
    </row>
    <row r="1818" spans="16:19" x14ac:dyDescent="0.3">
      <c r="P1818">
        <v>1817</v>
      </c>
      <c r="Q1818">
        <v>83526</v>
      </c>
      <c r="S1818">
        <v>-377978</v>
      </c>
    </row>
    <row r="1819" spans="16:19" x14ac:dyDescent="0.3">
      <c r="P1819">
        <v>1818</v>
      </c>
      <c r="Q1819">
        <v>-502880</v>
      </c>
      <c r="S1819">
        <v>-547732</v>
      </c>
    </row>
    <row r="1820" spans="16:19" x14ac:dyDescent="0.3">
      <c r="P1820">
        <v>1819</v>
      </c>
      <c r="Q1820">
        <v>-91154</v>
      </c>
      <c r="S1820">
        <v>-22826</v>
      </c>
    </row>
    <row r="1821" spans="16:19" x14ac:dyDescent="0.3">
      <c r="P1821">
        <v>1820</v>
      </c>
      <c r="Q1821">
        <v>115868</v>
      </c>
      <c r="S1821">
        <v>246487</v>
      </c>
    </row>
    <row r="1822" spans="16:19" x14ac:dyDescent="0.3">
      <c r="P1822">
        <v>1821</v>
      </c>
      <c r="Q1822">
        <v>-302436</v>
      </c>
      <c r="S1822">
        <v>-335752</v>
      </c>
    </row>
    <row r="1823" spans="16:19" x14ac:dyDescent="0.3">
      <c r="P1823">
        <v>1822</v>
      </c>
      <c r="Q1823">
        <v>-252418</v>
      </c>
      <c r="S1823">
        <v>259130</v>
      </c>
    </row>
    <row r="1824" spans="16:19" x14ac:dyDescent="0.3">
      <c r="P1824">
        <v>1823</v>
      </c>
      <c r="Q1824">
        <v>764362</v>
      </c>
      <c r="S1824">
        <v>-28234</v>
      </c>
    </row>
    <row r="1825" spans="16:19" x14ac:dyDescent="0.3">
      <c r="P1825">
        <v>1824</v>
      </c>
      <c r="Q1825">
        <v>-590820</v>
      </c>
      <c r="S1825">
        <v>452650</v>
      </c>
    </row>
    <row r="1826" spans="16:19" x14ac:dyDescent="0.3">
      <c r="P1826">
        <v>1825</v>
      </c>
      <c r="Q1826">
        <v>-300720</v>
      </c>
      <c r="S1826">
        <v>240202</v>
      </c>
    </row>
    <row r="1827" spans="16:19" x14ac:dyDescent="0.3">
      <c r="P1827">
        <v>1826</v>
      </c>
      <c r="Q1827">
        <v>-355080</v>
      </c>
      <c r="S1827">
        <v>677377</v>
      </c>
    </row>
    <row r="1828" spans="16:19" x14ac:dyDescent="0.3">
      <c r="P1828">
        <v>1827</v>
      </c>
      <c r="Q1828">
        <v>-387551</v>
      </c>
      <c r="S1828">
        <v>144049</v>
      </c>
    </row>
    <row r="1829" spans="16:19" x14ac:dyDescent="0.3">
      <c r="P1829">
        <v>1828</v>
      </c>
      <c r="Q1829">
        <v>-348854</v>
      </c>
      <c r="S1829">
        <v>-33221</v>
      </c>
    </row>
    <row r="1830" spans="16:19" x14ac:dyDescent="0.3">
      <c r="P1830">
        <v>1829</v>
      </c>
      <c r="Q1830">
        <v>-531626</v>
      </c>
      <c r="S1830">
        <v>-58666</v>
      </c>
    </row>
    <row r="1831" spans="16:19" x14ac:dyDescent="0.3">
      <c r="P1831">
        <v>1830</v>
      </c>
      <c r="Q1831">
        <v>-73654</v>
      </c>
      <c r="S1831">
        <v>-112911</v>
      </c>
    </row>
    <row r="1832" spans="16:19" x14ac:dyDescent="0.3">
      <c r="P1832">
        <v>1831</v>
      </c>
      <c r="Q1832">
        <v>171167</v>
      </c>
      <c r="S1832">
        <v>18196</v>
      </c>
    </row>
    <row r="1833" spans="16:19" x14ac:dyDescent="0.3">
      <c r="P1833">
        <v>1832</v>
      </c>
      <c r="Q1833">
        <v>-396551</v>
      </c>
      <c r="S1833">
        <v>356509</v>
      </c>
    </row>
    <row r="1834" spans="16:19" x14ac:dyDescent="0.3">
      <c r="P1834">
        <v>1833</v>
      </c>
      <c r="Q1834">
        <v>733308</v>
      </c>
      <c r="S1834">
        <v>380029</v>
      </c>
    </row>
    <row r="1835" spans="16:19" x14ac:dyDescent="0.3">
      <c r="P1835">
        <v>1834</v>
      </c>
      <c r="Q1835">
        <v>-87056</v>
      </c>
      <c r="S1835">
        <v>606772</v>
      </c>
    </row>
    <row r="1836" spans="16:19" x14ac:dyDescent="0.3">
      <c r="P1836">
        <v>1835</v>
      </c>
      <c r="Q1836">
        <v>-765236</v>
      </c>
      <c r="S1836">
        <v>87532</v>
      </c>
    </row>
    <row r="1837" spans="16:19" x14ac:dyDescent="0.3">
      <c r="P1837">
        <v>1836</v>
      </c>
      <c r="Q1837">
        <v>-802225</v>
      </c>
      <c r="S1837">
        <v>-372096</v>
      </c>
    </row>
    <row r="1838" spans="16:19" x14ac:dyDescent="0.3">
      <c r="P1838">
        <v>1837</v>
      </c>
      <c r="Q1838">
        <v>439287</v>
      </c>
      <c r="S1838">
        <v>225480</v>
      </c>
    </row>
    <row r="1839" spans="16:19" x14ac:dyDescent="0.3">
      <c r="P1839">
        <v>1838</v>
      </c>
      <c r="Q1839">
        <v>170483</v>
      </c>
      <c r="S1839">
        <v>-10606</v>
      </c>
    </row>
    <row r="1840" spans="16:19" x14ac:dyDescent="0.3">
      <c r="P1840">
        <v>1839</v>
      </c>
      <c r="Q1840">
        <v>-23844</v>
      </c>
      <c r="S1840">
        <v>219582</v>
      </c>
    </row>
    <row r="1841" spans="16:19" x14ac:dyDescent="0.3">
      <c r="P1841">
        <v>1840</v>
      </c>
      <c r="Q1841">
        <v>402754</v>
      </c>
      <c r="S1841">
        <v>377885</v>
      </c>
    </row>
    <row r="1842" spans="16:19" x14ac:dyDescent="0.3">
      <c r="P1842">
        <v>1841</v>
      </c>
      <c r="Q1842">
        <v>-206319</v>
      </c>
      <c r="S1842">
        <v>-650527</v>
      </c>
    </row>
    <row r="1843" spans="16:19" x14ac:dyDescent="0.3">
      <c r="P1843">
        <v>1842</v>
      </c>
      <c r="Q1843">
        <v>-644968</v>
      </c>
      <c r="S1843">
        <v>-358466</v>
      </c>
    </row>
    <row r="1844" spans="16:19" x14ac:dyDescent="0.3">
      <c r="P1844">
        <v>1843</v>
      </c>
      <c r="Q1844">
        <v>59117</v>
      </c>
      <c r="S1844">
        <v>179000</v>
      </c>
    </row>
    <row r="1845" spans="16:19" x14ac:dyDescent="0.3">
      <c r="P1845">
        <v>1844</v>
      </c>
      <c r="Q1845">
        <v>651722</v>
      </c>
      <c r="S1845">
        <v>361700</v>
      </c>
    </row>
    <row r="1846" spans="16:19" x14ac:dyDescent="0.3">
      <c r="P1846">
        <v>1845</v>
      </c>
      <c r="Q1846">
        <v>789510</v>
      </c>
      <c r="S1846">
        <v>73433</v>
      </c>
    </row>
    <row r="1847" spans="16:19" x14ac:dyDescent="0.3">
      <c r="P1847">
        <v>1846</v>
      </c>
      <c r="Q1847">
        <v>-407265</v>
      </c>
      <c r="S1847">
        <v>181570</v>
      </c>
    </row>
    <row r="1848" spans="16:19" x14ac:dyDescent="0.3">
      <c r="P1848">
        <v>1847</v>
      </c>
      <c r="Q1848">
        <v>117159</v>
      </c>
      <c r="S1848">
        <v>-268534</v>
      </c>
    </row>
    <row r="1849" spans="16:19" x14ac:dyDescent="0.3">
      <c r="P1849">
        <v>1848</v>
      </c>
      <c r="Q1849">
        <v>-619527</v>
      </c>
      <c r="S1849">
        <v>-210057</v>
      </c>
    </row>
    <row r="1850" spans="16:19" x14ac:dyDescent="0.3">
      <c r="P1850">
        <v>1849</v>
      </c>
      <c r="Q1850">
        <v>504691</v>
      </c>
      <c r="S1850">
        <v>897654</v>
      </c>
    </row>
    <row r="1851" spans="16:19" x14ac:dyDescent="0.3">
      <c r="P1851">
        <v>1850</v>
      </c>
      <c r="Q1851">
        <v>585988</v>
      </c>
      <c r="S1851">
        <v>163314</v>
      </c>
    </row>
    <row r="1852" spans="16:19" x14ac:dyDescent="0.3">
      <c r="P1852">
        <v>1851</v>
      </c>
      <c r="Q1852">
        <v>342264</v>
      </c>
      <c r="S1852">
        <v>183050</v>
      </c>
    </row>
    <row r="1853" spans="16:19" x14ac:dyDescent="0.3">
      <c r="P1853">
        <v>1852</v>
      </c>
      <c r="Q1853">
        <v>845568</v>
      </c>
      <c r="S1853">
        <v>-566927</v>
      </c>
    </row>
    <row r="1854" spans="16:19" x14ac:dyDescent="0.3">
      <c r="P1854">
        <v>1853</v>
      </c>
      <c r="Q1854">
        <v>943033</v>
      </c>
      <c r="S1854">
        <v>-500791</v>
      </c>
    </row>
    <row r="1855" spans="16:19" x14ac:dyDescent="0.3">
      <c r="P1855">
        <v>1854</v>
      </c>
      <c r="Q1855">
        <v>251017</v>
      </c>
      <c r="S1855">
        <v>339248</v>
      </c>
    </row>
    <row r="1856" spans="16:19" x14ac:dyDescent="0.3">
      <c r="P1856">
        <v>1855</v>
      </c>
      <c r="Q1856">
        <v>-46174</v>
      </c>
      <c r="S1856">
        <v>-360759</v>
      </c>
    </row>
    <row r="1857" spans="16:19" x14ac:dyDescent="0.3">
      <c r="P1857">
        <v>1856</v>
      </c>
      <c r="Q1857">
        <v>-339534</v>
      </c>
      <c r="S1857">
        <v>-307381</v>
      </c>
    </row>
    <row r="1858" spans="16:19" x14ac:dyDescent="0.3">
      <c r="P1858">
        <v>1857</v>
      </c>
      <c r="Q1858">
        <v>-513465</v>
      </c>
      <c r="S1858">
        <v>298456</v>
      </c>
    </row>
    <row r="1859" spans="16:19" x14ac:dyDescent="0.3">
      <c r="P1859">
        <v>1858</v>
      </c>
      <c r="Q1859">
        <v>-209296</v>
      </c>
      <c r="S1859">
        <v>-604869</v>
      </c>
    </row>
    <row r="1860" spans="16:19" x14ac:dyDescent="0.3">
      <c r="P1860">
        <v>1859</v>
      </c>
      <c r="Q1860">
        <v>-499298</v>
      </c>
      <c r="S1860">
        <v>251148</v>
      </c>
    </row>
    <row r="1861" spans="16:19" x14ac:dyDescent="0.3">
      <c r="P1861">
        <v>1860</v>
      </c>
      <c r="Q1861">
        <v>158358</v>
      </c>
      <c r="S1861">
        <v>234757</v>
      </c>
    </row>
    <row r="1862" spans="16:19" x14ac:dyDescent="0.3">
      <c r="P1862">
        <v>1861</v>
      </c>
      <c r="Q1862">
        <v>60887</v>
      </c>
      <c r="S1862">
        <v>522600</v>
      </c>
    </row>
    <row r="1863" spans="16:19" x14ac:dyDescent="0.3">
      <c r="P1863">
        <v>1862</v>
      </c>
      <c r="Q1863">
        <v>132067</v>
      </c>
      <c r="S1863">
        <v>-128567</v>
      </c>
    </row>
    <row r="1864" spans="16:19" x14ac:dyDescent="0.3">
      <c r="P1864">
        <v>1863</v>
      </c>
      <c r="Q1864">
        <v>104593</v>
      </c>
      <c r="S1864">
        <v>397029</v>
      </c>
    </row>
    <row r="1865" spans="16:19" x14ac:dyDescent="0.3">
      <c r="P1865">
        <v>1864</v>
      </c>
      <c r="Q1865">
        <v>-202542</v>
      </c>
      <c r="S1865">
        <v>-190030</v>
      </c>
    </row>
    <row r="1866" spans="16:19" x14ac:dyDescent="0.3">
      <c r="P1866">
        <v>1865</v>
      </c>
      <c r="Q1866">
        <v>-362099</v>
      </c>
      <c r="S1866">
        <v>-856197</v>
      </c>
    </row>
    <row r="1867" spans="16:19" x14ac:dyDescent="0.3">
      <c r="P1867">
        <v>1866</v>
      </c>
      <c r="Q1867">
        <v>-330623</v>
      </c>
      <c r="S1867">
        <v>-572792</v>
      </c>
    </row>
    <row r="1868" spans="16:19" x14ac:dyDescent="0.3">
      <c r="P1868">
        <v>1867</v>
      </c>
      <c r="Q1868">
        <v>991337</v>
      </c>
      <c r="S1868">
        <v>-210284</v>
      </c>
    </row>
    <row r="1869" spans="16:19" x14ac:dyDescent="0.3">
      <c r="P1869">
        <v>1868</v>
      </c>
      <c r="Q1869">
        <v>582007</v>
      </c>
      <c r="S1869">
        <v>-15727</v>
      </c>
    </row>
    <row r="1870" spans="16:19" x14ac:dyDescent="0.3">
      <c r="P1870">
        <v>1869</v>
      </c>
      <c r="Q1870">
        <v>655481</v>
      </c>
      <c r="S1870">
        <v>-616921</v>
      </c>
    </row>
    <row r="1871" spans="16:19" x14ac:dyDescent="0.3">
      <c r="P1871">
        <v>1870</v>
      </c>
      <c r="Q1871">
        <v>-164826</v>
      </c>
      <c r="S1871">
        <v>-381403</v>
      </c>
    </row>
    <row r="1872" spans="16:19" x14ac:dyDescent="0.3">
      <c r="P1872">
        <v>1871</v>
      </c>
      <c r="Q1872">
        <v>51764</v>
      </c>
      <c r="S1872">
        <v>704154</v>
      </c>
    </row>
    <row r="1873" spans="16:19" x14ac:dyDescent="0.3">
      <c r="P1873">
        <v>1872</v>
      </c>
      <c r="Q1873">
        <v>267643</v>
      </c>
      <c r="S1873">
        <v>-677188</v>
      </c>
    </row>
    <row r="1874" spans="16:19" x14ac:dyDescent="0.3">
      <c r="P1874">
        <v>1873</v>
      </c>
      <c r="Q1874">
        <v>-699452</v>
      </c>
      <c r="S1874">
        <v>380335</v>
      </c>
    </row>
    <row r="1875" spans="16:19" x14ac:dyDescent="0.3">
      <c r="P1875">
        <v>1874</v>
      </c>
      <c r="Q1875">
        <v>-250761</v>
      </c>
      <c r="S1875">
        <v>-275121</v>
      </c>
    </row>
    <row r="1876" spans="16:19" x14ac:dyDescent="0.3">
      <c r="P1876">
        <v>1875</v>
      </c>
      <c r="Q1876">
        <v>-673677</v>
      </c>
      <c r="S1876">
        <v>221383</v>
      </c>
    </row>
    <row r="1877" spans="16:19" x14ac:dyDescent="0.3">
      <c r="P1877">
        <v>1876</v>
      </c>
      <c r="Q1877">
        <v>817596</v>
      </c>
      <c r="S1877">
        <v>57891</v>
      </c>
    </row>
    <row r="1878" spans="16:19" x14ac:dyDescent="0.3">
      <c r="P1878">
        <v>1877</v>
      </c>
      <c r="Q1878">
        <v>454656</v>
      </c>
      <c r="S1878">
        <v>373717</v>
      </c>
    </row>
    <row r="1879" spans="16:19" x14ac:dyDescent="0.3">
      <c r="P1879">
        <v>1878</v>
      </c>
      <c r="Q1879">
        <v>122299</v>
      </c>
      <c r="S1879">
        <v>-530762</v>
      </c>
    </row>
    <row r="1880" spans="16:19" x14ac:dyDescent="0.3">
      <c r="P1880">
        <v>1879</v>
      </c>
      <c r="Q1880">
        <v>-489263</v>
      </c>
      <c r="S1880">
        <v>380972</v>
      </c>
    </row>
    <row r="1881" spans="16:19" x14ac:dyDescent="0.3">
      <c r="P1881">
        <v>1880</v>
      </c>
      <c r="Q1881">
        <v>-5667</v>
      </c>
      <c r="S1881">
        <v>-89129</v>
      </c>
    </row>
    <row r="1882" spans="16:19" x14ac:dyDescent="0.3">
      <c r="P1882">
        <v>1881</v>
      </c>
      <c r="Q1882">
        <v>-598362</v>
      </c>
      <c r="S1882">
        <v>215947</v>
      </c>
    </row>
    <row r="1883" spans="16:19" x14ac:dyDescent="0.3">
      <c r="P1883">
        <v>1882</v>
      </c>
      <c r="Q1883">
        <v>722943</v>
      </c>
      <c r="S1883">
        <v>100880</v>
      </c>
    </row>
    <row r="1884" spans="16:19" x14ac:dyDescent="0.3">
      <c r="P1884">
        <v>1883</v>
      </c>
      <c r="Q1884">
        <v>695437</v>
      </c>
      <c r="S1884">
        <v>-171544</v>
      </c>
    </row>
    <row r="1885" spans="16:19" x14ac:dyDescent="0.3">
      <c r="P1885">
        <v>1884</v>
      </c>
      <c r="Q1885">
        <v>-399778</v>
      </c>
      <c r="S1885">
        <v>214556</v>
      </c>
    </row>
    <row r="1886" spans="16:19" x14ac:dyDescent="0.3">
      <c r="P1886">
        <v>1885</v>
      </c>
      <c r="Q1886">
        <v>837327</v>
      </c>
      <c r="S1886">
        <v>231070</v>
      </c>
    </row>
    <row r="1887" spans="16:19" x14ac:dyDescent="0.3">
      <c r="P1887">
        <v>1886</v>
      </c>
      <c r="Q1887">
        <v>-99359</v>
      </c>
      <c r="S1887">
        <v>326197</v>
      </c>
    </row>
    <row r="1888" spans="16:19" x14ac:dyDescent="0.3">
      <c r="P1888">
        <v>1887</v>
      </c>
      <c r="Q1888">
        <v>-558571</v>
      </c>
      <c r="S1888">
        <v>-80705</v>
      </c>
    </row>
    <row r="1889" spans="16:19" x14ac:dyDescent="0.3">
      <c r="P1889">
        <v>1888</v>
      </c>
      <c r="Q1889">
        <v>455965</v>
      </c>
      <c r="S1889">
        <v>-803559</v>
      </c>
    </row>
    <row r="1890" spans="16:19" x14ac:dyDescent="0.3">
      <c r="P1890">
        <v>1889</v>
      </c>
      <c r="Q1890">
        <v>851334</v>
      </c>
      <c r="S1890">
        <v>574710</v>
      </c>
    </row>
    <row r="1891" spans="16:19" x14ac:dyDescent="0.3">
      <c r="P1891">
        <v>1890</v>
      </c>
      <c r="Q1891">
        <v>248093</v>
      </c>
      <c r="S1891">
        <v>-10318</v>
      </c>
    </row>
    <row r="1892" spans="16:19" x14ac:dyDescent="0.3">
      <c r="P1892">
        <v>1891</v>
      </c>
      <c r="Q1892">
        <v>330836</v>
      </c>
      <c r="S1892">
        <v>-665286</v>
      </c>
    </row>
    <row r="1893" spans="16:19" x14ac:dyDescent="0.3">
      <c r="P1893">
        <v>1892</v>
      </c>
      <c r="Q1893">
        <v>-29020</v>
      </c>
      <c r="S1893">
        <v>644687</v>
      </c>
    </row>
    <row r="1894" spans="16:19" x14ac:dyDescent="0.3">
      <c r="P1894">
        <v>1893</v>
      </c>
      <c r="Q1894">
        <v>-401518</v>
      </c>
      <c r="S1894">
        <v>-844436</v>
      </c>
    </row>
    <row r="1895" spans="16:19" x14ac:dyDescent="0.3">
      <c r="P1895">
        <v>1894</v>
      </c>
      <c r="Q1895">
        <v>797348</v>
      </c>
      <c r="S1895">
        <v>373637</v>
      </c>
    </row>
    <row r="1896" spans="16:19" x14ac:dyDescent="0.3">
      <c r="P1896">
        <v>1895</v>
      </c>
      <c r="Q1896">
        <v>150860</v>
      </c>
      <c r="S1896">
        <v>444079</v>
      </c>
    </row>
    <row r="1897" spans="16:19" x14ac:dyDescent="0.3">
      <c r="P1897">
        <v>1896</v>
      </c>
      <c r="Q1897">
        <v>-378454</v>
      </c>
      <c r="S1897">
        <v>-217105</v>
      </c>
    </row>
    <row r="1898" spans="16:19" x14ac:dyDescent="0.3">
      <c r="P1898">
        <v>1897</v>
      </c>
      <c r="Q1898">
        <v>776688</v>
      </c>
      <c r="S1898">
        <v>-276644</v>
      </c>
    </row>
    <row r="1899" spans="16:19" x14ac:dyDescent="0.3">
      <c r="P1899">
        <v>1898</v>
      </c>
      <c r="Q1899">
        <v>-405293</v>
      </c>
      <c r="S1899">
        <v>-155255</v>
      </c>
    </row>
    <row r="1900" spans="16:19" x14ac:dyDescent="0.3">
      <c r="P1900">
        <v>1899</v>
      </c>
      <c r="Q1900">
        <v>-20089</v>
      </c>
      <c r="S1900">
        <v>915613</v>
      </c>
    </row>
    <row r="1901" spans="16:19" x14ac:dyDescent="0.3">
      <c r="P1901">
        <v>1900</v>
      </c>
      <c r="Q1901">
        <v>-531775</v>
      </c>
      <c r="S1901">
        <v>647604</v>
      </c>
    </row>
    <row r="1902" spans="16:19" x14ac:dyDescent="0.3">
      <c r="P1902">
        <v>1901</v>
      </c>
      <c r="Q1902">
        <v>-561589</v>
      </c>
      <c r="S1902">
        <v>-515346</v>
      </c>
    </row>
    <row r="1903" spans="16:19" x14ac:dyDescent="0.3">
      <c r="P1903">
        <v>1902</v>
      </c>
      <c r="Q1903">
        <v>-312997</v>
      </c>
      <c r="S1903">
        <v>-718473</v>
      </c>
    </row>
    <row r="1904" spans="16:19" x14ac:dyDescent="0.3">
      <c r="P1904">
        <v>1903</v>
      </c>
      <c r="Q1904">
        <v>-483721</v>
      </c>
      <c r="S1904">
        <v>56891</v>
      </c>
    </row>
    <row r="1905" spans="16:19" x14ac:dyDescent="0.3">
      <c r="P1905">
        <v>1904</v>
      </c>
      <c r="Q1905">
        <v>250690</v>
      </c>
      <c r="S1905">
        <v>897614</v>
      </c>
    </row>
    <row r="1906" spans="16:19" x14ac:dyDescent="0.3">
      <c r="P1906">
        <v>1905</v>
      </c>
      <c r="Q1906">
        <v>457255</v>
      </c>
      <c r="S1906">
        <v>-356191</v>
      </c>
    </row>
    <row r="1907" spans="16:19" x14ac:dyDescent="0.3">
      <c r="P1907">
        <v>1906</v>
      </c>
      <c r="Q1907">
        <v>597204</v>
      </c>
      <c r="S1907">
        <v>1066635</v>
      </c>
    </row>
    <row r="1908" spans="16:19" x14ac:dyDescent="0.3">
      <c r="P1908">
        <v>1907</v>
      </c>
      <c r="Q1908">
        <v>-658916</v>
      </c>
      <c r="S1908">
        <v>478804</v>
      </c>
    </row>
    <row r="1909" spans="16:19" x14ac:dyDescent="0.3">
      <c r="P1909">
        <v>1908</v>
      </c>
      <c r="Q1909">
        <v>676367</v>
      </c>
      <c r="S1909">
        <v>695258</v>
      </c>
    </row>
    <row r="1910" spans="16:19" x14ac:dyDescent="0.3">
      <c r="P1910">
        <v>1909</v>
      </c>
      <c r="Q1910">
        <v>207191</v>
      </c>
      <c r="S1910">
        <v>-449593</v>
      </c>
    </row>
    <row r="1911" spans="16:19" x14ac:dyDescent="0.3">
      <c r="P1911">
        <v>1910</v>
      </c>
      <c r="Q1911">
        <v>1148018</v>
      </c>
      <c r="S1911">
        <v>201328</v>
      </c>
    </row>
    <row r="1912" spans="16:19" x14ac:dyDescent="0.3">
      <c r="P1912">
        <v>1911</v>
      </c>
      <c r="Q1912">
        <v>870938</v>
      </c>
      <c r="S1912">
        <v>121060</v>
      </c>
    </row>
    <row r="1913" spans="16:19" x14ac:dyDescent="0.3">
      <c r="P1913">
        <v>1912</v>
      </c>
      <c r="Q1913">
        <v>-79943</v>
      </c>
      <c r="S1913">
        <v>115808</v>
      </c>
    </row>
    <row r="1914" spans="16:19" x14ac:dyDescent="0.3">
      <c r="P1914">
        <v>1913</v>
      </c>
      <c r="Q1914">
        <v>-880221</v>
      </c>
      <c r="S1914">
        <v>-709946</v>
      </c>
    </row>
    <row r="1915" spans="16:19" x14ac:dyDescent="0.3">
      <c r="P1915">
        <v>1914</v>
      </c>
      <c r="Q1915">
        <v>73468</v>
      </c>
      <c r="S1915">
        <v>-594750</v>
      </c>
    </row>
    <row r="1916" spans="16:19" x14ac:dyDescent="0.3">
      <c r="P1916">
        <v>1915</v>
      </c>
      <c r="Q1916">
        <v>337051</v>
      </c>
      <c r="S1916">
        <v>316003</v>
      </c>
    </row>
    <row r="1917" spans="16:19" x14ac:dyDescent="0.3">
      <c r="P1917">
        <v>1916</v>
      </c>
      <c r="Q1917">
        <v>-44210</v>
      </c>
      <c r="S1917">
        <v>-200142</v>
      </c>
    </row>
    <row r="1918" spans="16:19" x14ac:dyDescent="0.3">
      <c r="P1918">
        <v>1917</v>
      </c>
      <c r="Q1918">
        <v>-437999</v>
      </c>
      <c r="S1918">
        <v>498875</v>
      </c>
    </row>
    <row r="1919" spans="16:19" x14ac:dyDescent="0.3">
      <c r="P1919">
        <v>1918</v>
      </c>
      <c r="Q1919">
        <v>-512726</v>
      </c>
      <c r="S1919">
        <v>191247</v>
      </c>
    </row>
    <row r="1920" spans="16:19" x14ac:dyDescent="0.3">
      <c r="P1920">
        <v>1919</v>
      </c>
      <c r="Q1920">
        <v>574340</v>
      </c>
      <c r="S1920">
        <v>106978</v>
      </c>
    </row>
    <row r="1921" spans="16:19" x14ac:dyDescent="0.3">
      <c r="P1921">
        <v>1920</v>
      </c>
      <c r="Q1921">
        <v>-42512</v>
      </c>
      <c r="S1921">
        <v>-260877</v>
      </c>
    </row>
    <row r="1922" spans="16:19" x14ac:dyDescent="0.3">
      <c r="P1922">
        <v>1921</v>
      </c>
      <c r="Q1922">
        <v>-508184</v>
      </c>
      <c r="S1922">
        <v>376737</v>
      </c>
    </row>
    <row r="1923" spans="16:19" x14ac:dyDescent="0.3">
      <c r="P1923">
        <v>1922</v>
      </c>
      <c r="Q1923">
        <v>-314260</v>
      </c>
      <c r="S1923">
        <v>8567</v>
      </c>
    </row>
    <row r="1924" spans="16:19" x14ac:dyDescent="0.3">
      <c r="P1924">
        <v>1923</v>
      </c>
      <c r="Q1924">
        <v>-537620</v>
      </c>
      <c r="S1924">
        <v>174542</v>
      </c>
    </row>
    <row r="1925" spans="16:19" x14ac:dyDescent="0.3">
      <c r="P1925">
        <v>1924</v>
      </c>
      <c r="Q1925">
        <v>614937</v>
      </c>
      <c r="S1925">
        <v>24065</v>
      </c>
    </row>
    <row r="1926" spans="16:19" x14ac:dyDescent="0.3">
      <c r="P1926">
        <v>1925</v>
      </c>
      <c r="Q1926">
        <v>-72508</v>
      </c>
      <c r="S1926">
        <v>-402072</v>
      </c>
    </row>
    <row r="1927" spans="16:19" x14ac:dyDescent="0.3">
      <c r="P1927">
        <v>1926</v>
      </c>
      <c r="Q1927">
        <v>955328</v>
      </c>
      <c r="S1927">
        <v>314857</v>
      </c>
    </row>
    <row r="1928" spans="16:19" x14ac:dyDescent="0.3">
      <c r="P1928">
        <v>1927</v>
      </c>
      <c r="Q1928">
        <v>433902</v>
      </c>
      <c r="S1928">
        <v>200353</v>
      </c>
    </row>
    <row r="1929" spans="16:19" x14ac:dyDescent="0.3">
      <c r="P1929">
        <v>1928</v>
      </c>
      <c r="Q1929">
        <v>471693</v>
      </c>
      <c r="S1929">
        <v>255418</v>
      </c>
    </row>
    <row r="1930" spans="16:19" x14ac:dyDescent="0.3">
      <c r="P1930">
        <v>1929</v>
      </c>
      <c r="Q1930">
        <v>-423795</v>
      </c>
      <c r="S1930">
        <v>835175</v>
      </c>
    </row>
    <row r="1931" spans="16:19" x14ac:dyDescent="0.3">
      <c r="P1931">
        <v>1930</v>
      </c>
      <c r="Q1931">
        <v>686668</v>
      </c>
      <c r="S1931">
        <v>-333245</v>
      </c>
    </row>
    <row r="1932" spans="16:19" x14ac:dyDescent="0.3">
      <c r="P1932">
        <v>1931</v>
      </c>
      <c r="Q1932">
        <v>-378100</v>
      </c>
      <c r="S1932">
        <v>-177306</v>
      </c>
    </row>
    <row r="1933" spans="16:19" x14ac:dyDescent="0.3">
      <c r="P1933">
        <v>1932</v>
      </c>
      <c r="Q1933">
        <v>495043</v>
      </c>
      <c r="S1933">
        <v>545180</v>
      </c>
    </row>
    <row r="1934" spans="16:19" x14ac:dyDescent="0.3">
      <c r="P1934">
        <v>1933</v>
      </c>
      <c r="Q1934">
        <v>988773</v>
      </c>
      <c r="S1934">
        <v>146414</v>
      </c>
    </row>
    <row r="1935" spans="16:19" x14ac:dyDescent="0.3">
      <c r="P1935">
        <v>1934</v>
      </c>
      <c r="Q1935">
        <v>-441713</v>
      </c>
      <c r="S1935">
        <v>97004</v>
      </c>
    </row>
    <row r="1936" spans="16:19" x14ac:dyDescent="0.3">
      <c r="P1936">
        <v>1935</v>
      </c>
      <c r="Q1936">
        <v>-5664</v>
      </c>
      <c r="S1936">
        <v>-216476</v>
      </c>
    </row>
    <row r="1937" spans="16:19" x14ac:dyDescent="0.3">
      <c r="P1937">
        <v>1936</v>
      </c>
      <c r="Q1937">
        <v>735120</v>
      </c>
      <c r="S1937">
        <v>52798</v>
      </c>
    </row>
    <row r="1938" spans="16:19" x14ac:dyDescent="0.3">
      <c r="P1938">
        <v>1937</v>
      </c>
      <c r="Q1938">
        <v>-398855</v>
      </c>
      <c r="S1938">
        <v>-346353</v>
      </c>
    </row>
    <row r="1939" spans="16:19" x14ac:dyDescent="0.3">
      <c r="P1939">
        <v>1938</v>
      </c>
      <c r="Q1939">
        <v>-240489</v>
      </c>
      <c r="S1939">
        <v>-324307</v>
      </c>
    </row>
    <row r="1940" spans="16:19" x14ac:dyDescent="0.3">
      <c r="P1940">
        <v>1939</v>
      </c>
      <c r="Q1940">
        <v>117783</v>
      </c>
      <c r="S1940">
        <v>-147465</v>
      </c>
    </row>
    <row r="1941" spans="16:19" x14ac:dyDescent="0.3">
      <c r="P1941">
        <v>1940</v>
      </c>
      <c r="Q1941">
        <v>-686847</v>
      </c>
      <c r="S1941">
        <v>-74384</v>
      </c>
    </row>
    <row r="1942" spans="16:19" x14ac:dyDescent="0.3">
      <c r="P1942">
        <v>1941</v>
      </c>
      <c r="Q1942">
        <v>72248</v>
      </c>
      <c r="S1942">
        <v>-384228</v>
      </c>
    </row>
    <row r="1943" spans="16:19" x14ac:dyDescent="0.3">
      <c r="P1943">
        <v>1942</v>
      </c>
      <c r="Q1943">
        <v>-156928</v>
      </c>
      <c r="S1943">
        <v>-293087</v>
      </c>
    </row>
    <row r="1944" spans="16:19" x14ac:dyDescent="0.3">
      <c r="P1944">
        <v>1943</v>
      </c>
      <c r="Q1944">
        <v>481949</v>
      </c>
      <c r="S1944">
        <v>-469432</v>
      </c>
    </row>
    <row r="1945" spans="16:19" x14ac:dyDescent="0.3">
      <c r="P1945">
        <v>1944</v>
      </c>
      <c r="Q1945">
        <v>766540</v>
      </c>
      <c r="S1945">
        <v>-509694</v>
      </c>
    </row>
    <row r="1946" spans="16:19" x14ac:dyDescent="0.3">
      <c r="P1946">
        <v>1945</v>
      </c>
      <c r="Q1946">
        <v>-227859</v>
      </c>
      <c r="S1946">
        <v>504269</v>
      </c>
    </row>
    <row r="1947" spans="16:19" x14ac:dyDescent="0.3">
      <c r="P1947">
        <v>1946</v>
      </c>
      <c r="Q1947">
        <v>-153316</v>
      </c>
      <c r="S1947">
        <v>-28427</v>
      </c>
    </row>
    <row r="1948" spans="16:19" x14ac:dyDescent="0.3">
      <c r="P1948">
        <v>1947</v>
      </c>
      <c r="Q1948">
        <v>307592</v>
      </c>
      <c r="S1948">
        <v>-352678</v>
      </c>
    </row>
    <row r="1949" spans="16:19" x14ac:dyDescent="0.3">
      <c r="P1949">
        <v>1948</v>
      </c>
      <c r="Q1949">
        <v>-688688</v>
      </c>
      <c r="S1949">
        <v>195934</v>
      </c>
    </row>
    <row r="1950" spans="16:19" x14ac:dyDescent="0.3">
      <c r="P1950">
        <v>1949</v>
      </c>
      <c r="Q1950">
        <v>91104</v>
      </c>
      <c r="S1950">
        <v>-374911</v>
      </c>
    </row>
    <row r="1951" spans="16:19" x14ac:dyDescent="0.3">
      <c r="P1951">
        <v>1950</v>
      </c>
      <c r="Q1951">
        <v>845709</v>
      </c>
      <c r="S1951">
        <v>376732</v>
      </c>
    </row>
    <row r="1952" spans="16:19" x14ac:dyDescent="0.3">
      <c r="P1952">
        <v>1951</v>
      </c>
      <c r="Q1952">
        <v>-167026</v>
      </c>
      <c r="S1952">
        <v>-226411</v>
      </c>
    </row>
    <row r="1953" spans="16:19" x14ac:dyDescent="0.3">
      <c r="P1953">
        <v>1952</v>
      </c>
      <c r="Q1953">
        <v>162218</v>
      </c>
      <c r="S1953">
        <v>-274400</v>
      </c>
    </row>
    <row r="1954" spans="16:19" x14ac:dyDescent="0.3">
      <c r="P1954">
        <v>1953</v>
      </c>
      <c r="Q1954">
        <v>-676108</v>
      </c>
      <c r="S1954">
        <v>-203382</v>
      </c>
    </row>
    <row r="1955" spans="16:19" x14ac:dyDescent="0.3">
      <c r="P1955">
        <v>1954</v>
      </c>
      <c r="Q1955">
        <v>-220596</v>
      </c>
      <c r="S1955">
        <v>604944</v>
      </c>
    </row>
    <row r="1956" spans="16:19" x14ac:dyDescent="0.3">
      <c r="P1956">
        <v>1955</v>
      </c>
      <c r="Q1956">
        <v>-511474</v>
      </c>
      <c r="S1956">
        <v>18499</v>
      </c>
    </row>
    <row r="1957" spans="16:19" x14ac:dyDescent="0.3">
      <c r="P1957">
        <v>1956</v>
      </c>
      <c r="Q1957">
        <v>675098</v>
      </c>
      <c r="S1957">
        <v>31122</v>
      </c>
    </row>
    <row r="1958" spans="16:19" x14ac:dyDescent="0.3">
      <c r="P1958">
        <v>1957</v>
      </c>
      <c r="Q1958">
        <v>41526</v>
      </c>
      <c r="S1958">
        <v>-192370</v>
      </c>
    </row>
    <row r="1959" spans="16:19" x14ac:dyDescent="0.3">
      <c r="P1959">
        <v>1958</v>
      </c>
      <c r="Q1959">
        <v>-160675</v>
      </c>
      <c r="S1959">
        <v>-101082</v>
      </c>
    </row>
    <row r="1960" spans="16:19" x14ac:dyDescent="0.3">
      <c r="P1960">
        <v>1959</v>
      </c>
      <c r="Q1960">
        <v>-435370</v>
      </c>
      <c r="S1960">
        <v>-94408</v>
      </c>
    </row>
    <row r="1961" spans="16:19" x14ac:dyDescent="0.3">
      <c r="P1961">
        <v>1960</v>
      </c>
      <c r="Q1961">
        <v>38773</v>
      </c>
      <c r="S1961">
        <v>768841</v>
      </c>
    </row>
    <row r="1962" spans="16:19" x14ac:dyDescent="0.3">
      <c r="P1962">
        <v>1961</v>
      </c>
      <c r="Q1962">
        <v>394059</v>
      </c>
      <c r="S1962">
        <v>-687598</v>
      </c>
    </row>
    <row r="1963" spans="16:19" x14ac:dyDescent="0.3">
      <c r="P1963">
        <v>1962</v>
      </c>
      <c r="Q1963">
        <v>664815</v>
      </c>
      <c r="S1963">
        <v>286143</v>
      </c>
    </row>
    <row r="1964" spans="16:19" x14ac:dyDescent="0.3">
      <c r="P1964">
        <v>1963</v>
      </c>
      <c r="Q1964">
        <v>-103070</v>
      </c>
      <c r="S1964">
        <v>421747</v>
      </c>
    </row>
    <row r="1965" spans="16:19" x14ac:dyDescent="0.3">
      <c r="P1965">
        <v>1964</v>
      </c>
      <c r="Q1965">
        <v>-542038</v>
      </c>
      <c r="S1965">
        <v>111490</v>
      </c>
    </row>
    <row r="1966" spans="16:19" x14ac:dyDescent="0.3">
      <c r="P1966">
        <v>1965</v>
      </c>
      <c r="Q1966">
        <v>-187556</v>
      </c>
      <c r="S1966">
        <v>474559</v>
      </c>
    </row>
    <row r="1967" spans="16:19" x14ac:dyDescent="0.3">
      <c r="P1967">
        <v>1966</v>
      </c>
      <c r="Q1967">
        <v>784150</v>
      </c>
      <c r="S1967">
        <v>-587027</v>
      </c>
    </row>
    <row r="1968" spans="16:19" x14ac:dyDescent="0.3">
      <c r="P1968">
        <v>1967</v>
      </c>
      <c r="Q1968">
        <v>385452</v>
      </c>
      <c r="S1968">
        <v>580733</v>
      </c>
    </row>
    <row r="1969" spans="16:19" x14ac:dyDescent="0.3">
      <c r="P1969">
        <v>1968</v>
      </c>
      <c r="Q1969">
        <v>148607</v>
      </c>
      <c r="S1969">
        <v>-774612</v>
      </c>
    </row>
    <row r="1970" spans="16:19" x14ac:dyDescent="0.3">
      <c r="P1970">
        <v>1969</v>
      </c>
      <c r="Q1970">
        <v>204799</v>
      </c>
      <c r="S1970">
        <v>705931</v>
      </c>
    </row>
    <row r="1971" spans="16:19" x14ac:dyDescent="0.3">
      <c r="P1971">
        <v>1970</v>
      </c>
      <c r="Q1971">
        <v>-696243</v>
      </c>
      <c r="S1971">
        <v>-491901</v>
      </c>
    </row>
    <row r="1972" spans="16:19" x14ac:dyDescent="0.3">
      <c r="P1972">
        <v>1971</v>
      </c>
      <c r="Q1972">
        <v>754394</v>
      </c>
      <c r="S1972">
        <v>-21858</v>
      </c>
    </row>
    <row r="1973" spans="16:19" x14ac:dyDescent="0.3">
      <c r="P1973">
        <v>1972</v>
      </c>
      <c r="Q1973">
        <v>846</v>
      </c>
      <c r="S1973">
        <v>195557</v>
      </c>
    </row>
    <row r="1974" spans="16:19" x14ac:dyDescent="0.3">
      <c r="P1974">
        <v>1973</v>
      </c>
      <c r="Q1974">
        <v>-331886</v>
      </c>
      <c r="S1974">
        <v>-220434</v>
      </c>
    </row>
    <row r="1975" spans="16:19" x14ac:dyDescent="0.3">
      <c r="P1975">
        <v>1974</v>
      </c>
      <c r="Q1975">
        <v>486815</v>
      </c>
      <c r="S1975">
        <v>334599</v>
      </c>
    </row>
    <row r="1976" spans="16:19" x14ac:dyDescent="0.3">
      <c r="P1976">
        <v>1975</v>
      </c>
      <c r="Q1976">
        <v>18539</v>
      </c>
      <c r="S1976">
        <v>406533</v>
      </c>
    </row>
    <row r="1977" spans="16:19" x14ac:dyDescent="0.3">
      <c r="P1977">
        <v>1976</v>
      </c>
      <c r="Q1977">
        <v>101266</v>
      </c>
      <c r="S1977">
        <v>70634</v>
      </c>
    </row>
    <row r="1978" spans="16:19" x14ac:dyDescent="0.3">
      <c r="P1978">
        <v>1977</v>
      </c>
      <c r="Q1978">
        <v>-667404</v>
      </c>
      <c r="S1978">
        <v>-148704</v>
      </c>
    </row>
    <row r="1979" spans="16:19" x14ac:dyDescent="0.3">
      <c r="P1979">
        <v>1978</v>
      </c>
      <c r="Q1979">
        <v>1063880</v>
      </c>
      <c r="S1979">
        <v>387244</v>
      </c>
    </row>
    <row r="1980" spans="16:19" x14ac:dyDescent="0.3">
      <c r="P1980">
        <v>1979</v>
      </c>
      <c r="Q1980">
        <v>-221433</v>
      </c>
      <c r="S1980">
        <v>144533</v>
      </c>
    </row>
    <row r="1981" spans="16:19" x14ac:dyDescent="0.3">
      <c r="P1981">
        <v>1980</v>
      </c>
      <c r="Q1981">
        <v>791061</v>
      </c>
      <c r="S1981">
        <v>-150667</v>
      </c>
    </row>
    <row r="1982" spans="16:19" x14ac:dyDescent="0.3">
      <c r="P1982">
        <v>1981</v>
      </c>
      <c r="Q1982">
        <v>545941</v>
      </c>
      <c r="S1982">
        <v>-433723</v>
      </c>
    </row>
    <row r="1983" spans="16:19" x14ac:dyDescent="0.3">
      <c r="P1983">
        <v>1982</v>
      </c>
      <c r="Q1983">
        <v>51980</v>
      </c>
      <c r="S1983">
        <v>-426513</v>
      </c>
    </row>
    <row r="1984" spans="16:19" x14ac:dyDescent="0.3">
      <c r="P1984">
        <v>1983</v>
      </c>
      <c r="Q1984">
        <v>6809</v>
      </c>
      <c r="S1984">
        <v>-449330</v>
      </c>
    </row>
    <row r="1985" spans="16:19" x14ac:dyDescent="0.3">
      <c r="P1985">
        <v>1984</v>
      </c>
      <c r="Q1985">
        <v>82901</v>
      </c>
      <c r="S1985">
        <v>252326</v>
      </c>
    </row>
    <row r="1986" spans="16:19" x14ac:dyDescent="0.3">
      <c r="P1986">
        <v>1985</v>
      </c>
      <c r="Q1986">
        <v>-615511</v>
      </c>
      <c r="S1986">
        <v>-400563</v>
      </c>
    </row>
    <row r="1987" spans="16:19" x14ac:dyDescent="0.3">
      <c r="P1987">
        <v>1986</v>
      </c>
      <c r="Q1987">
        <v>544279</v>
      </c>
      <c r="S1987">
        <v>270848</v>
      </c>
    </row>
    <row r="1988" spans="16:19" x14ac:dyDescent="0.3">
      <c r="P1988">
        <v>1987</v>
      </c>
      <c r="Q1988">
        <v>383364</v>
      </c>
      <c r="S1988">
        <v>53998</v>
      </c>
    </row>
    <row r="1989" spans="16:19" x14ac:dyDescent="0.3">
      <c r="P1989">
        <v>1988</v>
      </c>
      <c r="Q1989">
        <v>-662489</v>
      </c>
      <c r="S1989">
        <v>-169445</v>
      </c>
    </row>
    <row r="1990" spans="16:19" x14ac:dyDescent="0.3">
      <c r="P1990">
        <v>1989</v>
      </c>
      <c r="Q1990">
        <v>-54782</v>
      </c>
      <c r="S1990">
        <v>-439163</v>
      </c>
    </row>
    <row r="1991" spans="16:19" x14ac:dyDescent="0.3">
      <c r="P1991">
        <v>1990</v>
      </c>
      <c r="Q1991">
        <v>-275896</v>
      </c>
      <c r="S1991">
        <v>239316</v>
      </c>
    </row>
    <row r="1992" spans="16:19" x14ac:dyDescent="0.3">
      <c r="P1992">
        <v>1991</v>
      </c>
      <c r="Q1992">
        <v>68955</v>
      </c>
      <c r="S1992">
        <v>-203767</v>
      </c>
    </row>
    <row r="1993" spans="16:19" x14ac:dyDescent="0.3">
      <c r="P1993">
        <v>1992</v>
      </c>
      <c r="Q1993">
        <v>314360</v>
      </c>
      <c r="S1993">
        <v>-635959</v>
      </c>
    </row>
    <row r="1994" spans="16:19" x14ac:dyDescent="0.3">
      <c r="P1994">
        <v>1993</v>
      </c>
      <c r="Q1994">
        <v>-443393</v>
      </c>
      <c r="S1994">
        <v>431113</v>
      </c>
    </row>
    <row r="1995" spans="16:19" x14ac:dyDescent="0.3">
      <c r="P1995">
        <v>1994</v>
      </c>
      <c r="Q1995">
        <v>-117819</v>
      </c>
      <c r="S1995">
        <v>127184</v>
      </c>
    </row>
    <row r="1996" spans="16:19" x14ac:dyDescent="0.3">
      <c r="P1996">
        <v>1995</v>
      </c>
      <c r="Q1996">
        <v>-84721</v>
      </c>
      <c r="S1996">
        <v>-8725</v>
      </c>
    </row>
    <row r="1997" spans="16:19" x14ac:dyDescent="0.3">
      <c r="P1997">
        <v>1996</v>
      </c>
      <c r="Q1997">
        <v>237626</v>
      </c>
      <c r="S1997">
        <v>462017</v>
      </c>
    </row>
    <row r="1998" spans="16:19" x14ac:dyDescent="0.3">
      <c r="P1998">
        <v>1997</v>
      </c>
      <c r="Q1998">
        <v>-633843</v>
      </c>
      <c r="S1998">
        <v>563813</v>
      </c>
    </row>
    <row r="1999" spans="16:19" x14ac:dyDescent="0.3">
      <c r="P1999">
        <v>1998</v>
      </c>
      <c r="Q1999">
        <v>-136260</v>
      </c>
      <c r="S1999">
        <v>-116231</v>
      </c>
    </row>
    <row r="2000" spans="16:19" x14ac:dyDescent="0.3">
      <c r="P2000">
        <v>1999</v>
      </c>
      <c r="Q2000">
        <v>-308725</v>
      </c>
      <c r="S2000">
        <v>240171</v>
      </c>
    </row>
    <row r="2001" spans="16:19" x14ac:dyDescent="0.3">
      <c r="P2001">
        <v>2000</v>
      </c>
      <c r="Q2001">
        <v>893654</v>
      </c>
      <c r="S2001">
        <v>-80324</v>
      </c>
    </row>
    <row r="2002" spans="16:19" x14ac:dyDescent="0.3">
      <c r="P2002">
        <v>2001</v>
      </c>
      <c r="Q2002">
        <v>-84901</v>
      </c>
      <c r="S2002">
        <v>152832</v>
      </c>
    </row>
    <row r="2003" spans="16:19" x14ac:dyDescent="0.3">
      <c r="P2003">
        <v>2002</v>
      </c>
      <c r="Q2003">
        <v>-236074</v>
      </c>
      <c r="S2003">
        <v>-215307</v>
      </c>
    </row>
    <row r="2004" spans="16:19" x14ac:dyDescent="0.3">
      <c r="P2004">
        <v>2003</v>
      </c>
      <c r="Q2004">
        <v>773696</v>
      </c>
      <c r="S2004">
        <v>-532126</v>
      </c>
    </row>
    <row r="2005" spans="16:19" x14ac:dyDescent="0.3">
      <c r="P2005">
        <v>2004</v>
      </c>
      <c r="Q2005">
        <v>-635380</v>
      </c>
      <c r="S2005">
        <v>-812428</v>
      </c>
    </row>
    <row r="2006" spans="16:19" x14ac:dyDescent="0.3">
      <c r="P2006">
        <v>2005</v>
      </c>
      <c r="Q2006">
        <v>-170166</v>
      </c>
      <c r="S2006">
        <v>24624</v>
      </c>
    </row>
    <row r="2007" spans="16:19" x14ac:dyDescent="0.3">
      <c r="P2007">
        <v>2006</v>
      </c>
      <c r="Q2007">
        <v>300869</v>
      </c>
      <c r="S2007">
        <v>-401860</v>
      </c>
    </row>
    <row r="2008" spans="16:19" x14ac:dyDescent="0.3">
      <c r="P2008">
        <v>2007</v>
      </c>
      <c r="Q2008">
        <v>-199644</v>
      </c>
      <c r="S2008">
        <v>-476572</v>
      </c>
    </row>
    <row r="2009" spans="16:19" x14ac:dyDescent="0.3">
      <c r="P2009">
        <v>2008</v>
      </c>
      <c r="Q2009">
        <v>-251068</v>
      </c>
      <c r="S2009">
        <v>7834</v>
      </c>
    </row>
    <row r="2010" spans="16:19" x14ac:dyDescent="0.3">
      <c r="P2010">
        <v>2009</v>
      </c>
      <c r="Q2010">
        <v>46827</v>
      </c>
      <c r="S2010">
        <v>156339</v>
      </c>
    </row>
    <row r="2011" spans="16:19" x14ac:dyDescent="0.3">
      <c r="P2011">
        <v>2010</v>
      </c>
      <c r="Q2011">
        <v>-122169</v>
      </c>
      <c r="S2011">
        <v>-485582</v>
      </c>
    </row>
    <row r="2012" spans="16:19" x14ac:dyDescent="0.3">
      <c r="P2012">
        <v>2011</v>
      </c>
      <c r="Q2012">
        <v>173578</v>
      </c>
      <c r="S2012">
        <v>750150</v>
      </c>
    </row>
    <row r="2013" spans="16:19" x14ac:dyDescent="0.3">
      <c r="P2013">
        <v>2012</v>
      </c>
      <c r="Q2013">
        <v>-281852</v>
      </c>
      <c r="S2013">
        <v>-182163</v>
      </c>
    </row>
    <row r="2014" spans="16:19" x14ac:dyDescent="0.3">
      <c r="P2014">
        <v>2013</v>
      </c>
      <c r="Q2014">
        <v>910272</v>
      </c>
      <c r="S2014">
        <v>-28187</v>
      </c>
    </row>
    <row r="2015" spans="16:19" x14ac:dyDescent="0.3">
      <c r="P2015">
        <v>2014</v>
      </c>
      <c r="Q2015">
        <v>-483192</v>
      </c>
      <c r="S2015">
        <v>52145</v>
      </c>
    </row>
    <row r="2016" spans="16:19" x14ac:dyDescent="0.3">
      <c r="P2016">
        <v>2015</v>
      </c>
      <c r="Q2016">
        <v>-389930</v>
      </c>
      <c r="S2016">
        <v>199884</v>
      </c>
    </row>
    <row r="2017" spans="16:19" x14ac:dyDescent="0.3">
      <c r="P2017">
        <v>2016</v>
      </c>
      <c r="Q2017">
        <v>-297193</v>
      </c>
      <c r="S2017">
        <v>294567</v>
      </c>
    </row>
    <row r="2018" spans="16:19" x14ac:dyDescent="0.3">
      <c r="P2018">
        <v>2017</v>
      </c>
      <c r="Q2018">
        <v>82066</v>
      </c>
      <c r="S2018">
        <v>55411</v>
      </c>
    </row>
    <row r="2019" spans="16:19" x14ac:dyDescent="0.3">
      <c r="P2019">
        <v>2018</v>
      </c>
      <c r="Q2019">
        <v>-356987</v>
      </c>
      <c r="S2019">
        <v>-149791</v>
      </c>
    </row>
    <row r="2020" spans="16:19" x14ac:dyDescent="0.3">
      <c r="P2020">
        <v>2019</v>
      </c>
      <c r="Q2020">
        <v>94466</v>
      </c>
      <c r="S2020">
        <v>-198482</v>
      </c>
    </row>
    <row r="2021" spans="16:19" x14ac:dyDescent="0.3">
      <c r="P2021">
        <v>2020</v>
      </c>
      <c r="Q2021">
        <v>64159</v>
      </c>
      <c r="S2021">
        <v>153583</v>
      </c>
    </row>
    <row r="2022" spans="16:19" x14ac:dyDescent="0.3">
      <c r="P2022">
        <v>2021</v>
      </c>
      <c r="Q2022">
        <v>443657</v>
      </c>
      <c r="S2022">
        <v>-304124</v>
      </c>
    </row>
    <row r="2023" spans="16:19" x14ac:dyDescent="0.3">
      <c r="P2023">
        <v>2022</v>
      </c>
      <c r="Q2023">
        <v>-544183</v>
      </c>
      <c r="S2023">
        <v>123497</v>
      </c>
    </row>
    <row r="2024" spans="16:19" x14ac:dyDescent="0.3">
      <c r="P2024">
        <v>2023</v>
      </c>
      <c r="Q2024">
        <v>-477555</v>
      </c>
      <c r="S2024">
        <v>102105</v>
      </c>
    </row>
    <row r="2025" spans="16:19" x14ac:dyDescent="0.3">
      <c r="P2025">
        <v>2024</v>
      </c>
      <c r="Q2025">
        <v>-525305</v>
      </c>
      <c r="S2025">
        <v>-353101</v>
      </c>
    </row>
    <row r="2026" spans="16:19" x14ac:dyDescent="0.3">
      <c r="P2026">
        <v>2025</v>
      </c>
      <c r="Q2026">
        <v>108253</v>
      </c>
      <c r="S2026">
        <v>180213</v>
      </c>
    </row>
    <row r="2027" spans="16:19" x14ac:dyDescent="0.3">
      <c r="P2027">
        <v>2026</v>
      </c>
      <c r="Q2027">
        <v>-349048</v>
      </c>
      <c r="S2027">
        <v>182941</v>
      </c>
    </row>
    <row r="2028" spans="16:19" x14ac:dyDescent="0.3">
      <c r="P2028">
        <v>2027</v>
      </c>
      <c r="Q2028">
        <v>-418990</v>
      </c>
      <c r="S2028">
        <v>-146487</v>
      </c>
    </row>
    <row r="2029" spans="16:19" x14ac:dyDescent="0.3">
      <c r="P2029">
        <v>2028</v>
      </c>
      <c r="Q2029">
        <v>918662</v>
      </c>
      <c r="S2029">
        <v>-349836</v>
      </c>
    </row>
    <row r="2030" spans="16:19" x14ac:dyDescent="0.3">
      <c r="P2030">
        <v>2029</v>
      </c>
      <c r="Q2030">
        <v>-581446</v>
      </c>
      <c r="S2030">
        <v>-266673</v>
      </c>
    </row>
    <row r="2031" spans="16:19" x14ac:dyDescent="0.3">
      <c r="P2031">
        <v>2030</v>
      </c>
      <c r="Q2031">
        <v>332014</v>
      </c>
      <c r="S2031">
        <v>311089</v>
      </c>
    </row>
    <row r="2032" spans="16:19" x14ac:dyDescent="0.3">
      <c r="P2032">
        <v>2031</v>
      </c>
      <c r="Q2032">
        <v>565597</v>
      </c>
      <c r="S2032">
        <v>-297288</v>
      </c>
    </row>
    <row r="2033" spans="16:19" x14ac:dyDescent="0.3">
      <c r="P2033">
        <v>2032</v>
      </c>
      <c r="Q2033">
        <v>-328928</v>
      </c>
      <c r="S2033">
        <v>-199795</v>
      </c>
    </row>
    <row r="2034" spans="16:19" x14ac:dyDescent="0.3">
      <c r="P2034">
        <v>2033</v>
      </c>
      <c r="Q2034">
        <v>-11668</v>
      </c>
      <c r="S2034">
        <v>-336682</v>
      </c>
    </row>
    <row r="2035" spans="16:19" x14ac:dyDescent="0.3">
      <c r="P2035">
        <v>2034</v>
      </c>
      <c r="Q2035">
        <v>-472732</v>
      </c>
      <c r="S2035">
        <v>25059</v>
      </c>
    </row>
    <row r="2036" spans="16:19" x14ac:dyDescent="0.3">
      <c r="P2036">
        <v>2035</v>
      </c>
      <c r="Q2036">
        <v>-205877</v>
      </c>
      <c r="S2036">
        <v>509441</v>
      </c>
    </row>
    <row r="2037" spans="16:19" x14ac:dyDescent="0.3">
      <c r="P2037">
        <v>2036</v>
      </c>
      <c r="Q2037">
        <v>-211667</v>
      </c>
      <c r="S2037">
        <v>-700676</v>
      </c>
    </row>
    <row r="2038" spans="16:19" x14ac:dyDescent="0.3">
      <c r="P2038">
        <v>2037</v>
      </c>
      <c r="Q2038">
        <v>-600976</v>
      </c>
      <c r="S2038">
        <v>352416</v>
      </c>
    </row>
    <row r="2039" spans="16:19" x14ac:dyDescent="0.3">
      <c r="P2039">
        <v>2038</v>
      </c>
      <c r="Q2039">
        <v>243056</v>
      </c>
      <c r="S2039">
        <v>-48043</v>
      </c>
    </row>
    <row r="2040" spans="16:19" x14ac:dyDescent="0.3">
      <c r="P2040">
        <v>2039</v>
      </c>
      <c r="Q2040">
        <v>-288190</v>
      </c>
      <c r="S2040">
        <v>492297</v>
      </c>
    </row>
    <row r="2041" spans="16:19" x14ac:dyDescent="0.3">
      <c r="P2041">
        <v>2040</v>
      </c>
      <c r="Q2041">
        <v>829619</v>
      </c>
      <c r="S2041">
        <v>243585</v>
      </c>
    </row>
    <row r="2042" spans="16:19" x14ac:dyDescent="0.3">
      <c r="P2042">
        <v>2041</v>
      </c>
      <c r="Q2042">
        <v>-837443</v>
      </c>
      <c r="S2042">
        <v>167114</v>
      </c>
    </row>
    <row r="2043" spans="16:19" x14ac:dyDescent="0.3">
      <c r="P2043">
        <v>2042</v>
      </c>
      <c r="Q2043">
        <v>57802</v>
      </c>
      <c r="S2043">
        <v>66690</v>
      </c>
    </row>
    <row r="2044" spans="16:19" x14ac:dyDescent="0.3">
      <c r="P2044">
        <v>2043</v>
      </c>
      <c r="Q2044">
        <v>-315041</v>
      </c>
      <c r="S2044">
        <v>406275</v>
      </c>
    </row>
    <row r="2045" spans="16:19" x14ac:dyDescent="0.3">
      <c r="P2045">
        <v>2044</v>
      </c>
      <c r="Q2045">
        <v>87045</v>
      </c>
      <c r="S2045">
        <v>252919</v>
      </c>
    </row>
    <row r="2046" spans="16:19" x14ac:dyDescent="0.3">
      <c r="P2046">
        <v>2045</v>
      </c>
      <c r="Q2046">
        <v>-210196</v>
      </c>
      <c r="S2046">
        <v>593893</v>
      </c>
    </row>
    <row r="2047" spans="16:19" x14ac:dyDescent="0.3">
      <c r="P2047">
        <v>2046</v>
      </c>
      <c r="Q2047">
        <v>-63577</v>
      </c>
      <c r="S2047">
        <v>402351</v>
      </c>
    </row>
    <row r="2048" spans="16:19" x14ac:dyDescent="0.3">
      <c r="P2048">
        <v>2047</v>
      </c>
      <c r="Q2048">
        <v>-95417</v>
      </c>
      <c r="S2048">
        <v>257849</v>
      </c>
    </row>
    <row r="2049" spans="16:19" x14ac:dyDescent="0.3">
      <c r="P2049">
        <v>2048</v>
      </c>
      <c r="Q2049">
        <v>228057</v>
      </c>
      <c r="S2049">
        <v>89801</v>
      </c>
    </row>
    <row r="2050" spans="16:19" x14ac:dyDescent="0.3">
      <c r="P2050">
        <v>2049</v>
      </c>
      <c r="Q2050">
        <v>-741595</v>
      </c>
      <c r="S2050">
        <v>127340</v>
      </c>
    </row>
    <row r="2051" spans="16:19" x14ac:dyDescent="0.3">
      <c r="P2051">
        <v>2050</v>
      </c>
      <c r="Q2051">
        <v>-285002</v>
      </c>
      <c r="S2051">
        <v>-803258</v>
      </c>
    </row>
    <row r="2052" spans="16:19" x14ac:dyDescent="0.3">
      <c r="P2052">
        <v>2051</v>
      </c>
      <c r="Q2052">
        <v>144629</v>
      </c>
      <c r="S2052">
        <v>199252</v>
      </c>
    </row>
    <row r="2053" spans="16:19" x14ac:dyDescent="0.3">
      <c r="P2053">
        <v>2052</v>
      </c>
      <c r="Q2053">
        <v>-291540</v>
      </c>
      <c r="S2053">
        <v>-133115</v>
      </c>
    </row>
    <row r="2054" spans="16:19" x14ac:dyDescent="0.3">
      <c r="P2054">
        <v>2053</v>
      </c>
      <c r="Q2054">
        <v>315465</v>
      </c>
      <c r="S2054">
        <v>466814</v>
      </c>
    </row>
    <row r="2055" spans="16:19" x14ac:dyDescent="0.3">
      <c r="P2055">
        <v>2054</v>
      </c>
      <c r="Q2055">
        <v>-407295</v>
      </c>
      <c r="S2055">
        <v>829577</v>
      </c>
    </row>
    <row r="2056" spans="16:19" x14ac:dyDescent="0.3">
      <c r="P2056">
        <v>2055</v>
      </c>
      <c r="Q2056">
        <v>-394707</v>
      </c>
      <c r="S2056">
        <v>483622</v>
      </c>
    </row>
    <row r="2057" spans="16:19" x14ac:dyDescent="0.3">
      <c r="P2057">
        <v>2056</v>
      </c>
      <c r="Q2057">
        <v>611827</v>
      </c>
      <c r="S2057">
        <v>-873196</v>
      </c>
    </row>
    <row r="2058" spans="16:19" x14ac:dyDescent="0.3">
      <c r="P2058">
        <v>2057</v>
      </c>
      <c r="Q2058">
        <v>297373</v>
      </c>
      <c r="S2058">
        <v>418270</v>
      </c>
    </row>
    <row r="2059" spans="16:19" x14ac:dyDescent="0.3">
      <c r="P2059">
        <v>2058</v>
      </c>
      <c r="Q2059">
        <v>-94844</v>
      </c>
      <c r="S2059">
        <v>-210913</v>
      </c>
    </row>
    <row r="2060" spans="16:19" x14ac:dyDescent="0.3">
      <c r="P2060">
        <v>2059</v>
      </c>
      <c r="Q2060">
        <v>555297</v>
      </c>
      <c r="S2060">
        <v>-369611</v>
      </c>
    </row>
    <row r="2061" spans="16:19" x14ac:dyDescent="0.3">
      <c r="P2061">
        <v>2060</v>
      </c>
      <c r="Q2061">
        <v>-104989</v>
      </c>
      <c r="S2061">
        <v>988506</v>
      </c>
    </row>
    <row r="2062" spans="16:19" x14ac:dyDescent="0.3">
      <c r="P2062">
        <v>2061</v>
      </c>
      <c r="Q2062">
        <v>24832</v>
      </c>
      <c r="S2062">
        <v>-350933</v>
      </c>
    </row>
    <row r="2063" spans="16:19" x14ac:dyDescent="0.3">
      <c r="P2063">
        <v>2062</v>
      </c>
      <c r="Q2063">
        <v>240379</v>
      </c>
      <c r="S2063">
        <v>-89285</v>
      </c>
    </row>
    <row r="2064" spans="16:19" x14ac:dyDescent="0.3">
      <c r="P2064">
        <v>2063</v>
      </c>
      <c r="Q2064">
        <v>-212234</v>
      </c>
      <c r="S2064">
        <v>-280209</v>
      </c>
    </row>
    <row r="2065" spans="16:19" x14ac:dyDescent="0.3">
      <c r="P2065">
        <v>2064</v>
      </c>
      <c r="Q2065">
        <v>-438550</v>
      </c>
      <c r="S2065">
        <v>-488701</v>
      </c>
    </row>
    <row r="2066" spans="16:19" x14ac:dyDescent="0.3">
      <c r="P2066">
        <v>2065</v>
      </c>
      <c r="Q2066">
        <v>357010</v>
      </c>
      <c r="S2066">
        <v>-199065</v>
      </c>
    </row>
    <row r="2067" spans="16:19" x14ac:dyDescent="0.3">
      <c r="P2067">
        <v>2066</v>
      </c>
      <c r="Q2067">
        <v>419576</v>
      </c>
      <c r="S2067">
        <v>106644</v>
      </c>
    </row>
    <row r="2068" spans="16:19" x14ac:dyDescent="0.3">
      <c r="P2068">
        <v>2067</v>
      </c>
      <c r="Q2068">
        <v>63742</v>
      </c>
      <c r="S2068">
        <v>5158</v>
      </c>
    </row>
    <row r="2069" spans="16:19" x14ac:dyDescent="0.3">
      <c r="P2069">
        <v>2068</v>
      </c>
      <c r="Q2069">
        <v>-558177</v>
      </c>
      <c r="S2069">
        <v>-569711</v>
      </c>
    </row>
    <row r="2070" spans="16:19" x14ac:dyDescent="0.3">
      <c r="P2070">
        <v>2069</v>
      </c>
      <c r="Q2070">
        <v>-690699</v>
      </c>
      <c r="S2070">
        <v>175595</v>
      </c>
    </row>
    <row r="2071" spans="16:19" x14ac:dyDescent="0.3">
      <c r="P2071">
        <v>2070</v>
      </c>
      <c r="Q2071">
        <v>627511</v>
      </c>
      <c r="S2071">
        <v>963181</v>
      </c>
    </row>
    <row r="2072" spans="16:19" x14ac:dyDescent="0.3">
      <c r="P2072">
        <v>2071</v>
      </c>
      <c r="Q2072">
        <v>-14609</v>
      </c>
      <c r="S2072">
        <v>521885</v>
      </c>
    </row>
    <row r="2073" spans="16:19" x14ac:dyDescent="0.3">
      <c r="P2073">
        <v>2072</v>
      </c>
      <c r="Q2073">
        <v>-387685</v>
      </c>
      <c r="S2073">
        <v>-565817</v>
      </c>
    </row>
    <row r="2074" spans="16:19" x14ac:dyDescent="0.3">
      <c r="P2074">
        <v>2073</v>
      </c>
      <c r="Q2074">
        <v>-359854</v>
      </c>
      <c r="S2074">
        <v>-217002</v>
      </c>
    </row>
    <row r="2075" spans="16:19" x14ac:dyDescent="0.3">
      <c r="P2075">
        <v>2074</v>
      </c>
      <c r="Q2075">
        <v>297433</v>
      </c>
      <c r="S2075">
        <v>568830</v>
      </c>
    </row>
    <row r="2076" spans="16:19" x14ac:dyDescent="0.3">
      <c r="P2076">
        <v>2075</v>
      </c>
      <c r="Q2076">
        <v>437043</v>
      </c>
      <c r="S2076">
        <v>234145</v>
      </c>
    </row>
    <row r="2077" spans="16:19" x14ac:dyDescent="0.3">
      <c r="P2077">
        <v>2076</v>
      </c>
      <c r="Q2077">
        <v>-25262</v>
      </c>
      <c r="S2077">
        <v>250227</v>
      </c>
    </row>
    <row r="2078" spans="16:19" x14ac:dyDescent="0.3">
      <c r="P2078">
        <v>2077</v>
      </c>
      <c r="Q2078">
        <v>104106</v>
      </c>
      <c r="S2078">
        <v>-419619</v>
      </c>
    </row>
    <row r="2079" spans="16:19" x14ac:dyDescent="0.3">
      <c r="P2079">
        <v>2078</v>
      </c>
      <c r="Q2079">
        <v>304092</v>
      </c>
      <c r="S2079">
        <v>1522</v>
      </c>
    </row>
    <row r="2080" spans="16:19" x14ac:dyDescent="0.3">
      <c r="P2080">
        <v>2079</v>
      </c>
      <c r="Q2080">
        <v>-416774</v>
      </c>
      <c r="S2080">
        <v>-307148</v>
      </c>
    </row>
    <row r="2081" spans="16:19" x14ac:dyDescent="0.3">
      <c r="P2081">
        <v>2080</v>
      </c>
      <c r="Q2081">
        <v>-237914</v>
      </c>
      <c r="S2081">
        <v>-220856</v>
      </c>
    </row>
    <row r="2082" spans="16:19" x14ac:dyDescent="0.3">
      <c r="P2082">
        <v>2081</v>
      </c>
      <c r="Q2082">
        <v>23565</v>
      </c>
      <c r="S2082">
        <v>-313252</v>
      </c>
    </row>
    <row r="2083" spans="16:19" x14ac:dyDescent="0.3">
      <c r="P2083">
        <v>2082</v>
      </c>
      <c r="Q2083">
        <v>-18304</v>
      </c>
      <c r="S2083">
        <v>-104617</v>
      </c>
    </row>
    <row r="2084" spans="16:19" x14ac:dyDescent="0.3">
      <c r="P2084">
        <v>2083</v>
      </c>
      <c r="Q2084">
        <v>434175</v>
      </c>
      <c r="S2084">
        <v>87566</v>
      </c>
    </row>
    <row r="2085" spans="16:19" x14ac:dyDescent="0.3">
      <c r="P2085">
        <v>2084</v>
      </c>
      <c r="Q2085">
        <v>159007</v>
      </c>
      <c r="S2085">
        <v>-400443</v>
      </c>
    </row>
    <row r="2086" spans="16:19" x14ac:dyDescent="0.3">
      <c r="P2086">
        <v>2085</v>
      </c>
      <c r="Q2086">
        <v>-148805</v>
      </c>
      <c r="S2086">
        <v>962073</v>
      </c>
    </row>
    <row r="2087" spans="16:19" x14ac:dyDescent="0.3">
      <c r="P2087">
        <v>2086</v>
      </c>
      <c r="Q2087">
        <v>133266</v>
      </c>
      <c r="S2087">
        <v>64480</v>
      </c>
    </row>
    <row r="2088" spans="16:19" x14ac:dyDescent="0.3">
      <c r="P2088">
        <v>2087</v>
      </c>
      <c r="Q2088">
        <v>-369591</v>
      </c>
      <c r="S2088">
        <v>492711</v>
      </c>
    </row>
    <row r="2089" spans="16:19" x14ac:dyDescent="0.3">
      <c r="P2089">
        <v>2088</v>
      </c>
      <c r="Q2089">
        <v>512622</v>
      </c>
      <c r="S2089">
        <v>-625694</v>
      </c>
    </row>
    <row r="2090" spans="16:19" x14ac:dyDescent="0.3">
      <c r="P2090">
        <v>2089</v>
      </c>
      <c r="Q2090">
        <v>-333214</v>
      </c>
      <c r="S2090">
        <v>336623</v>
      </c>
    </row>
    <row r="2091" spans="16:19" x14ac:dyDescent="0.3">
      <c r="P2091">
        <v>2090</v>
      </c>
      <c r="Q2091">
        <v>449573</v>
      </c>
      <c r="S2091">
        <v>132664</v>
      </c>
    </row>
    <row r="2092" spans="16:19" x14ac:dyDescent="0.3">
      <c r="P2092">
        <v>2091</v>
      </c>
      <c r="Q2092">
        <v>-117027</v>
      </c>
      <c r="S2092">
        <v>765851</v>
      </c>
    </row>
    <row r="2093" spans="16:19" x14ac:dyDescent="0.3">
      <c r="P2093">
        <v>2092</v>
      </c>
      <c r="Q2093">
        <v>-64259</v>
      </c>
      <c r="S2093">
        <v>-564912</v>
      </c>
    </row>
    <row r="2094" spans="16:19" x14ac:dyDescent="0.3">
      <c r="P2094">
        <v>2093</v>
      </c>
      <c r="Q2094">
        <v>204983</v>
      </c>
      <c r="S2094">
        <v>663014</v>
      </c>
    </row>
    <row r="2095" spans="16:19" x14ac:dyDescent="0.3">
      <c r="P2095">
        <v>2094</v>
      </c>
      <c r="Q2095">
        <v>-672067</v>
      </c>
      <c r="S2095">
        <v>115568</v>
      </c>
    </row>
    <row r="2096" spans="16:19" x14ac:dyDescent="0.3">
      <c r="P2096">
        <v>2095</v>
      </c>
      <c r="Q2096">
        <v>-583131</v>
      </c>
      <c r="S2096">
        <v>24948</v>
      </c>
    </row>
    <row r="2097" spans="16:19" x14ac:dyDescent="0.3">
      <c r="P2097">
        <v>2096</v>
      </c>
      <c r="Q2097">
        <v>-71492</v>
      </c>
      <c r="S2097">
        <v>193225</v>
      </c>
    </row>
    <row r="2098" spans="16:19" x14ac:dyDescent="0.3">
      <c r="P2098">
        <v>2097</v>
      </c>
      <c r="Q2098">
        <v>36324</v>
      </c>
      <c r="S2098">
        <v>-495654</v>
      </c>
    </row>
    <row r="2099" spans="16:19" x14ac:dyDescent="0.3">
      <c r="P2099">
        <v>2098</v>
      </c>
      <c r="Q2099">
        <v>213468</v>
      </c>
      <c r="S2099">
        <v>187397</v>
      </c>
    </row>
    <row r="2100" spans="16:19" x14ac:dyDescent="0.3">
      <c r="P2100">
        <v>2099</v>
      </c>
      <c r="Q2100">
        <v>-302786</v>
      </c>
      <c r="S2100">
        <v>739599</v>
      </c>
    </row>
    <row r="2101" spans="16:19" x14ac:dyDescent="0.3">
      <c r="P2101">
        <v>2100</v>
      </c>
      <c r="Q2101">
        <v>182516</v>
      </c>
      <c r="S2101">
        <v>242062</v>
      </c>
    </row>
    <row r="2102" spans="16:19" x14ac:dyDescent="0.3">
      <c r="P2102">
        <v>2101</v>
      </c>
      <c r="Q2102">
        <v>227819</v>
      </c>
      <c r="S2102">
        <v>334418</v>
      </c>
    </row>
    <row r="2103" spans="16:19" x14ac:dyDescent="0.3">
      <c r="P2103">
        <v>2102</v>
      </c>
      <c r="Q2103">
        <v>-493810</v>
      </c>
      <c r="S2103">
        <v>-393662</v>
      </c>
    </row>
    <row r="2104" spans="16:19" x14ac:dyDescent="0.3">
      <c r="P2104">
        <v>2103</v>
      </c>
      <c r="Q2104">
        <v>490173</v>
      </c>
      <c r="S2104">
        <v>190118</v>
      </c>
    </row>
    <row r="2105" spans="16:19" x14ac:dyDescent="0.3">
      <c r="P2105">
        <v>2104</v>
      </c>
      <c r="Q2105">
        <v>-183629</v>
      </c>
      <c r="S2105">
        <v>560580</v>
      </c>
    </row>
    <row r="2106" spans="16:19" x14ac:dyDescent="0.3">
      <c r="P2106">
        <v>2105</v>
      </c>
      <c r="Q2106">
        <v>548535</v>
      </c>
      <c r="S2106">
        <v>575359</v>
      </c>
    </row>
    <row r="2107" spans="16:19" x14ac:dyDescent="0.3">
      <c r="P2107">
        <v>2106</v>
      </c>
      <c r="Q2107">
        <v>134325</v>
      </c>
      <c r="S2107">
        <v>990364</v>
      </c>
    </row>
    <row r="2108" spans="16:19" x14ac:dyDescent="0.3">
      <c r="P2108">
        <v>2107</v>
      </c>
      <c r="Q2108">
        <v>-182374</v>
      </c>
      <c r="S2108">
        <v>810097</v>
      </c>
    </row>
    <row r="2109" spans="16:19" x14ac:dyDescent="0.3">
      <c r="P2109">
        <v>2108</v>
      </c>
      <c r="Q2109">
        <v>-210152</v>
      </c>
      <c r="S2109">
        <v>-658485</v>
      </c>
    </row>
    <row r="2110" spans="16:19" x14ac:dyDescent="0.3">
      <c r="P2110">
        <v>2109</v>
      </c>
      <c r="Q2110">
        <v>-170330</v>
      </c>
      <c r="S2110">
        <v>-261168</v>
      </c>
    </row>
    <row r="2111" spans="16:19" x14ac:dyDescent="0.3">
      <c r="P2111">
        <v>2110</v>
      </c>
      <c r="Q2111">
        <v>-667271</v>
      </c>
      <c r="S2111">
        <v>-442157</v>
      </c>
    </row>
    <row r="2112" spans="16:19" x14ac:dyDescent="0.3">
      <c r="P2112">
        <v>2111</v>
      </c>
      <c r="Q2112">
        <v>-168888</v>
      </c>
      <c r="S2112">
        <v>-634089</v>
      </c>
    </row>
    <row r="2113" spans="16:19" x14ac:dyDescent="0.3">
      <c r="P2113">
        <v>2112</v>
      </c>
      <c r="Q2113">
        <v>-318924</v>
      </c>
      <c r="S2113">
        <v>871057</v>
      </c>
    </row>
    <row r="2114" spans="16:19" x14ac:dyDescent="0.3">
      <c r="P2114">
        <v>2113</v>
      </c>
      <c r="Q2114">
        <v>-760969</v>
      </c>
      <c r="S2114">
        <v>-379780</v>
      </c>
    </row>
    <row r="2115" spans="16:19" x14ac:dyDescent="0.3">
      <c r="P2115">
        <v>2114</v>
      </c>
      <c r="Q2115">
        <v>476959</v>
      </c>
      <c r="S2115">
        <v>-486582</v>
      </c>
    </row>
    <row r="2116" spans="16:19" x14ac:dyDescent="0.3">
      <c r="P2116">
        <v>2115</v>
      </c>
      <c r="Q2116">
        <v>519933</v>
      </c>
      <c r="S2116">
        <v>-285315</v>
      </c>
    </row>
    <row r="2117" spans="16:19" x14ac:dyDescent="0.3">
      <c r="P2117">
        <v>2116</v>
      </c>
      <c r="Q2117">
        <v>-315596</v>
      </c>
      <c r="S2117">
        <v>272504</v>
      </c>
    </row>
    <row r="2118" spans="16:19" x14ac:dyDescent="0.3">
      <c r="P2118">
        <v>2117</v>
      </c>
      <c r="Q2118">
        <v>-524468</v>
      </c>
      <c r="S2118">
        <v>296643</v>
      </c>
    </row>
    <row r="2119" spans="16:19" x14ac:dyDescent="0.3">
      <c r="P2119">
        <v>2118</v>
      </c>
      <c r="Q2119">
        <v>121455</v>
      </c>
      <c r="S2119">
        <v>500793</v>
      </c>
    </row>
    <row r="2120" spans="16:19" x14ac:dyDescent="0.3">
      <c r="P2120">
        <v>2119</v>
      </c>
      <c r="Q2120">
        <v>745895</v>
      </c>
      <c r="S2120">
        <v>-565633</v>
      </c>
    </row>
    <row r="2121" spans="16:19" x14ac:dyDescent="0.3">
      <c r="P2121">
        <v>2120</v>
      </c>
      <c r="Q2121">
        <v>2245</v>
      </c>
      <c r="S2121">
        <v>-446893</v>
      </c>
    </row>
    <row r="2122" spans="16:19" x14ac:dyDescent="0.3">
      <c r="P2122">
        <v>2121</v>
      </c>
      <c r="Q2122">
        <v>277926</v>
      </c>
      <c r="S2122">
        <v>606298</v>
      </c>
    </row>
    <row r="2123" spans="16:19" x14ac:dyDescent="0.3">
      <c r="P2123">
        <v>2122</v>
      </c>
      <c r="Q2123">
        <v>-354273</v>
      </c>
      <c r="S2123">
        <v>45413</v>
      </c>
    </row>
    <row r="2124" spans="16:19" x14ac:dyDescent="0.3">
      <c r="P2124">
        <v>2123</v>
      </c>
      <c r="Q2124">
        <v>26215</v>
      </c>
      <c r="S2124">
        <v>211374</v>
      </c>
    </row>
    <row r="2125" spans="16:19" x14ac:dyDescent="0.3">
      <c r="P2125">
        <v>2124</v>
      </c>
      <c r="Q2125">
        <v>138763</v>
      </c>
      <c r="S2125">
        <v>-95546</v>
      </c>
    </row>
    <row r="2126" spans="16:19" x14ac:dyDescent="0.3">
      <c r="P2126">
        <v>2125</v>
      </c>
      <c r="Q2126">
        <v>-788911</v>
      </c>
      <c r="S2126">
        <v>-503111</v>
      </c>
    </row>
    <row r="2127" spans="16:19" x14ac:dyDescent="0.3">
      <c r="P2127">
        <v>2126</v>
      </c>
      <c r="Q2127">
        <v>337853</v>
      </c>
      <c r="S2127">
        <v>307314</v>
      </c>
    </row>
    <row r="2128" spans="16:19" x14ac:dyDescent="0.3">
      <c r="P2128">
        <v>2127</v>
      </c>
      <c r="Q2128">
        <v>503630</v>
      </c>
      <c r="S2128">
        <v>-558603</v>
      </c>
    </row>
    <row r="2129" spans="16:19" x14ac:dyDescent="0.3">
      <c r="P2129">
        <v>2128</v>
      </c>
      <c r="Q2129">
        <v>-456496</v>
      </c>
      <c r="S2129">
        <v>574232</v>
      </c>
    </row>
    <row r="2130" spans="16:19" x14ac:dyDescent="0.3">
      <c r="P2130">
        <v>2129</v>
      </c>
      <c r="Q2130">
        <v>-481859</v>
      </c>
      <c r="S2130">
        <v>-517334</v>
      </c>
    </row>
    <row r="2131" spans="16:19" x14ac:dyDescent="0.3">
      <c r="P2131">
        <v>2130</v>
      </c>
      <c r="Q2131">
        <v>-750586</v>
      </c>
      <c r="S2131">
        <v>235930</v>
      </c>
    </row>
    <row r="2132" spans="16:19" x14ac:dyDescent="0.3">
      <c r="P2132">
        <v>2131</v>
      </c>
      <c r="Q2132">
        <v>-570136</v>
      </c>
      <c r="S2132">
        <v>56522</v>
      </c>
    </row>
    <row r="2133" spans="16:19" x14ac:dyDescent="0.3">
      <c r="P2133">
        <v>2132</v>
      </c>
      <c r="Q2133">
        <v>113781</v>
      </c>
      <c r="S2133">
        <v>704682</v>
      </c>
    </row>
    <row r="2134" spans="16:19" x14ac:dyDescent="0.3">
      <c r="P2134">
        <v>2133</v>
      </c>
      <c r="Q2134">
        <v>-307600</v>
      </c>
      <c r="S2134">
        <v>-222765</v>
      </c>
    </row>
    <row r="2135" spans="16:19" x14ac:dyDescent="0.3">
      <c r="P2135">
        <v>2134</v>
      </c>
      <c r="Q2135">
        <v>-52989</v>
      </c>
      <c r="S2135">
        <v>-120575</v>
      </c>
    </row>
    <row r="2136" spans="16:19" x14ac:dyDescent="0.3">
      <c r="P2136">
        <v>2135</v>
      </c>
      <c r="Q2136">
        <v>-206821</v>
      </c>
      <c r="S2136">
        <v>-356223</v>
      </c>
    </row>
    <row r="2137" spans="16:19" x14ac:dyDescent="0.3">
      <c r="P2137">
        <v>2136</v>
      </c>
      <c r="Q2137">
        <v>-475294</v>
      </c>
      <c r="S2137">
        <v>-708296</v>
      </c>
    </row>
    <row r="2138" spans="16:19" x14ac:dyDescent="0.3">
      <c r="P2138">
        <v>2137</v>
      </c>
      <c r="Q2138">
        <v>112777</v>
      </c>
      <c r="S2138">
        <v>440812</v>
      </c>
    </row>
    <row r="2139" spans="16:19" x14ac:dyDescent="0.3">
      <c r="P2139">
        <v>2138</v>
      </c>
      <c r="Q2139">
        <v>-196122</v>
      </c>
      <c r="S2139">
        <v>166630</v>
      </c>
    </row>
    <row r="2140" spans="16:19" x14ac:dyDescent="0.3">
      <c r="P2140">
        <v>2139</v>
      </c>
      <c r="Q2140">
        <v>719331</v>
      </c>
      <c r="S2140">
        <v>-620486</v>
      </c>
    </row>
    <row r="2141" spans="16:19" x14ac:dyDescent="0.3">
      <c r="P2141">
        <v>2140</v>
      </c>
      <c r="Q2141">
        <v>612022</v>
      </c>
      <c r="S2141">
        <v>-416676</v>
      </c>
    </row>
    <row r="2142" spans="16:19" x14ac:dyDescent="0.3">
      <c r="P2142">
        <v>2141</v>
      </c>
      <c r="Q2142">
        <v>-131446</v>
      </c>
      <c r="S2142">
        <v>-664297</v>
      </c>
    </row>
    <row r="2143" spans="16:19" x14ac:dyDescent="0.3">
      <c r="P2143">
        <v>2142</v>
      </c>
      <c r="Q2143">
        <v>-539434</v>
      </c>
      <c r="S2143">
        <v>275098</v>
      </c>
    </row>
    <row r="2144" spans="16:19" x14ac:dyDescent="0.3">
      <c r="P2144">
        <v>2143</v>
      </c>
      <c r="Q2144">
        <v>-153879</v>
      </c>
      <c r="S2144">
        <v>-188046</v>
      </c>
    </row>
    <row r="2145" spans="16:19" x14ac:dyDescent="0.3">
      <c r="P2145">
        <v>2144</v>
      </c>
      <c r="Q2145">
        <v>-273930</v>
      </c>
      <c r="S2145">
        <v>172617</v>
      </c>
    </row>
    <row r="2146" spans="16:19" x14ac:dyDescent="0.3">
      <c r="P2146">
        <v>2145</v>
      </c>
      <c r="Q2146">
        <v>608357</v>
      </c>
      <c r="S2146">
        <v>322331</v>
      </c>
    </row>
    <row r="2147" spans="16:19" x14ac:dyDescent="0.3">
      <c r="P2147">
        <v>2146</v>
      </c>
      <c r="Q2147">
        <v>-84834</v>
      </c>
      <c r="S2147">
        <v>-27719</v>
      </c>
    </row>
    <row r="2148" spans="16:19" x14ac:dyDescent="0.3">
      <c r="P2148">
        <v>2147</v>
      </c>
      <c r="Q2148">
        <v>-588680</v>
      </c>
      <c r="S2148">
        <v>195798</v>
      </c>
    </row>
    <row r="2149" spans="16:19" x14ac:dyDescent="0.3">
      <c r="P2149">
        <v>2148</v>
      </c>
      <c r="Q2149">
        <v>-293209</v>
      </c>
      <c r="S2149">
        <v>-735972</v>
      </c>
    </row>
    <row r="2150" spans="16:19" x14ac:dyDescent="0.3">
      <c r="P2150">
        <v>2149</v>
      </c>
      <c r="Q2150">
        <v>-300867</v>
      </c>
      <c r="S2150">
        <v>28925</v>
      </c>
    </row>
    <row r="2151" spans="16:19" x14ac:dyDescent="0.3">
      <c r="P2151">
        <v>2150</v>
      </c>
      <c r="Q2151">
        <v>597603</v>
      </c>
      <c r="S2151">
        <v>329294</v>
      </c>
    </row>
    <row r="2152" spans="16:19" x14ac:dyDescent="0.3">
      <c r="P2152">
        <v>2151</v>
      </c>
      <c r="Q2152">
        <v>203158</v>
      </c>
      <c r="S2152">
        <v>-162840</v>
      </c>
    </row>
    <row r="2153" spans="16:19" x14ac:dyDescent="0.3">
      <c r="P2153">
        <v>2152</v>
      </c>
      <c r="Q2153">
        <v>742793</v>
      </c>
      <c r="S2153">
        <v>-268522</v>
      </c>
    </row>
    <row r="2154" spans="16:19" x14ac:dyDescent="0.3">
      <c r="P2154">
        <v>2153</v>
      </c>
      <c r="Q2154">
        <v>-511973</v>
      </c>
      <c r="S2154">
        <v>759823</v>
      </c>
    </row>
    <row r="2155" spans="16:19" x14ac:dyDescent="0.3">
      <c r="P2155">
        <v>2154</v>
      </c>
      <c r="Q2155">
        <v>569844</v>
      </c>
      <c r="S2155">
        <v>-575374</v>
      </c>
    </row>
    <row r="2156" spans="16:19" x14ac:dyDescent="0.3">
      <c r="P2156">
        <v>2155</v>
      </c>
      <c r="Q2156">
        <v>-77558</v>
      </c>
      <c r="S2156">
        <v>-837858</v>
      </c>
    </row>
    <row r="2157" spans="16:19" x14ac:dyDescent="0.3">
      <c r="P2157">
        <v>2156</v>
      </c>
      <c r="Q2157">
        <v>-107453</v>
      </c>
      <c r="S2157">
        <v>-659258</v>
      </c>
    </row>
    <row r="2158" spans="16:19" x14ac:dyDescent="0.3">
      <c r="P2158">
        <v>2157</v>
      </c>
      <c r="Q2158">
        <v>123953</v>
      </c>
      <c r="S2158">
        <v>393162</v>
      </c>
    </row>
    <row r="2159" spans="16:19" x14ac:dyDescent="0.3">
      <c r="P2159">
        <v>2158</v>
      </c>
      <c r="Q2159">
        <v>-240657</v>
      </c>
      <c r="S2159">
        <v>-101233</v>
      </c>
    </row>
    <row r="2160" spans="16:19" x14ac:dyDescent="0.3">
      <c r="P2160">
        <v>2159</v>
      </c>
      <c r="Q2160">
        <v>127093</v>
      </c>
      <c r="S2160">
        <v>-557375</v>
      </c>
    </row>
    <row r="2161" spans="16:19" x14ac:dyDescent="0.3">
      <c r="P2161">
        <v>2160</v>
      </c>
      <c r="Q2161">
        <v>227526</v>
      </c>
      <c r="S2161">
        <v>-738191</v>
      </c>
    </row>
    <row r="2162" spans="16:19" x14ac:dyDescent="0.3">
      <c r="P2162">
        <v>2161</v>
      </c>
      <c r="Q2162">
        <v>-243164</v>
      </c>
      <c r="S2162">
        <v>-596754</v>
      </c>
    </row>
    <row r="2163" spans="16:19" x14ac:dyDescent="0.3">
      <c r="P2163">
        <v>2162</v>
      </c>
      <c r="Q2163">
        <v>21387</v>
      </c>
      <c r="S2163">
        <v>84244</v>
      </c>
    </row>
    <row r="2164" spans="16:19" x14ac:dyDescent="0.3">
      <c r="P2164">
        <v>2163</v>
      </c>
      <c r="Q2164">
        <v>-833635</v>
      </c>
      <c r="S2164">
        <v>436427</v>
      </c>
    </row>
    <row r="2165" spans="16:19" x14ac:dyDescent="0.3">
      <c r="P2165">
        <v>2164</v>
      </c>
      <c r="Q2165">
        <v>705119</v>
      </c>
      <c r="S2165">
        <v>-638737</v>
      </c>
    </row>
    <row r="2166" spans="16:19" x14ac:dyDescent="0.3">
      <c r="P2166">
        <v>2165</v>
      </c>
      <c r="Q2166">
        <v>-297600</v>
      </c>
      <c r="S2166">
        <v>-613089</v>
      </c>
    </row>
    <row r="2167" spans="16:19" x14ac:dyDescent="0.3">
      <c r="P2167">
        <v>2166</v>
      </c>
      <c r="Q2167">
        <v>454559</v>
      </c>
      <c r="S2167">
        <v>-543677</v>
      </c>
    </row>
    <row r="2168" spans="16:19" x14ac:dyDescent="0.3">
      <c r="P2168">
        <v>2167</v>
      </c>
      <c r="Q2168">
        <v>-382283</v>
      </c>
      <c r="S2168">
        <v>-645686</v>
      </c>
    </row>
    <row r="2169" spans="16:19" x14ac:dyDescent="0.3">
      <c r="P2169">
        <v>2168</v>
      </c>
      <c r="Q2169">
        <v>45301</v>
      </c>
      <c r="S2169">
        <v>-205712</v>
      </c>
    </row>
    <row r="2170" spans="16:19" x14ac:dyDescent="0.3">
      <c r="P2170">
        <v>2169</v>
      </c>
      <c r="Q2170">
        <v>175552</v>
      </c>
      <c r="S2170">
        <v>-202698</v>
      </c>
    </row>
    <row r="2171" spans="16:19" x14ac:dyDescent="0.3">
      <c r="P2171">
        <v>2170</v>
      </c>
      <c r="Q2171">
        <v>-469475</v>
      </c>
      <c r="S2171">
        <v>-661319</v>
      </c>
    </row>
    <row r="2172" spans="16:19" x14ac:dyDescent="0.3">
      <c r="P2172">
        <v>2171</v>
      </c>
      <c r="Q2172">
        <v>309637</v>
      </c>
      <c r="S2172">
        <v>41465</v>
      </c>
    </row>
    <row r="2173" spans="16:19" x14ac:dyDescent="0.3">
      <c r="P2173">
        <v>2172</v>
      </c>
      <c r="Q2173">
        <v>756800</v>
      </c>
      <c r="S2173">
        <v>-252316</v>
      </c>
    </row>
    <row r="2174" spans="16:19" x14ac:dyDescent="0.3">
      <c r="P2174">
        <v>2173</v>
      </c>
      <c r="Q2174">
        <v>120321</v>
      </c>
      <c r="S2174">
        <v>113848</v>
      </c>
    </row>
    <row r="2175" spans="16:19" x14ac:dyDescent="0.3">
      <c r="P2175">
        <v>2174</v>
      </c>
      <c r="Q2175">
        <v>166555</v>
      </c>
      <c r="S2175">
        <v>-426442</v>
      </c>
    </row>
    <row r="2176" spans="16:19" x14ac:dyDescent="0.3">
      <c r="P2176">
        <v>2175</v>
      </c>
      <c r="Q2176">
        <v>-34189</v>
      </c>
      <c r="S2176">
        <v>417384</v>
      </c>
    </row>
    <row r="2177" spans="16:19" x14ac:dyDescent="0.3">
      <c r="P2177">
        <v>2176</v>
      </c>
      <c r="Q2177">
        <v>122111</v>
      </c>
      <c r="S2177">
        <v>147457</v>
      </c>
    </row>
    <row r="2178" spans="16:19" x14ac:dyDescent="0.3">
      <c r="P2178">
        <v>2177</v>
      </c>
      <c r="Q2178">
        <v>387297</v>
      </c>
      <c r="S2178">
        <v>-114294</v>
      </c>
    </row>
    <row r="2179" spans="16:19" x14ac:dyDescent="0.3">
      <c r="P2179">
        <v>2178</v>
      </c>
      <c r="Q2179">
        <v>-411252</v>
      </c>
      <c r="S2179">
        <v>541702</v>
      </c>
    </row>
    <row r="2180" spans="16:19" x14ac:dyDescent="0.3">
      <c r="P2180">
        <v>2179</v>
      </c>
      <c r="Q2180">
        <v>-461673</v>
      </c>
      <c r="S2180">
        <v>105789</v>
      </c>
    </row>
    <row r="2181" spans="16:19" x14ac:dyDescent="0.3">
      <c r="P2181">
        <v>2180</v>
      </c>
      <c r="Q2181">
        <v>-351840</v>
      </c>
      <c r="S2181">
        <v>63517</v>
      </c>
    </row>
    <row r="2182" spans="16:19" x14ac:dyDescent="0.3">
      <c r="P2182">
        <v>2181</v>
      </c>
      <c r="Q2182">
        <v>-110376</v>
      </c>
      <c r="S2182">
        <v>-592671</v>
      </c>
    </row>
    <row r="2183" spans="16:19" x14ac:dyDescent="0.3">
      <c r="P2183">
        <v>2182</v>
      </c>
      <c r="Q2183">
        <v>139372</v>
      </c>
      <c r="S2183">
        <v>60889</v>
      </c>
    </row>
    <row r="2184" spans="16:19" x14ac:dyDescent="0.3">
      <c r="P2184">
        <v>2183</v>
      </c>
      <c r="Q2184">
        <v>-53362</v>
      </c>
      <c r="S2184">
        <v>337919</v>
      </c>
    </row>
    <row r="2185" spans="16:19" x14ac:dyDescent="0.3">
      <c r="P2185">
        <v>2184</v>
      </c>
      <c r="Q2185">
        <v>344189</v>
      </c>
      <c r="S2185">
        <v>253999</v>
      </c>
    </row>
    <row r="2186" spans="16:19" x14ac:dyDescent="0.3">
      <c r="P2186">
        <v>2185</v>
      </c>
      <c r="Q2186">
        <v>-78478</v>
      </c>
      <c r="S2186">
        <v>-507060</v>
      </c>
    </row>
    <row r="2187" spans="16:19" x14ac:dyDescent="0.3">
      <c r="P2187">
        <v>2186</v>
      </c>
      <c r="Q2187">
        <v>-464833</v>
      </c>
      <c r="S2187">
        <v>-226057</v>
      </c>
    </row>
    <row r="2188" spans="16:19" x14ac:dyDescent="0.3">
      <c r="P2188">
        <v>2187</v>
      </c>
      <c r="Q2188">
        <v>413233</v>
      </c>
      <c r="S2188">
        <v>23515</v>
      </c>
    </row>
    <row r="2189" spans="16:19" x14ac:dyDescent="0.3">
      <c r="P2189">
        <v>2188</v>
      </c>
      <c r="Q2189">
        <v>169383</v>
      </c>
      <c r="S2189">
        <v>-414745</v>
      </c>
    </row>
    <row r="2190" spans="16:19" x14ac:dyDescent="0.3">
      <c r="P2190">
        <v>2189</v>
      </c>
      <c r="Q2190">
        <v>239126</v>
      </c>
      <c r="S2190">
        <v>374573</v>
      </c>
    </row>
    <row r="2191" spans="16:19" x14ac:dyDescent="0.3">
      <c r="P2191">
        <v>2190</v>
      </c>
      <c r="Q2191">
        <v>103513</v>
      </c>
      <c r="S2191">
        <v>-494310</v>
      </c>
    </row>
    <row r="2192" spans="16:19" x14ac:dyDescent="0.3">
      <c r="P2192">
        <v>2191</v>
      </c>
      <c r="Q2192">
        <v>187725</v>
      </c>
      <c r="S2192">
        <v>-231127</v>
      </c>
    </row>
    <row r="2193" spans="16:19" x14ac:dyDescent="0.3">
      <c r="P2193">
        <v>2192</v>
      </c>
      <c r="Q2193">
        <v>493438</v>
      </c>
      <c r="S2193">
        <v>-240292</v>
      </c>
    </row>
    <row r="2194" spans="16:19" x14ac:dyDescent="0.3">
      <c r="P2194">
        <v>2193</v>
      </c>
      <c r="Q2194">
        <v>574865</v>
      </c>
      <c r="S2194">
        <v>-464647</v>
      </c>
    </row>
    <row r="2195" spans="16:19" x14ac:dyDescent="0.3">
      <c r="P2195">
        <v>2194</v>
      </c>
      <c r="Q2195">
        <v>528694</v>
      </c>
      <c r="S2195">
        <v>662928</v>
      </c>
    </row>
    <row r="2196" spans="16:19" x14ac:dyDescent="0.3">
      <c r="P2196">
        <v>2195</v>
      </c>
      <c r="Q2196">
        <v>-424087</v>
      </c>
      <c r="S2196">
        <v>642418</v>
      </c>
    </row>
    <row r="2197" spans="16:19" x14ac:dyDescent="0.3">
      <c r="P2197">
        <v>2196</v>
      </c>
      <c r="Q2197">
        <v>887553</v>
      </c>
      <c r="S2197">
        <v>419690</v>
      </c>
    </row>
    <row r="2198" spans="16:19" x14ac:dyDescent="0.3">
      <c r="P2198">
        <v>2197</v>
      </c>
      <c r="Q2198">
        <v>251295</v>
      </c>
      <c r="S2198">
        <v>29173</v>
      </c>
    </row>
    <row r="2199" spans="16:19" x14ac:dyDescent="0.3">
      <c r="P2199">
        <v>2198</v>
      </c>
      <c r="Q2199">
        <v>-463551</v>
      </c>
      <c r="S2199">
        <v>-493993</v>
      </c>
    </row>
    <row r="2200" spans="16:19" x14ac:dyDescent="0.3">
      <c r="P2200">
        <v>2199</v>
      </c>
      <c r="Q2200">
        <v>146135</v>
      </c>
      <c r="S2200">
        <v>-311179</v>
      </c>
    </row>
    <row r="2201" spans="16:19" x14ac:dyDescent="0.3">
      <c r="P2201">
        <v>2200</v>
      </c>
      <c r="Q2201">
        <v>-476175</v>
      </c>
      <c r="S2201">
        <v>-421867</v>
      </c>
    </row>
    <row r="2202" spans="16:19" x14ac:dyDescent="0.3">
      <c r="P2202">
        <v>2201</v>
      </c>
      <c r="Q2202">
        <v>540234</v>
      </c>
      <c r="S2202">
        <v>185445</v>
      </c>
    </row>
    <row r="2203" spans="16:19" x14ac:dyDescent="0.3">
      <c r="P2203">
        <v>2202</v>
      </c>
      <c r="Q2203">
        <v>-574748</v>
      </c>
      <c r="S2203">
        <v>-556340</v>
      </c>
    </row>
    <row r="2204" spans="16:19" x14ac:dyDescent="0.3">
      <c r="P2204">
        <v>2203</v>
      </c>
      <c r="Q2204">
        <v>-541859</v>
      </c>
      <c r="S2204">
        <v>193792</v>
      </c>
    </row>
    <row r="2205" spans="16:19" x14ac:dyDescent="0.3">
      <c r="P2205">
        <v>2204</v>
      </c>
      <c r="Q2205">
        <v>-148588</v>
      </c>
      <c r="S2205">
        <v>-547465</v>
      </c>
    </row>
    <row r="2206" spans="16:19" x14ac:dyDescent="0.3">
      <c r="P2206">
        <v>2205</v>
      </c>
      <c r="Q2206">
        <v>302616</v>
      </c>
      <c r="S2206">
        <v>553211</v>
      </c>
    </row>
    <row r="2207" spans="16:19" x14ac:dyDescent="0.3">
      <c r="P2207">
        <v>2206</v>
      </c>
      <c r="Q2207">
        <v>-376842</v>
      </c>
      <c r="S2207">
        <v>-152927</v>
      </c>
    </row>
    <row r="2208" spans="16:19" x14ac:dyDescent="0.3">
      <c r="P2208">
        <v>2207</v>
      </c>
      <c r="Q2208">
        <v>-260056</v>
      </c>
      <c r="S2208">
        <v>672861</v>
      </c>
    </row>
    <row r="2209" spans="16:19" x14ac:dyDescent="0.3">
      <c r="P2209">
        <v>2208</v>
      </c>
      <c r="Q2209">
        <v>652721</v>
      </c>
      <c r="S2209">
        <v>-160488</v>
      </c>
    </row>
    <row r="2210" spans="16:19" x14ac:dyDescent="0.3">
      <c r="P2210">
        <v>2209</v>
      </c>
      <c r="Q2210">
        <v>261269</v>
      </c>
      <c r="S2210">
        <v>724721</v>
      </c>
    </row>
    <row r="2211" spans="16:19" x14ac:dyDescent="0.3">
      <c r="P2211">
        <v>2210</v>
      </c>
      <c r="Q2211">
        <v>-484525</v>
      </c>
      <c r="S2211">
        <v>769626</v>
      </c>
    </row>
    <row r="2212" spans="16:19" x14ac:dyDescent="0.3">
      <c r="P2212">
        <v>2211</v>
      </c>
      <c r="Q2212">
        <v>-376975</v>
      </c>
      <c r="S2212">
        <v>-73223</v>
      </c>
    </row>
    <row r="2213" spans="16:19" x14ac:dyDescent="0.3">
      <c r="P2213">
        <v>2212</v>
      </c>
      <c r="Q2213">
        <v>541245</v>
      </c>
      <c r="S2213">
        <v>334984</v>
      </c>
    </row>
    <row r="2214" spans="16:19" x14ac:dyDescent="0.3">
      <c r="P2214">
        <v>2213</v>
      </c>
      <c r="Q2214">
        <v>344384</v>
      </c>
      <c r="S2214">
        <v>50228</v>
      </c>
    </row>
    <row r="2215" spans="16:19" x14ac:dyDescent="0.3">
      <c r="P2215">
        <v>2214</v>
      </c>
      <c r="Q2215">
        <v>-90626</v>
      </c>
      <c r="S2215">
        <v>-369220</v>
      </c>
    </row>
    <row r="2216" spans="16:19" x14ac:dyDescent="0.3">
      <c r="P2216">
        <v>2215</v>
      </c>
      <c r="Q2216">
        <v>-328212</v>
      </c>
      <c r="S2216">
        <v>998730</v>
      </c>
    </row>
    <row r="2217" spans="16:19" x14ac:dyDescent="0.3">
      <c r="P2217">
        <v>2216</v>
      </c>
      <c r="Q2217">
        <v>157495</v>
      </c>
      <c r="S2217">
        <v>130750</v>
      </c>
    </row>
    <row r="2218" spans="16:19" x14ac:dyDescent="0.3">
      <c r="P2218">
        <v>2217</v>
      </c>
      <c r="Q2218">
        <v>737470</v>
      </c>
      <c r="S2218">
        <v>125112</v>
      </c>
    </row>
    <row r="2219" spans="16:19" x14ac:dyDescent="0.3">
      <c r="P2219">
        <v>2218</v>
      </c>
      <c r="Q2219">
        <v>490384</v>
      </c>
      <c r="S2219">
        <v>-757696</v>
      </c>
    </row>
    <row r="2220" spans="16:19" x14ac:dyDescent="0.3">
      <c r="P2220">
        <v>2219</v>
      </c>
      <c r="Q2220">
        <v>-290358</v>
      </c>
      <c r="S2220">
        <v>250512</v>
      </c>
    </row>
    <row r="2221" spans="16:19" x14ac:dyDescent="0.3">
      <c r="P2221">
        <v>2220</v>
      </c>
      <c r="Q2221">
        <v>542549</v>
      </c>
      <c r="S2221">
        <v>-489247</v>
      </c>
    </row>
    <row r="2222" spans="16:19" x14ac:dyDescent="0.3">
      <c r="P2222">
        <v>2221</v>
      </c>
      <c r="Q2222">
        <v>493118</v>
      </c>
      <c r="S2222">
        <v>-861967</v>
      </c>
    </row>
    <row r="2223" spans="16:19" x14ac:dyDescent="0.3">
      <c r="P2223">
        <v>2222</v>
      </c>
      <c r="Q2223">
        <v>-38346</v>
      </c>
      <c r="S2223">
        <v>742013</v>
      </c>
    </row>
    <row r="2224" spans="16:19" x14ac:dyDescent="0.3">
      <c r="P2224">
        <v>2223</v>
      </c>
      <c r="Q2224">
        <v>311368</v>
      </c>
      <c r="S2224">
        <v>-618803</v>
      </c>
    </row>
    <row r="2225" spans="16:19" x14ac:dyDescent="0.3">
      <c r="P2225">
        <v>2224</v>
      </c>
      <c r="Q2225">
        <v>705372</v>
      </c>
      <c r="S2225">
        <v>-127714</v>
      </c>
    </row>
    <row r="2226" spans="16:19" x14ac:dyDescent="0.3">
      <c r="P2226">
        <v>2225</v>
      </c>
      <c r="Q2226">
        <v>-55378</v>
      </c>
      <c r="S2226">
        <v>-393762</v>
      </c>
    </row>
    <row r="2227" spans="16:19" x14ac:dyDescent="0.3">
      <c r="P2227">
        <v>2226</v>
      </c>
      <c r="Q2227">
        <v>-734259</v>
      </c>
      <c r="S2227">
        <v>343761</v>
      </c>
    </row>
    <row r="2228" spans="16:19" x14ac:dyDescent="0.3">
      <c r="P2228">
        <v>2227</v>
      </c>
      <c r="Q2228">
        <v>125642</v>
      </c>
      <c r="S2228">
        <v>-635</v>
      </c>
    </row>
    <row r="2229" spans="16:19" x14ac:dyDescent="0.3">
      <c r="P2229">
        <v>2228</v>
      </c>
      <c r="Q2229">
        <v>102112</v>
      </c>
      <c r="S2229">
        <v>-358174</v>
      </c>
    </row>
    <row r="2230" spans="16:19" x14ac:dyDescent="0.3">
      <c r="P2230">
        <v>2229</v>
      </c>
      <c r="Q2230">
        <v>-392738</v>
      </c>
      <c r="S2230">
        <v>-530444</v>
      </c>
    </row>
    <row r="2231" spans="16:19" x14ac:dyDescent="0.3">
      <c r="P2231">
        <v>2230</v>
      </c>
      <c r="Q2231">
        <v>-263719</v>
      </c>
      <c r="S2231">
        <v>542743</v>
      </c>
    </row>
    <row r="2232" spans="16:19" x14ac:dyDescent="0.3">
      <c r="P2232">
        <v>2231</v>
      </c>
      <c r="Q2232">
        <v>243047</v>
      </c>
      <c r="S2232">
        <v>405736</v>
      </c>
    </row>
    <row r="2233" spans="16:19" x14ac:dyDescent="0.3">
      <c r="P2233">
        <v>2232</v>
      </c>
      <c r="Q2233">
        <v>-627884</v>
      </c>
      <c r="S2233">
        <v>115863</v>
      </c>
    </row>
    <row r="2234" spans="16:19" x14ac:dyDescent="0.3">
      <c r="P2234">
        <v>2233</v>
      </c>
      <c r="Q2234">
        <v>649242</v>
      </c>
      <c r="S2234">
        <v>-33262</v>
      </c>
    </row>
    <row r="2235" spans="16:19" x14ac:dyDescent="0.3">
      <c r="P2235">
        <v>2234</v>
      </c>
      <c r="Q2235">
        <v>-690703</v>
      </c>
      <c r="S2235">
        <v>-315827</v>
      </c>
    </row>
    <row r="2236" spans="16:19" x14ac:dyDescent="0.3">
      <c r="P2236">
        <v>2235</v>
      </c>
      <c r="Q2236">
        <v>260911</v>
      </c>
      <c r="S2236">
        <v>41178</v>
      </c>
    </row>
    <row r="2237" spans="16:19" x14ac:dyDescent="0.3">
      <c r="P2237">
        <v>2236</v>
      </c>
      <c r="Q2237">
        <v>642400</v>
      </c>
      <c r="S2237">
        <v>689164</v>
      </c>
    </row>
    <row r="2238" spans="16:19" x14ac:dyDescent="0.3">
      <c r="P2238">
        <v>2237</v>
      </c>
      <c r="Q2238">
        <v>353606</v>
      </c>
      <c r="S2238">
        <v>198239</v>
      </c>
    </row>
    <row r="2239" spans="16:19" x14ac:dyDescent="0.3">
      <c r="P2239">
        <v>2238</v>
      </c>
      <c r="Q2239">
        <v>548721</v>
      </c>
      <c r="S2239">
        <v>-169533</v>
      </c>
    </row>
    <row r="2240" spans="16:19" x14ac:dyDescent="0.3">
      <c r="P2240">
        <v>2239</v>
      </c>
      <c r="Q2240">
        <v>-249778</v>
      </c>
      <c r="S2240">
        <v>114409</v>
      </c>
    </row>
    <row r="2241" spans="16:19" x14ac:dyDescent="0.3">
      <c r="P2241">
        <v>2240</v>
      </c>
      <c r="Q2241">
        <v>666541</v>
      </c>
      <c r="S2241">
        <v>-211804</v>
      </c>
    </row>
    <row r="2242" spans="16:19" x14ac:dyDescent="0.3">
      <c r="P2242">
        <v>2241</v>
      </c>
      <c r="Q2242">
        <v>-255658</v>
      </c>
      <c r="S2242">
        <v>266143</v>
      </c>
    </row>
    <row r="2243" spans="16:19" x14ac:dyDescent="0.3">
      <c r="P2243">
        <v>2242</v>
      </c>
      <c r="Q2243">
        <v>-482178</v>
      </c>
      <c r="S2243">
        <v>-227087</v>
      </c>
    </row>
    <row r="2244" spans="16:19" x14ac:dyDescent="0.3">
      <c r="P2244">
        <v>2243</v>
      </c>
      <c r="Q2244">
        <v>1145069</v>
      </c>
      <c r="S2244">
        <v>20740</v>
      </c>
    </row>
    <row r="2245" spans="16:19" x14ac:dyDescent="0.3">
      <c r="P2245">
        <v>2244</v>
      </c>
      <c r="Q2245">
        <v>554069</v>
      </c>
      <c r="S2245">
        <v>30779</v>
      </c>
    </row>
    <row r="2246" spans="16:19" x14ac:dyDescent="0.3">
      <c r="P2246">
        <v>2245</v>
      </c>
      <c r="Q2246">
        <v>130052</v>
      </c>
      <c r="S2246">
        <v>-243826</v>
      </c>
    </row>
    <row r="2247" spans="16:19" x14ac:dyDescent="0.3">
      <c r="P2247">
        <v>2246</v>
      </c>
      <c r="Q2247">
        <v>359964</v>
      </c>
      <c r="S2247">
        <v>-148732</v>
      </c>
    </row>
    <row r="2248" spans="16:19" x14ac:dyDescent="0.3">
      <c r="P2248">
        <v>2247</v>
      </c>
      <c r="Q2248">
        <v>221848</v>
      </c>
      <c r="S2248">
        <v>-518612</v>
      </c>
    </row>
    <row r="2249" spans="16:19" x14ac:dyDescent="0.3">
      <c r="P2249">
        <v>2248</v>
      </c>
      <c r="Q2249">
        <v>389573</v>
      </c>
      <c r="S2249">
        <v>94313</v>
      </c>
    </row>
    <row r="2250" spans="16:19" x14ac:dyDescent="0.3">
      <c r="P2250">
        <v>2249</v>
      </c>
      <c r="Q2250">
        <v>-303851</v>
      </c>
      <c r="S2250">
        <v>681439</v>
      </c>
    </row>
    <row r="2251" spans="16:19" x14ac:dyDescent="0.3">
      <c r="P2251">
        <v>2250</v>
      </c>
      <c r="Q2251">
        <v>241301</v>
      </c>
      <c r="S2251">
        <v>77122</v>
      </c>
    </row>
    <row r="2252" spans="16:19" x14ac:dyDescent="0.3">
      <c r="P2252">
        <v>2251</v>
      </c>
      <c r="Q2252">
        <v>102121</v>
      </c>
      <c r="S2252">
        <v>86460</v>
      </c>
    </row>
    <row r="2253" spans="16:19" x14ac:dyDescent="0.3">
      <c r="P2253">
        <v>2252</v>
      </c>
      <c r="Q2253">
        <v>846730</v>
      </c>
      <c r="S2253">
        <v>-273753</v>
      </c>
    </row>
    <row r="2254" spans="16:19" x14ac:dyDescent="0.3">
      <c r="P2254">
        <v>2253</v>
      </c>
      <c r="Q2254">
        <v>368725</v>
      </c>
      <c r="S2254">
        <v>-303973</v>
      </c>
    </row>
    <row r="2255" spans="16:19" x14ac:dyDescent="0.3">
      <c r="P2255">
        <v>2254</v>
      </c>
      <c r="Q2255">
        <v>-667079</v>
      </c>
      <c r="S2255">
        <v>-25940</v>
      </c>
    </row>
    <row r="2256" spans="16:19" x14ac:dyDescent="0.3">
      <c r="P2256">
        <v>2255</v>
      </c>
      <c r="Q2256">
        <v>296409</v>
      </c>
      <c r="S2256">
        <v>-544382</v>
      </c>
    </row>
    <row r="2257" spans="16:19" x14ac:dyDescent="0.3">
      <c r="P2257">
        <v>2256</v>
      </c>
      <c r="Q2257">
        <v>239699</v>
      </c>
      <c r="S2257">
        <v>-532945</v>
      </c>
    </row>
    <row r="2258" spans="16:19" x14ac:dyDescent="0.3">
      <c r="P2258">
        <v>2257</v>
      </c>
      <c r="Q2258">
        <v>-616649</v>
      </c>
      <c r="S2258">
        <v>34149</v>
      </c>
    </row>
    <row r="2259" spans="16:19" x14ac:dyDescent="0.3">
      <c r="P2259">
        <v>2258</v>
      </c>
      <c r="Q2259">
        <v>-227456</v>
      </c>
      <c r="S2259">
        <v>-478550</v>
      </c>
    </row>
    <row r="2260" spans="16:19" x14ac:dyDescent="0.3">
      <c r="P2260">
        <v>2259</v>
      </c>
      <c r="Q2260">
        <v>144066</v>
      </c>
      <c r="S2260">
        <v>137945</v>
      </c>
    </row>
    <row r="2261" spans="16:19" x14ac:dyDescent="0.3">
      <c r="P2261">
        <v>2260</v>
      </c>
      <c r="Q2261">
        <v>246018</v>
      </c>
      <c r="S2261">
        <v>-573124</v>
      </c>
    </row>
    <row r="2262" spans="16:19" x14ac:dyDescent="0.3">
      <c r="P2262">
        <v>2261</v>
      </c>
      <c r="Q2262">
        <v>240525</v>
      </c>
      <c r="S2262">
        <v>597624</v>
      </c>
    </row>
    <row r="2263" spans="16:19" x14ac:dyDescent="0.3">
      <c r="P2263">
        <v>2262</v>
      </c>
      <c r="Q2263">
        <v>-152320</v>
      </c>
      <c r="S2263">
        <v>-201796</v>
      </c>
    </row>
    <row r="2264" spans="16:19" x14ac:dyDescent="0.3">
      <c r="P2264">
        <v>2263</v>
      </c>
      <c r="Q2264">
        <v>-792989</v>
      </c>
      <c r="S2264">
        <v>406489</v>
      </c>
    </row>
    <row r="2265" spans="16:19" x14ac:dyDescent="0.3">
      <c r="P2265">
        <v>2264</v>
      </c>
      <c r="Q2265">
        <v>137895</v>
      </c>
      <c r="S2265">
        <v>-469568</v>
      </c>
    </row>
    <row r="2266" spans="16:19" x14ac:dyDescent="0.3">
      <c r="P2266">
        <v>2265</v>
      </c>
      <c r="Q2266">
        <v>507420</v>
      </c>
      <c r="S2266">
        <v>315201</v>
      </c>
    </row>
    <row r="2267" spans="16:19" x14ac:dyDescent="0.3">
      <c r="P2267">
        <v>2266</v>
      </c>
      <c r="Q2267">
        <v>-323838</v>
      </c>
      <c r="S2267">
        <v>-1132</v>
      </c>
    </row>
    <row r="2268" spans="16:19" x14ac:dyDescent="0.3">
      <c r="P2268">
        <v>2267</v>
      </c>
      <c r="Q2268">
        <v>-76851</v>
      </c>
      <c r="S2268">
        <v>186742</v>
      </c>
    </row>
    <row r="2269" spans="16:19" x14ac:dyDescent="0.3">
      <c r="P2269">
        <v>2268</v>
      </c>
      <c r="Q2269">
        <v>-214318</v>
      </c>
      <c r="S2269">
        <v>481785</v>
      </c>
    </row>
    <row r="2270" spans="16:19" x14ac:dyDescent="0.3">
      <c r="P2270">
        <v>2269</v>
      </c>
      <c r="Q2270">
        <v>-568783</v>
      </c>
      <c r="S2270">
        <v>176672</v>
      </c>
    </row>
    <row r="2271" spans="16:19" x14ac:dyDescent="0.3">
      <c r="P2271">
        <v>2270</v>
      </c>
      <c r="Q2271">
        <v>458795</v>
      </c>
      <c r="S2271">
        <v>-550898</v>
      </c>
    </row>
    <row r="2272" spans="16:19" x14ac:dyDescent="0.3">
      <c r="P2272">
        <v>2271</v>
      </c>
      <c r="Q2272">
        <v>961305</v>
      </c>
      <c r="S2272">
        <v>115120</v>
      </c>
    </row>
    <row r="2273" spans="16:19" x14ac:dyDescent="0.3">
      <c r="P2273">
        <v>2272</v>
      </c>
      <c r="Q2273">
        <v>476072</v>
      </c>
      <c r="S2273">
        <v>424901</v>
      </c>
    </row>
    <row r="2274" spans="16:19" x14ac:dyDescent="0.3">
      <c r="P2274">
        <v>2273</v>
      </c>
      <c r="Q2274">
        <v>-419857</v>
      </c>
      <c r="S2274">
        <v>280552</v>
      </c>
    </row>
    <row r="2275" spans="16:19" x14ac:dyDescent="0.3">
      <c r="P2275">
        <v>2274</v>
      </c>
      <c r="Q2275">
        <v>687444</v>
      </c>
      <c r="S2275">
        <v>-104252</v>
      </c>
    </row>
    <row r="2276" spans="16:19" x14ac:dyDescent="0.3">
      <c r="P2276">
        <v>2275</v>
      </c>
      <c r="Q2276">
        <v>-318846</v>
      </c>
      <c r="S2276">
        <v>-872948</v>
      </c>
    </row>
    <row r="2277" spans="16:19" x14ac:dyDescent="0.3">
      <c r="P2277">
        <v>2276</v>
      </c>
      <c r="Q2277">
        <v>33707</v>
      </c>
      <c r="S2277">
        <v>478774</v>
      </c>
    </row>
    <row r="2278" spans="16:19" x14ac:dyDescent="0.3">
      <c r="P2278">
        <v>2277</v>
      </c>
      <c r="Q2278">
        <v>200334</v>
      </c>
      <c r="S2278">
        <v>699422</v>
      </c>
    </row>
    <row r="2279" spans="16:19" x14ac:dyDescent="0.3">
      <c r="P2279">
        <v>2278</v>
      </c>
      <c r="Q2279">
        <v>-375721</v>
      </c>
      <c r="S2279">
        <v>-337232</v>
      </c>
    </row>
    <row r="2280" spans="16:19" x14ac:dyDescent="0.3">
      <c r="P2280">
        <v>2279</v>
      </c>
      <c r="Q2280">
        <v>-47209</v>
      </c>
      <c r="S2280">
        <v>-104221</v>
      </c>
    </row>
    <row r="2281" spans="16:19" x14ac:dyDescent="0.3">
      <c r="P2281">
        <v>2280</v>
      </c>
      <c r="Q2281">
        <v>8190</v>
      </c>
      <c r="S2281">
        <v>-157872</v>
      </c>
    </row>
    <row r="2282" spans="16:19" x14ac:dyDescent="0.3">
      <c r="P2282">
        <v>2281</v>
      </c>
      <c r="Q2282">
        <v>-239985</v>
      </c>
      <c r="S2282">
        <v>619015</v>
      </c>
    </row>
    <row r="2283" spans="16:19" x14ac:dyDescent="0.3">
      <c r="P2283">
        <v>2282</v>
      </c>
      <c r="Q2283">
        <v>634265</v>
      </c>
      <c r="S2283">
        <v>141047</v>
      </c>
    </row>
    <row r="2284" spans="16:19" x14ac:dyDescent="0.3">
      <c r="P2284">
        <v>2283</v>
      </c>
      <c r="Q2284">
        <v>584517</v>
      </c>
      <c r="S2284">
        <v>-329191</v>
      </c>
    </row>
    <row r="2285" spans="16:19" x14ac:dyDescent="0.3">
      <c r="P2285">
        <v>2284</v>
      </c>
      <c r="Q2285">
        <v>-452587</v>
      </c>
      <c r="S2285">
        <v>-548872</v>
      </c>
    </row>
    <row r="2286" spans="16:19" x14ac:dyDescent="0.3">
      <c r="P2286">
        <v>2285</v>
      </c>
      <c r="Q2286">
        <v>-57194</v>
      </c>
      <c r="S2286">
        <v>-488438</v>
      </c>
    </row>
    <row r="2287" spans="16:19" x14ac:dyDescent="0.3">
      <c r="P2287">
        <v>2286</v>
      </c>
      <c r="Q2287">
        <v>421895</v>
      </c>
      <c r="S2287">
        <v>-60981</v>
      </c>
    </row>
    <row r="2288" spans="16:19" x14ac:dyDescent="0.3">
      <c r="P2288">
        <v>2287</v>
      </c>
      <c r="Q2288">
        <v>-75582</v>
      </c>
      <c r="S2288">
        <v>212426</v>
      </c>
    </row>
    <row r="2289" spans="16:19" x14ac:dyDescent="0.3">
      <c r="P2289">
        <v>2288</v>
      </c>
      <c r="Q2289">
        <v>479609</v>
      </c>
      <c r="S2289">
        <v>-450656</v>
      </c>
    </row>
    <row r="2290" spans="16:19" x14ac:dyDescent="0.3">
      <c r="P2290">
        <v>2289</v>
      </c>
      <c r="Q2290">
        <v>372614</v>
      </c>
      <c r="S2290">
        <v>630919</v>
      </c>
    </row>
    <row r="2291" spans="16:19" x14ac:dyDescent="0.3">
      <c r="P2291">
        <v>2290</v>
      </c>
      <c r="Q2291">
        <v>84938</v>
      </c>
      <c r="S2291">
        <v>70707</v>
      </c>
    </row>
    <row r="2292" spans="16:19" x14ac:dyDescent="0.3">
      <c r="P2292">
        <v>2291</v>
      </c>
      <c r="Q2292">
        <v>-600421</v>
      </c>
      <c r="S2292">
        <v>-233430</v>
      </c>
    </row>
    <row r="2293" spans="16:19" x14ac:dyDescent="0.3">
      <c r="P2293">
        <v>2292</v>
      </c>
      <c r="Q2293">
        <v>921042</v>
      </c>
      <c r="S2293">
        <v>-682968</v>
      </c>
    </row>
    <row r="2294" spans="16:19" x14ac:dyDescent="0.3">
      <c r="P2294">
        <v>2293</v>
      </c>
      <c r="Q2294">
        <v>-262790</v>
      </c>
      <c r="S2294">
        <v>-260740</v>
      </c>
    </row>
    <row r="2295" spans="16:19" x14ac:dyDescent="0.3">
      <c r="P2295">
        <v>2294</v>
      </c>
      <c r="Q2295">
        <v>967620</v>
      </c>
      <c r="S2295">
        <v>-410329</v>
      </c>
    </row>
    <row r="2296" spans="16:19" x14ac:dyDescent="0.3">
      <c r="P2296">
        <v>2295</v>
      </c>
      <c r="Q2296">
        <v>-241629</v>
      </c>
      <c r="S2296">
        <v>-353217</v>
      </c>
    </row>
    <row r="2297" spans="16:19" x14ac:dyDescent="0.3">
      <c r="P2297">
        <v>2296</v>
      </c>
      <c r="Q2297">
        <v>686500</v>
      </c>
      <c r="S2297">
        <v>521543</v>
      </c>
    </row>
    <row r="2298" spans="16:19" x14ac:dyDescent="0.3">
      <c r="P2298">
        <v>2297</v>
      </c>
      <c r="Q2298">
        <v>-407780</v>
      </c>
      <c r="S2298">
        <v>-420751</v>
      </c>
    </row>
    <row r="2299" spans="16:19" x14ac:dyDescent="0.3">
      <c r="P2299">
        <v>2298</v>
      </c>
      <c r="Q2299">
        <v>-1550</v>
      </c>
      <c r="S2299">
        <v>-478152</v>
      </c>
    </row>
    <row r="2300" spans="16:19" x14ac:dyDescent="0.3">
      <c r="P2300">
        <v>2299</v>
      </c>
      <c r="Q2300">
        <v>-109290</v>
      </c>
      <c r="S2300">
        <v>96834</v>
      </c>
    </row>
    <row r="2301" spans="16:19" x14ac:dyDescent="0.3">
      <c r="P2301">
        <v>2300</v>
      </c>
      <c r="Q2301">
        <v>-580748</v>
      </c>
      <c r="S2301">
        <v>152423</v>
      </c>
    </row>
    <row r="2302" spans="16:19" x14ac:dyDescent="0.3">
      <c r="P2302">
        <v>2301</v>
      </c>
      <c r="Q2302">
        <v>-204710</v>
      </c>
      <c r="S2302">
        <v>906987</v>
      </c>
    </row>
    <row r="2303" spans="16:19" x14ac:dyDescent="0.3">
      <c r="P2303">
        <v>2302</v>
      </c>
      <c r="Q2303">
        <v>74203</v>
      </c>
      <c r="S2303">
        <v>209916</v>
      </c>
    </row>
    <row r="2304" spans="16:19" x14ac:dyDescent="0.3">
      <c r="P2304">
        <v>2303</v>
      </c>
      <c r="Q2304">
        <v>-363584</v>
      </c>
      <c r="S2304">
        <v>-205362</v>
      </c>
    </row>
    <row r="2305" spans="16:19" x14ac:dyDescent="0.3">
      <c r="P2305">
        <v>2304</v>
      </c>
      <c r="Q2305">
        <v>-709223</v>
      </c>
      <c r="S2305">
        <v>-507938</v>
      </c>
    </row>
    <row r="2306" spans="16:19" x14ac:dyDescent="0.3">
      <c r="P2306">
        <v>2305</v>
      </c>
      <c r="Q2306">
        <v>544274</v>
      </c>
      <c r="S2306">
        <v>213330</v>
      </c>
    </row>
    <row r="2307" spans="16:19" x14ac:dyDescent="0.3">
      <c r="P2307">
        <v>2306</v>
      </c>
      <c r="Q2307">
        <v>617900</v>
      </c>
      <c r="S2307">
        <v>261809</v>
      </c>
    </row>
    <row r="2308" spans="16:19" x14ac:dyDescent="0.3">
      <c r="P2308">
        <v>2307</v>
      </c>
      <c r="Q2308">
        <v>192547</v>
      </c>
      <c r="S2308">
        <v>365989</v>
      </c>
    </row>
    <row r="2309" spans="16:19" x14ac:dyDescent="0.3">
      <c r="P2309">
        <v>2308</v>
      </c>
      <c r="Q2309">
        <v>-417965</v>
      </c>
      <c r="S2309">
        <v>25088</v>
      </c>
    </row>
    <row r="2310" spans="16:19" x14ac:dyDescent="0.3">
      <c r="P2310">
        <v>2309</v>
      </c>
      <c r="Q2310">
        <v>397598</v>
      </c>
      <c r="S2310">
        <v>-591760</v>
      </c>
    </row>
    <row r="2311" spans="16:19" x14ac:dyDescent="0.3">
      <c r="P2311">
        <v>2310</v>
      </c>
      <c r="Q2311">
        <v>785616</v>
      </c>
      <c r="S2311">
        <v>-208537</v>
      </c>
    </row>
    <row r="2312" spans="16:19" x14ac:dyDescent="0.3">
      <c r="P2312">
        <v>2311</v>
      </c>
      <c r="Q2312">
        <v>323893</v>
      </c>
      <c r="S2312">
        <v>-201920</v>
      </c>
    </row>
    <row r="2313" spans="16:19" x14ac:dyDescent="0.3">
      <c r="P2313">
        <v>2312</v>
      </c>
      <c r="Q2313">
        <v>-609402</v>
      </c>
      <c r="S2313">
        <v>-200447</v>
      </c>
    </row>
    <row r="2314" spans="16:19" x14ac:dyDescent="0.3">
      <c r="P2314">
        <v>2313</v>
      </c>
      <c r="Q2314">
        <v>283470</v>
      </c>
      <c r="S2314">
        <v>585529</v>
      </c>
    </row>
    <row r="2315" spans="16:19" x14ac:dyDescent="0.3">
      <c r="P2315">
        <v>2314</v>
      </c>
      <c r="Q2315">
        <v>-477865</v>
      </c>
      <c r="S2315">
        <v>279359</v>
      </c>
    </row>
    <row r="2316" spans="16:19" x14ac:dyDescent="0.3">
      <c r="P2316">
        <v>2315</v>
      </c>
      <c r="Q2316">
        <v>403606</v>
      </c>
      <c r="S2316">
        <v>-429353</v>
      </c>
    </row>
    <row r="2317" spans="16:19" x14ac:dyDescent="0.3">
      <c r="P2317">
        <v>2316</v>
      </c>
      <c r="Q2317">
        <v>249159</v>
      </c>
      <c r="S2317">
        <v>1016164</v>
      </c>
    </row>
    <row r="2318" spans="16:19" x14ac:dyDescent="0.3">
      <c r="P2318">
        <v>2317</v>
      </c>
      <c r="Q2318">
        <v>267786</v>
      </c>
      <c r="S2318">
        <v>-209035</v>
      </c>
    </row>
    <row r="2319" spans="16:19" x14ac:dyDescent="0.3">
      <c r="P2319">
        <v>2318</v>
      </c>
      <c r="Q2319">
        <v>558672</v>
      </c>
      <c r="S2319">
        <v>581628</v>
      </c>
    </row>
    <row r="2320" spans="16:19" x14ac:dyDescent="0.3">
      <c r="P2320">
        <v>2319</v>
      </c>
      <c r="Q2320">
        <v>-244219</v>
      </c>
      <c r="S2320">
        <v>283109</v>
      </c>
    </row>
    <row r="2321" spans="16:19" x14ac:dyDescent="0.3">
      <c r="P2321">
        <v>2320</v>
      </c>
      <c r="Q2321">
        <v>853985</v>
      </c>
      <c r="S2321">
        <v>-118472</v>
      </c>
    </row>
    <row r="2322" spans="16:19" x14ac:dyDescent="0.3">
      <c r="P2322">
        <v>2321</v>
      </c>
      <c r="Q2322">
        <v>-107274</v>
      </c>
      <c r="S2322">
        <v>-396300</v>
      </c>
    </row>
    <row r="2323" spans="16:19" x14ac:dyDescent="0.3">
      <c r="P2323">
        <v>2322</v>
      </c>
      <c r="Q2323">
        <v>638822</v>
      </c>
      <c r="S2323">
        <v>-92082</v>
      </c>
    </row>
    <row r="2324" spans="16:19" x14ac:dyDescent="0.3">
      <c r="P2324">
        <v>2323</v>
      </c>
      <c r="Q2324">
        <v>-263220</v>
      </c>
      <c r="S2324">
        <v>-202535</v>
      </c>
    </row>
    <row r="2325" spans="16:19" x14ac:dyDescent="0.3">
      <c r="P2325">
        <v>2324</v>
      </c>
      <c r="Q2325">
        <v>-475406</v>
      </c>
      <c r="S2325">
        <v>680924</v>
      </c>
    </row>
    <row r="2326" spans="16:19" x14ac:dyDescent="0.3">
      <c r="P2326">
        <v>2325</v>
      </c>
      <c r="Q2326">
        <v>693081</v>
      </c>
      <c r="S2326">
        <v>-109480</v>
      </c>
    </row>
    <row r="2327" spans="16:19" x14ac:dyDescent="0.3">
      <c r="P2327">
        <v>2326</v>
      </c>
      <c r="Q2327">
        <v>-329879</v>
      </c>
      <c r="S2327">
        <v>156583</v>
      </c>
    </row>
    <row r="2328" spans="16:19" x14ac:dyDescent="0.3">
      <c r="P2328">
        <v>2327</v>
      </c>
      <c r="Q2328">
        <v>-546827</v>
      </c>
      <c r="S2328">
        <v>171061</v>
      </c>
    </row>
    <row r="2329" spans="16:19" x14ac:dyDescent="0.3">
      <c r="P2329">
        <v>2328</v>
      </c>
      <c r="Q2329">
        <v>61290</v>
      </c>
      <c r="S2329">
        <v>50853</v>
      </c>
    </row>
    <row r="2330" spans="16:19" x14ac:dyDescent="0.3">
      <c r="P2330">
        <v>2329</v>
      </c>
      <c r="Q2330">
        <v>-283289</v>
      </c>
      <c r="S2330">
        <v>-241702</v>
      </c>
    </row>
    <row r="2331" spans="16:19" x14ac:dyDescent="0.3">
      <c r="P2331">
        <v>2330</v>
      </c>
      <c r="Q2331">
        <v>219855</v>
      </c>
      <c r="S2331">
        <v>-648552</v>
      </c>
    </row>
    <row r="2332" spans="16:19" x14ac:dyDescent="0.3">
      <c r="P2332">
        <v>2331</v>
      </c>
      <c r="Q2332">
        <v>-811261</v>
      </c>
      <c r="S2332">
        <v>518452</v>
      </c>
    </row>
    <row r="2333" spans="16:19" x14ac:dyDescent="0.3">
      <c r="P2333">
        <v>2332</v>
      </c>
      <c r="Q2333">
        <v>438202</v>
      </c>
      <c r="S2333">
        <v>-371880</v>
      </c>
    </row>
    <row r="2334" spans="16:19" x14ac:dyDescent="0.3">
      <c r="P2334">
        <v>2333</v>
      </c>
      <c r="Q2334">
        <v>133752</v>
      </c>
      <c r="S2334">
        <v>80790</v>
      </c>
    </row>
    <row r="2335" spans="16:19" x14ac:dyDescent="0.3">
      <c r="P2335">
        <v>2334</v>
      </c>
      <c r="Q2335">
        <v>-249467</v>
      </c>
      <c r="S2335">
        <v>126007</v>
      </c>
    </row>
    <row r="2336" spans="16:19" x14ac:dyDescent="0.3">
      <c r="P2336">
        <v>2335</v>
      </c>
      <c r="Q2336">
        <v>-416369</v>
      </c>
      <c r="S2336">
        <v>353627</v>
      </c>
    </row>
    <row r="2337" spans="16:19" x14ac:dyDescent="0.3">
      <c r="P2337">
        <v>2336</v>
      </c>
      <c r="Q2337">
        <v>-70558</v>
      </c>
      <c r="S2337">
        <v>-148379</v>
      </c>
    </row>
    <row r="2338" spans="16:19" x14ac:dyDescent="0.3">
      <c r="P2338">
        <v>2337</v>
      </c>
      <c r="Q2338">
        <v>876973</v>
      </c>
      <c r="S2338">
        <v>-427423</v>
      </c>
    </row>
    <row r="2339" spans="16:19" x14ac:dyDescent="0.3">
      <c r="P2339">
        <v>2338</v>
      </c>
      <c r="Q2339">
        <v>834581</v>
      </c>
      <c r="S2339">
        <v>57656</v>
      </c>
    </row>
    <row r="2340" spans="16:19" x14ac:dyDescent="0.3">
      <c r="P2340">
        <v>2339</v>
      </c>
      <c r="Q2340">
        <v>-467956</v>
      </c>
      <c r="S2340">
        <v>-125470</v>
      </c>
    </row>
    <row r="2341" spans="16:19" x14ac:dyDescent="0.3">
      <c r="P2341">
        <v>2340</v>
      </c>
      <c r="Q2341">
        <v>-17795</v>
      </c>
      <c r="S2341">
        <v>843868</v>
      </c>
    </row>
    <row r="2342" spans="16:19" x14ac:dyDescent="0.3">
      <c r="P2342">
        <v>2341</v>
      </c>
      <c r="Q2342">
        <v>389308</v>
      </c>
      <c r="S2342">
        <v>229372</v>
      </c>
    </row>
    <row r="2343" spans="16:19" x14ac:dyDescent="0.3">
      <c r="P2343">
        <v>2342</v>
      </c>
      <c r="Q2343">
        <v>-295583</v>
      </c>
      <c r="S2343">
        <v>-447999</v>
      </c>
    </row>
    <row r="2344" spans="16:19" x14ac:dyDescent="0.3">
      <c r="P2344">
        <v>2343</v>
      </c>
      <c r="Q2344">
        <v>-346758</v>
      </c>
      <c r="S2344">
        <v>371040</v>
      </c>
    </row>
    <row r="2345" spans="16:19" x14ac:dyDescent="0.3">
      <c r="P2345">
        <v>2344</v>
      </c>
      <c r="Q2345">
        <v>1019168</v>
      </c>
      <c r="S2345">
        <v>-168784</v>
      </c>
    </row>
    <row r="2346" spans="16:19" x14ac:dyDescent="0.3">
      <c r="P2346">
        <v>2345</v>
      </c>
      <c r="Q2346">
        <v>-303890</v>
      </c>
      <c r="S2346">
        <v>153434</v>
      </c>
    </row>
    <row r="2347" spans="16:19" x14ac:dyDescent="0.3">
      <c r="P2347">
        <v>2346</v>
      </c>
      <c r="Q2347">
        <v>-210095</v>
      </c>
      <c r="S2347">
        <v>-61706</v>
      </c>
    </row>
    <row r="2348" spans="16:19" x14ac:dyDescent="0.3">
      <c r="P2348">
        <v>2347</v>
      </c>
      <c r="Q2348">
        <v>224857</v>
      </c>
      <c r="S2348">
        <v>398295</v>
      </c>
    </row>
    <row r="2349" spans="16:19" x14ac:dyDescent="0.3">
      <c r="P2349">
        <v>2348</v>
      </c>
      <c r="Q2349">
        <v>-543561</v>
      </c>
      <c r="S2349">
        <v>592688</v>
      </c>
    </row>
    <row r="2350" spans="16:19" x14ac:dyDescent="0.3">
      <c r="P2350">
        <v>2349</v>
      </c>
      <c r="Q2350">
        <v>-123021</v>
      </c>
      <c r="S2350">
        <v>-211946</v>
      </c>
    </row>
    <row r="2351" spans="16:19" x14ac:dyDescent="0.3">
      <c r="P2351">
        <v>2350</v>
      </c>
      <c r="Q2351">
        <v>-393532</v>
      </c>
      <c r="S2351">
        <v>-132592</v>
      </c>
    </row>
    <row r="2352" spans="16:19" x14ac:dyDescent="0.3">
      <c r="P2352">
        <v>2351</v>
      </c>
      <c r="Q2352">
        <v>-544224</v>
      </c>
      <c r="S2352">
        <v>-539854</v>
      </c>
    </row>
    <row r="2353" spans="16:19" x14ac:dyDescent="0.3">
      <c r="P2353">
        <v>2352</v>
      </c>
      <c r="Q2353">
        <v>-457628</v>
      </c>
      <c r="S2353">
        <v>288232</v>
      </c>
    </row>
    <row r="2354" spans="16:19" x14ac:dyDescent="0.3">
      <c r="P2354">
        <v>2353</v>
      </c>
      <c r="Q2354">
        <v>-163931</v>
      </c>
      <c r="S2354">
        <v>-176089</v>
      </c>
    </row>
    <row r="2355" spans="16:19" x14ac:dyDescent="0.3">
      <c r="P2355">
        <v>2354</v>
      </c>
      <c r="Q2355">
        <v>584460</v>
      </c>
      <c r="S2355">
        <v>503897</v>
      </c>
    </row>
    <row r="2356" spans="16:19" x14ac:dyDescent="0.3">
      <c r="P2356">
        <v>2355</v>
      </c>
      <c r="Q2356">
        <v>-505035</v>
      </c>
      <c r="S2356">
        <v>489426</v>
      </c>
    </row>
    <row r="2357" spans="16:19" x14ac:dyDescent="0.3">
      <c r="P2357">
        <v>2356</v>
      </c>
      <c r="Q2357">
        <v>-407176</v>
      </c>
      <c r="S2357">
        <v>-152469</v>
      </c>
    </row>
    <row r="2358" spans="16:19" x14ac:dyDescent="0.3">
      <c r="P2358">
        <v>2357</v>
      </c>
      <c r="Q2358">
        <v>-563776</v>
      </c>
      <c r="S2358">
        <v>-806124</v>
      </c>
    </row>
    <row r="2359" spans="16:19" x14ac:dyDescent="0.3">
      <c r="P2359">
        <v>2358</v>
      </c>
      <c r="Q2359">
        <v>-597753</v>
      </c>
      <c r="S2359">
        <v>-358218</v>
      </c>
    </row>
    <row r="2360" spans="16:19" x14ac:dyDescent="0.3">
      <c r="P2360">
        <v>2359</v>
      </c>
      <c r="Q2360">
        <v>-344129</v>
      </c>
      <c r="S2360">
        <v>-811921</v>
      </c>
    </row>
    <row r="2361" spans="16:19" x14ac:dyDescent="0.3">
      <c r="P2361">
        <v>2360</v>
      </c>
      <c r="Q2361">
        <v>-424547</v>
      </c>
      <c r="S2361">
        <v>-325205</v>
      </c>
    </row>
    <row r="2362" spans="16:19" x14ac:dyDescent="0.3">
      <c r="P2362">
        <v>2361</v>
      </c>
      <c r="Q2362">
        <v>923719</v>
      </c>
      <c r="S2362">
        <v>-165261</v>
      </c>
    </row>
    <row r="2363" spans="16:19" x14ac:dyDescent="0.3">
      <c r="P2363">
        <v>2362</v>
      </c>
      <c r="Q2363">
        <v>-343332</v>
      </c>
      <c r="S2363">
        <v>410350</v>
      </c>
    </row>
    <row r="2364" spans="16:19" x14ac:dyDescent="0.3">
      <c r="P2364">
        <v>2363</v>
      </c>
      <c r="Q2364">
        <v>125499</v>
      </c>
      <c r="S2364">
        <v>751924</v>
      </c>
    </row>
    <row r="2365" spans="16:19" x14ac:dyDescent="0.3">
      <c r="P2365">
        <v>2364</v>
      </c>
      <c r="Q2365">
        <v>252388</v>
      </c>
      <c r="S2365">
        <v>528264</v>
      </c>
    </row>
    <row r="2366" spans="16:19" x14ac:dyDescent="0.3">
      <c r="P2366">
        <v>2365</v>
      </c>
      <c r="Q2366">
        <v>294039</v>
      </c>
      <c r="S2366">
        <v>46916</v>
      </c>
    </row>
    <row r="2367" spans="16:19" x14ac:dyDescent="0.3">
      <c r="P2367">
        <v>2366</v>
      </c>
      <c r="Q2367">
        <v>262454</v>
      </c>
      <c r="S2367">
        <v>-399920</v>
      </c>
    </row>
    <row r="2368" spans="16:19" x14ac:dyDescent="0.3">
      <c r="P2368">
        <v>2367</v>
      </c>
      <c r="Q2368">
        <v>58659</v>
      </c>
      <c r="S2368">
        <v>-440504</v>
      </c>
    </row>
    <row r="2369" spans="16:19" x14ac:dyDescent="0.3">
      <c r="P2369">
        <v>2368</v>
      </c>
      <c r="Q2369">
        <v>932296</v>
      </c>
      <c r="S2369">
        <v>-576395</v>
      </c>
    </row>
    <row r="2370" spans="16:19" x14ac:dyDescent="0.3">
      <c r="P2370">
        <v>2369</v>
      </c>
      <c r="Q2370">
        <v>-145975</v>
      </c>
      <c r="S2370">
        <v>744534</v>
      </c>
    </row>
    <row r="2371" spans="16:19" x14ac:dyDescent="0.3">
      <c r="P2371">
        <v>2370</v>
      </c>
      <c r="Q2371">
        <v>-383495</v>
      </c>
      <c r="S2371">
        <v>-634229</v>
      </c>
    </row>
    <row r="2372" spans="16:19" x14ac:dyDescent="0.3">
      <c r="P2372">
        <v>2371</v>
      </c>
      <c r="Q2372">
        <v>314335</v>
      </c>
      <c r="S2372">
        <v>-395683</v>
      </c>
    </row>
    <row r="2373" spans="16:19" x14ac:dyDescent="0.3">
      <c r="P2373">
        <v>2372</v>
      </c>
      <c r="Q2373">
        <v>252334</v>
      </c>
      <c r="S2373">
        <v>555186</v>
      </c>
    </row>
    <row r="2374" spans="16:19" x14ac:dyDescent="0.3">
      <c r="P2374">
        <v>2373</v>
      </c>
      <c r="Q2374">
        <v>-446342</v>
      </c>
      <c r="S2374">
        <v>-163431</v>
      </c>
    </row>
    <row r="2375" spans="16:19" x14ac:dyDescent="0.3">
      <c r="P2375">
        <v>2374</v>
      </c>
      <c r="Q2375">
        <v>599923</v>
      </c>
      <c r="S2375">
        <v>343980</v>
      </c>
    </row>
    <row r="2376" spans="16:19" x14ac:dyDescent="0.3">
      <c r="P2376">
        <v>2375</v>
      </c>
      <c r="Q2376">
        <v>540938</v>
      </c>
      <c r="S2376">
        <v>-487601</v>
      </c>
    </row>
    <row r="2377" spans="16:19" x14ac:dyDescent="0.3">
      <c r="P2377">
        <v>2376</v>
      </c>
      <c r="Q2377">
        <v>-124391</v>
      </c>
      <c r="S2377">
        <v>91552</v>
      </c>
    </row>
    <row r="2378" spans="16:19" x14ac:dyDescent="0.3">
      <c r="P2378">
        <v>2377</v>
      </c>
      <c r="Q2378">
        <v>184634</v>
      </c>
      <c r="S2378">
        <v>-72757</v>
      </c>
    </row>
    <row r="2379" spans="16:19" x14ac:dyDescent="0.3">
      <c r="P2379">
        <v>2378</v>
      </c>
      <c r="Q2379">
        <v>-7154</v>
      </c>
      <c r="S2379">
        <v>274546</v>
      </c>
    </row>
    <row r="2380" spans="16:19" x14ac:dyDescent="0.3">
      <c r="P2380">
        <v>2379</v>
      </c>
      <c r="Q2380">
        <v>503275</v>
      </c>
      <c r="S2380">
        <v>264420</v>
      </c>
    </row>
    <row r="2381" spans="16:19" x14ac:dyDescent="0.3">
      <c r="P2381">
        <v>2380</v>
      </c>
      <c r="Q2381">
        <v>-439698</v>
      </c>
      <c r="S2381">
        <v>-243302</v>
      </c>
    </row>
    <row r="2382" spans="16:19" x14ac:dyDescent="0.3">
      <c r="P2382">
        <v>2381</v>
      </c>
      <c r="Q2382">
        <v>185333</v>
      </c>
      <c r="S2382">
        <v>-437349</v>
      </c>
    </row>
    <row r="2383" spans="16:19" x14ac:dyDescent="0.3">
      <c r="P2383">
        <v>2382</v>
      </c>
      <c r="Q2383">
        <v>224910</v>
      </c>
      <c r="S2383">
        <v>-430640</v>
      </c>
    </row>
    <row r="2384" spans="16:19" x14ac:dyDescent="0.3">
      <c r="P2384">
        <v>2383</v>
      </c>
      <c r="Q2384">
        <v>-134935</v>
      </c>
      <c r="S2384">
        <v>108520</v>
      </c>
    </row>
    <row r="2385" spans="16:19" x14ac:dyDescent="0.3">
      <c r="P2385">
        <v>2384</v>
      </c>
      <c r="Q2385">
        <v>-527783</v>
      </c>
      <c r="S2385">
        <v>505415</v>
      </c>
    </row>
    <row r="2386" spans="16:19" x14ac:dyDescent="0.3">
      <c r="P2386">
        <v>2385</v>
      </c>
      <c r="Q2386">
        <v>-801473</v>
      </c>
      <c r="S2386">
        <v>532792</v>
      </c>
    </row>
    <row r="2387" spans="16:19" x14ac:dyDescent="0.3">
      <c r="P2387">
        <v>2386</v>
      </c>
      <c r="Q2387">
        <v>641204</v>
      </c>
      <c r="S2387">
        <v>-156002</v>
      </c>
    </row>
    <row r="2388" spans="16:19" x14ac:dyDescent="0.3">
      <c r="P2388">
        <v>2387</v>
      </c>
      <c r="Q2388">
        <v>52926</v>
      </c>
      <c r="S2388">
        <v>-517897</v>
      </c>
    </row>
    <row r="2389" spans="16:19" x14ac:dyDescent="0.3">
      <c r="P2389">
        <v>2388</v>
      </c>
      <c r="Q2389">
        <v>-646165</v>
      </c>
      <c r="S2389">
        <v>-555335</v>
      </c>
    </row>
    <row r="2390" spans="16:19" x14ac:dyDescent="0.3">
      <c r="P2390">
        <v>2389</v>
      </c>
      <c r="Q2390">
        <v>420174</v>
      </c>
      <c r="S2390">
        <v>-219520</v>
      </c>
    </row>
    <row r="2391" spans="16:19" x14ac:dyDescent="0.3">
      <c r="P2391">
        <v>2390</v>
      </c>
      <c r="Q2391">
        <v>135812</v>
      </c>
      <c r="S2391">
        <v>460701</v>
      </c>
    </row>
    <row r="2392" spans="16:19" x14ac:dyDescent="0.3">
      <c r="P2392">
        <v>2391</v>
      </c>
      <c r="Q2392">
        <v>-380804</v>
      </c>
      <c r="S2392">
        <v>329494</v>
      </c>
    </row>
    <row r="2393" spans="16:19" x14ac:dyDescent="0.3">
      <c r="P2393">
        <v>2392</v>
      </c>
      <c r="Q2393">
        <v>349510</v>
      </c>
      <c r="S2393">
        <v>543199</v>
      </c>
    </row>
    <row r="2394" spans="16:19" x14ac:dyDescent="0.3">
      <c r="P2394">
        <v>2393</v>
      </c>
      <c r="Q2394">
        <v>-75101</v>
      </c>
      <c r="S2394">
        <v>398880</v>
      </c>
    </row>
    <row r="2395" spans="16:19" x14ac:dyDescent="0.3">
      <c r="P2395">
        <v>2394</v>
      </c>
      <c r="Q2395">
        <v>-383893</v>
      </c>
      <c r="S2395">
        <v>-438178</v>
      </c>
    </row>
    <row r="2396" spans="16:19" x14ac:dyDescent="0.3">
      <c r="P2396">
        <v>2395</v>
      </c>
      <c r="Q2396">
        <v>-398815</v>
      </c>
      <c r="S2396">
        <v>-117444</v>
      </c>
    </row>
    <row r="2397" spans="16:19" x14ac:dyDescent="0.3">
      <c r="P2397">
        <v>2396</v>
      </c>
      <c r="Q2397">
        <v>223352</v>
      </c>
      <c r="S2397">
        <v>310176</v>
      </c>
    </row>
    <row r="2398" spans="16:19" x14ac:dyDescent="0.3">
      <c r="P2398">
        <v>2397</v>
      </c>
      <c r="Q2398">
        <v>850055</v>
      </c>
      <c r="S2398">
        <v>234965</v>
      </c>
    </row>
    <row r="2399" spans="16:19" x14ac:dyDescent="0.3">
      <c r="P2399">
        <v>2398</v>
      </c>
      <c r="Q2399">
        <v>-483552</v>
      </c>
      <c r="S2399">
        <v>369720</v>
      </c>
    </row>
    <row r="2400" spans="16:19" x14ac:dyDescent="0.3">
      <c r="P2400">
        <v>2399</v>
      </c>
      <c r="Q2400">
        <v>471859</v>
      </c>
      <c r="S2400">
        <v>-556457</v>
      </c>
    </row>
    <row r="2401" spans="16:19" x14ac:dyDescent="0.3">
      <c r="P2401">
        <v>2400</v>
      </c>
      <c r="Q2401">
        <v>656820</v>
      </c>
      <c r="S2401">
        <v>-330491</v>
      </c>
    </row>
    <row r="2402" spans="16:19" x14ac:dyDescent="0.3">
      <c r="P2402">
        <v>2401</v>
      </c>
      <c r="Q2402">
        <v>588867</v>
      </c>
      <c r="S2402">
        <v>-39890</v>
      </c>
    </row>
    <row r="2403" spans="16:19" x14ac:dyDescent="0.3">
      <c r="P2403">
        <v>2402</v>
      </c>
      <c r="Q2403">
        <v>876648</v>
      </c>
      <c r="S2403">
        <v>-181393</v>
      </c>
    </row>
    <row r="2404" spans="16:19" x14ac:dyDescent="0.3">
      <c r="P2404">
        <v>2403</v>
      </c>
      <c r="Q2404">
        <v>-735019</v>
      </c>
      <c r="S2404">
        <v>588679</v>
      </c>
    </row>
    <row r="2405" spans="16:19" x14ac:dyDescent="0.3">
      <c r="P2405">
        <v>2404</v>
      </c>
      <c r="Q2405">
        <v>-469412</v>
      </c>
      <c r="S2405">
        <v>-203330</v>
      </c>
    </row>
    <row r="2406" spans="16:19" x14ac:dyDescent="0.3">
      <c r="P2406">
        <v>2405</v>
      </c>
      <c r="Q2406">
        <v>87450</v>
      </c>
      <c r="S2406">
        <v>-185070</v>
      </c>
    </row>
    <row r="2407" spans="16:19" x14ac:dyDescent="0.3">
      <c r="P2407">
        <v>2406</v>
      </c>
      <c r="Q2407">
        <v>401725</v>
      </c>
      <c r="S2407">
        <v>479907</v>
      </c>
    </row>
    <row r="2408" spans="16:19" x14ac:dyDescent="0.3">
      <c r="P2408">
        <v>2407</v>
      </c>
      <c r="Q2408">
        <v>805870</v>
      </c>
      <c r="S2408">
        <v>233878</v>
      </c>
    </row>
    <row r="2409" spans="16:19" x14ac:dyDescent="0.3">
      <c r="P2409">
        <v>2408</v>
      </c>
      <c r="Q2409">
        <v>382704</v>
      </c>
      <c r="S2409">
        <v>-321927</v>
      </c>
    </row>
    <row r="2410" spans="16:19" x14ac:dyDescent="0.3">
      <c r="P2410">
        <v>2409</v>
      </c>
      <c r="Q2410">
        <v>-110877</v>
      </c>
      <c r="S2410">
        <v>362143</v>
      </c>
    </row>
    <row r="2411" spans="16:19" x14ac:dyDescent="0.3">
      <c r="P2411">
        <v>2410</v>
      </c>
      <c r="Q2411">
        <v>-760983</v>
      </c>
      <c r="S2411">
        <v>221062</v>
      </c>
    </row>
    <row r="2412" spans="16:19" x14ac:dyDescent="0.3">
      <c r="P2412">
        <v>2411</v>
      </c>
      <c r="Q2412">
        <v>-720162</v>
      </c>
      <c r="S2412">
        <v>-370767</v>
      </c>
    </row>
    <row r="2413" spans="16:19" x14ac:dyDescent="0.3">
      <c r="P2413">
        <v>2412</v>
      </c>
      <c r="Q2413">
        <v>230333</v>
      </c>
      <c r="S2413">
        <v>-27110</v>
      </c>
    </row>
    <row r="2414" spans="16:19" x14ac:dyDescent="0.3">
      <c r="P2414">
        <v>2413</v>
      </c>
      <c r="Q2414">
        <v>968119</v>
      </c>
      <c r="S2414">
        <v>-237089</v>
      </c>
    </row>
    <row r="2415" spans="16:19" x14ac:dyDescent="0.3">
      <c r="P2415">
        <v>2414</v>
      </c>
      <c r="Q2415">
        <v>-656441</v>
      </c>
      <c r="S2415">
        <v>344507</v>
      </c>
    </row>
    <row r="2416" spans="16:19" x14ac:dyDescent="0.3">
      <c r="P2416">
        <v>2415</v>
      </c>
      <c r="Q2416">
        <v>-732129</v>
      </c>
      <c r="S2416">
        <v>-236754</v>
      </c>
    </row>
    <row r="2417" spans="16:19" x14ac:dyDescent="0.3">
      <c r="P2417">
        <v>2416</v>
      </c>
      <c r="Q2417">
        <v>382588</v>
      </c>
      <c r="S2417">
        <v>686277</v>
      </c>
    </row>
    <row r="2418" spans="16:19" x14ac:dyDescent="0.3">
      <c r="P2418">
        <v>2417</v>
      </c>
      <c r="Q2418">
        <v>541019</v>
      </c>
      <c r="S2418">
        <v>-86508</v>
      </c>
    </row>
    <row r="2419" spans="16:19" x14ac:dyDescent="0.3">
      <c r="P2419">
        <v>2418</v>
      </c>
      <c r="Q2419">
        <v>101388</v>
      </c>
      <c r="S2419">
        <v>-317586</v>
      </c>
    </row>
    <row r="2420" spans="16:19" x14ac:dyDescent="0.3">
      <c r="P2420">
        <v>2419</v>
      </c>
      <c r="Q2420">
        <v>-103838</v>
      </c>
      <c r="S2420">
        <v>-48796</v>
      </c>
    </row>
    <row r="2421" spans="16:19" x14ac:dyDescent="0.3">
      <c r="P2421">
        <v>2420</v>
      </c>
      <c r="Q2421">
        <v>288412</v>
      </c>
      <c r="S2421">
        <v>526865</v>
      </c>
    </row>
    <row r="2422" spans="16:19" x14ac:dyDescent="0.3">
      <c r="P2422">
        <v>2421</v>
      </c>
      <c r="Q2422">
        <v>204499</v>
      </c>
      <c r="S2422">
        <v>-194984</v>
      </c>
    </row>
    <row r="2423" spans="16:19" x14ac:dyDescent="0.3">
      <c r="P2423">
        <v>2422</v>
      </c>
      <c r="Q2423">
        <v>-310554</v>
      </c>
      <c r="S2423">
        <v>391556</v>
      </c>
    </row>
    <row r="2424" spans="16:19" x14ac:dyDescent="0.3">
      <c r="P2424">
        <v>2423</v>
      </c>
      <c r="Q2424">
        <v>-280174</v>
      </c>
      <c r="S2424">
        <v>-282430</v>
      </c>
    </row>
    <row r="2425" spans="16:19" x14ac:dyDescent="0.3">
      <c r="P2425">
        <v>2424</v>
      </c>
      <c r="Q2425">
        <v>-53659</v>
      </c>
      <c r="S2425">
        <v>337812</v>
      </c>
    </row>
    <row r="2426" spans="16:19" x14ac:dyDescent="0.3">
      <c r="P2426">
        <v>2425</v>
      </c>
      <c r="Q2426">
        <v>-26145</v>
      </c>
      <c r="S2426">
        <v>-542487</v>
      </c>
    </row>
    <row r="2427" spans="16:19" x14ac:dyDescent="0.3">
      <c r="P2427">
        <v>2426</v>
      </c>
      <c r="Q2427">
        <v>261861</v>
      </c>
      <c r="S2427">
        <v>-144433</v>
      </c>
    </row>
    <row r="2428" spans="16:19" x14ac:dyDescent="0.3">
      <c r="P2428">
        <v>2427</v>
      </c>
      <c r="Q2428">
        <v>333377</v>
      </c>
      <c r="S2428">
        <v>169761</v>
      </c>
    </row>
    <row r="2429" spans="16:19" x14ac:dyDescent="0.3">
      <c r="P2429">
        <v>2428</v>
      </c>
      <c r="Q2429">
        <v>-98159</v>
      </c>
      <c r="S2429">
        <v>634612</v>
      </c>
    </row>
    <row r="2430" spans="16:19" x14ac:dyDescent="0.3">
      <c r="P2430">
        <v>2429</v>
      </c>
      <c r="Q2430">
        <v>-12796</v>
      </c>
      <c r="S2430">
        <v>629608</v>
      </c>
    </row>
    <row r="2431" spans="16:19" x14ac:dyDescent="0.3">
      <c r="P2431">
        <v>2430</v>
      </c>
      <c r="Q2431">
        <v>165713</v>
      </c>
      <c r="S2431">
        <v>508401</v>
      </c>
    </row>
    <row r="2432" spans="16:19" x14ac:dyDescent="0.3">
      <c r="P2432">
        <v>2431</v>
      </c>
      <c r="Q2432">
        <v>127503</v>
      </c>
      <c r="S2432">
        <v>6529</v>
      </c>
    </row>
    <row r="2433" spans="16:19" x14ac:dyDescent="0.3">
      <c r="P2433">
        <v>2432</v>
      </c>
      <c r="Q2433">
        <v>-792707</v>
      </c>
      <c r="S2433">
        <v>587729</v>
      </c>
    </row>
    <row r="2434" spans="16:19" x14ac:dyDescent="0.3">
      <c r="P2434">
        <v>2433</v>
      </c>
      <c r="Q2434">
        <v>-165266</v>
      </c>
      <c r="S2434">
        <v>732860</v>
      </c>
    </row>
    <row r="2435" spans="16:19" x14ac:dyDescent="0.3">
      <c r="P2435">
        <v>2434</v>
      </c>
      <c r="Q2435">
        <v>-23498</v>
      </c>
      <c r="S2435">
        <v>-119205</v>
      </c>
    </row>
    <row r="2436" spans="16:19" x14ac:dyDescent="0.3">
      <c r="P2436">
        <v>2435</v>
      </c>
      <c r="Q2436">
        <v>420356</v>
      </c>
      <c r="S2436">
        <v>58760</v>
      </c>
    </row>
    <row r="2437" spans="16:19" x14ac:dyDescent="0.3">
      <c r="P2437">
        <v>2436</v>
      </c>
      <c r="Q2437">
        <v>-176918</v>
      </c>
      <c r="S2437">
        <v>-64416</v>
      </c>
    </row>
    <row r="2438" spans="16:19" x14ac:dyDescent="0.3">
      <c r="P2438">
        <v>2437</v>
      </c>
      <c r="Q2438">
        <v>-126006</v>
      </c>
      <c r="S2438">
        <v>574583</v>
      </c>
    </row>
    <row r="2439" spans="16:19" x14ac:dyDescent="0.3">
      <c r="P2439">
        <v>2438</v>
      </c>
      <c r="Q2439">
        <v>539339</v>
      </c>
      <c r="S2439">
        <v>537633</v>
      </c>
    </row>
    <row r="2440" spans="16:19" x14ac:dyDescent="0.3">
      <c r="P2440">
        <v>2439</v>
      </c>
      <c r="Q2440">
        <v>296531</v>
      </c>
      <c r="S2440">
        <v>-643177</v>
      </c>
    </row>
    <row r="2441" spans="16:19" x14ac:dyDescent="0.3">
      <c r="P2441">
        <v>2440</v>
      </c>
      <c r="Q2441">
        <v>-6838</v>
      </c>
      <c r="S2441">
        <v>258352</v>
      </c>
    </row>
    <row r="2442" spans="16:19" x14ac:dyDescent="0.3">
      <c r="P2442">
        <v>2441</v>
      </c>
      <c r="Q2442">
        <v>-45483</v>
      </c>
      <c r="S2442">
        <v>-196578</v>
      </c>
    </row>
    <row r="2443" spans="16:19" x14ac:dyDescent="0.3">
      <c r="P2443">
        <v>2442</v>
      </c>
      <c r="Q2443">
        <v>-210876</v>
      </c>
      <c r="S2443">
        <v>-318898</v>
      </c>
    </row>
    <row r="2444" spans="16:19" x14ac:dyDescent="0.3">
      <c r="P2444">
        <v>2443</v>
      </c>
      <c r="Q2444">
        <v>-518516</v>
      </c>
      <c r="S2444">
        <v>275782</v>
      </c>
    </row>
    <row r="2445" spans="16:19" x14ac:dyDescent="0.3">
      <c r="P2445">
        <v>2444</v>
      </c>
      <c r="Q2445">
        <v>923582</v>
      </c>
      <c r="S2445">
        <v>-261032</v>
      </c>
    </row>
    <row r="2446" spans="16:19" x14ac:dyDescent="0.3">
      <c r="P2446">
        <v>2445</v>
      </c>
      <c r="Q2446">
        <v>-453463</v>
      </c>
      <c r="S2446">
        <v>13446</v>
      </c>
    </row>
    <row r="2447" spans="16:19" x14ac:dyDescent="0.3">
      <c r="P2447">
        <v>2446</v>
      </c>
      <c r="Q2447">
        <v>-708451</v>
      </c>
      <c r="S2447">
        <v>145257</v>
      </c>
    </row>
    <row r="2448" spans="16:19" x14ac:dyDescent="0.3">
      <c r="P2448">
        <v>2447</v>
      </c>
      <c r="Q2448">
        <v>586412</v>
      </c>
      <c r="S2448">
        <v>-36837</v>
      </c>
    </row>
    <row r="2449" spans="16:19" x14ac:dyDescent="0.3">
      <c r="P2449">
        <v>2448</v>
      </c>
      <c r="Q2449">
        <v>554925</v>
      </c>
      <c r="S2449">
        <v>196816</v>
      </c>
    </row>
    <row r="2450" spans="16:19" x14ac:dyDescent="0.3">
      <c r="P2450">
        <v>2449</v>
      </c>
      <c r="Q2450">
        <v>311952</v>
      </c>
      <c r="S2450">
        <v>-571391</v>
      </c>
    </row>
    <row r="2451" spans="16:19" x14ac:dyDescent="0.3">
      <c r="P2451">
        <v>2450</v>
      </c>
      <c r="Q2451">
        <v>-654547</v>
      </c>
      <c r="S2451">
        <v>-264943</v>
      </c>
    </row>
    <row r="2452" spans="16:19" x14ac:dyDescent="0.3">
      <c r="P2452">
        <v>2451</v>
      </c>
      <c r="Q2452">
        <v>-488418</v>
      </c>
      <c r="S2452">
        <v>538775</v>
      </c>
    </row>
    <row r="2453" spans="16:19" x14ac:dyDescent="0.3">
      <c r="P2453">
        <v>2452</v>
      </c>
      <c r="Q2453">
        <v>-238068</v>
      </c>
      <c r="S2453">
        <v>-441408</v>
      </c>
    </row>
    <row r="2454" spans="16:19" x14ac:dyDescent="0.3">
      <c r="P2454">
        <v>2453</v>
      </c>
      <c r="Q2454">
        <v>288229</v>
      </c>
      <c r="S2454">
        <v>-171718</v>
      </c>
    </row>
    <row r="2455" spans="16:19" x14ac:dyDescent="0.3">
      <c r="P2455">
        <v>2454</v>
      </c>
      <c r="Q2455">
        <v>-21324</v>
      </c>
      <c r="S2455">
        <v>297267</v>
      </c>
    </row>
    <row r="2456" spans="16:19" x14ac:dyDescent="0.3">
      <c r="P2456">
        <v>2455</v>
      </c>
      <c r="Q2456">
        <v>-784687</v>
      </c>
      <c r="S2456">
        <v>-241904</v>
      </c>
    </row>
    <row r="2457" spans="16:19" x14ac:dyDescent="0.3">
      <c r="P2457">
        <v>2456</v>
      </c>
      <c r="Q2457">
        <v>208889</v>
      </c>
      <c r="S2457">
        <v>715867</v>
      </c>
    </row>
    <row r="2458" spans="16:19" x14ac:dyDescent="0.3">
      <c r="P2458">
        <v>2457</v>
      </c>
      <c r="Q2458">
        <v>-272278</v>
      </c>
      <c r="S2458">
        <v>-410890</v>
      </c>
    </row>
    <row r="2459" spans="16:19" x14ac:dyDescent="0.3">
      <c r="P2459">
        <v>2458</v>
      </c>
      <c r="Q2459">
        <v>-532311</v>
      </c>
      <c r="S2459">
        <v>-41896</v>
      </c>
    </row>
    <row r="2460" spans="16:19" x14ac:dyDescent="0.3">
      <c r="P2460">
        <v>2459</v>
      </c>
      <c r="Q2460">
        <v>550548</v>
      </c>
      <c r="S2460">
        <v>323308</v>
      </c>
    </row>
    <row r="2461" spans="16:19" x14ac:dyDescent="0.3">
      <c r="P2461">
        <v>2460</v>
      </c>
      <c r="Q2461">
        <v>-74631</v>
      </c>
      <c r="S2461">
        <v>-284855</v>
      </c>
    </row>
    <row r="2462" spans="16:19" x14ac:dyDescent="0.3">
      <c r="P2462">
        <v>2461</v>
      </c>
      <c r="Q2462">
        <v>99932</v>
      </c>
      <c r="S2462">
        <v>160153</v>
      </c>
    </row>
    <row r="2463" spans="16:19" x14ac:dyDescent="0.3">
      <c r="P2463">
        <v>2462</v>
      </c>
      <c r="Q2463">
        <v>331050</v>
      </c>
      <c r="S2463">
        <v>13818</v>
      </c>
    </row>
    <row r="2464" spans="16:19" x14ac:dyDescent="0.3">
      <c r="P2464">
        <v>2463</v>
      </c>
      <c r="Q2464">
        <v>-592513</v>
      </c>
      <c r="S2464">
        <v>-702135</v>
      </c>
    </row>
    <row r="2465" spans="16:19" x14ac:dyDescent="0.3">
      <c r="P2465">
        <v>2464</v>
      </c>
      <c r="Q2465">
        <v>229777</v>
      </c>
      <c r="S2465">
        <v>-337496</v>
      </c>
    </row>
    <row r="2466" spans="16:19" x14ac:dyDescent="0.3">
      <c r="P2466">
        <v>2465</v>
      </c>
      <c r="Q2466">
        <v>-624779</v>
      </c>
      <c r="S2466">
        <v>510674</v>
      </c>
    </row>
    <row r="2467" spans="16:19" x14ac:dyDescent="0.3">
      <c r="P2467">
        <v>2466</v>
      </c>
      <c r="Q2467">
        <v>701988</v>
      </c>
      <c r="S2467">
        <v>-65483</v>
      </c>
    </row>
    <row r="2468" spans="16:19" x14ac:dyDescent="0.3">
      <c r="P2468">
        <v>2467</v>
      </c>
      <c r="Q2468">
        <v>-128677</v>
      </c>
      <c r="S2468">
        <v>133143</v>
      </c>
    </row>
    <row r="2469" spans="16:19" x14ac:dyDescent="0.3">
      <c r="P2469">
        <v>2468</v>
      </c>
      <c r="Q2469">
        <v>-323226</v>
      </c>
      <c r="S2469">
        <v>-419400</v>
      </c>
    </row>
    <row r="2470" spans="16:19" x14ac:dyDescent="0.3">
      <c r="P2470">
        <v>2469</v>
      </c>
      <c r="Q2470">
        <v>-735260</v>
      </c>
      <c r="S2470">
        <v>-483288</v>
      </c>
    </row>
    <row r="2471" spans="16:19" x14ac:dyDescent="0.3">
      <c r="P2471">
        <v>2470</v>
      </c>
      <c r="Q2471">
        <v>-300013</v>
      </c>
      <c r="S2471">
        <v>-446906</v>
      </c>
    </row>
    <row r="2472" spans="16:19" x14ac:dyDescent="0.3">
      <c r="P2472">
        <v>2471</v>
      </c>
      <c r="Q2472">
        <v>38146</v>
      </c>
      <c r="S2472">
        <v>-423891</v>
      </c>
    </row>
    <row r="2473" spans="16:19" x14ac:dyDescent="0.3">
      <c r="P2473">
        <v>2472</v>
      </c>
      <c r="Q2473">
        <v>175961</v>
      </c>
      <c r="S2473">
        <v>-587222</v>
      </c>
    </row>
    <row r="2474" spans="16:19" x14ac:dyDescent="0.3">
      <c r="P2474">
        <v>2473</v>
      </c>
      <c r="Q2474">
        <v>36261</v>
      </c>
      <c r="S2474">
        <v>-296285</v>
      </c>
    </row>
    <row r="2475" spans="16:19" x14ac:dyDescent="0.3">
      <c r="P2475">
        <v>2474</v>
      </c>
      <c r="Q2475">
        <v>-253765</v>
      </c>
      <c r="S2475">
        <v>1090791</v>
      </c>
    </row>
    <row r="2476" spans="16:19" x14ac:dyDescent="0.3">
      <c r="P2476">
        <v>2475</v>
      </c>
      <c r="Q2476">
        <v>-214094</v>
      </c>
      <c r="S2476">
        <v>607605</v>
      </c>
    </row>
    <row r="2477" spans="16:19" x14ac:dyDescent="0.3">
      <c r="P2477">
        <v>2476</v>
      </c>
      <c r="Q2477">
        <v>367498</v>
      </c>
      <c r="S2477">
        <v>-3675</v>
      </c>
    </row>
    <row r="2478" spans="16:19" x14ac:dyDescent="0.3">
      <c r="P2478">
        <v>2477</v>
      </c>
      <c r="Q2478">
        <v>-460745</v>
      </c>
      <c r="S2478">
        <v>-220553</v>
      </c>
    </row>
    <row r="2479" spans="16:19" x14ac:dyDescent="0.3">
      <c r="P2479">
        <v>2478</v>
      </c>
      <c r="Q2479">
        <v>-705575</v>
      </c>
      <c r="S2479">
        <v>140341</v>
      </c>
    </row>
    <row r="2480" spans="16:19" x14ac:dyDescent="0.3">
      <c r="P2480">
        <v>2479</v>
      </c>
      <c r="Q2480">
        <v>663943</v>
      </c>
      <c r="S2480">
        <v>-379963</v>
      </c>
    </row>
    <row r="2481" spans="16:19" x14ac:dyDescent="0.3">
      <c r="P2481">
        <v>2480</v>
      </c>
      <c r="Q2481">
        <v>-644999</v>
      </c>
      <c r="S2481">
        <v>-415594</v>
      </c>
    </row>
    <row r="2482" spans="16:19" x14ac:dyDescent="0.3">
      <c r="P2482">
        <v>2481</v>
      </c>
      <c r="Q2482">
        <v>-550718</v>
      </c>
      <c r="S2482">
        <v>-343930</v>
      </c>
    </row>
    <row r="2483" spans="16:19" x14ac:dyDescent="0.3">
      <c r="P2483">
        <v>2482</v>
      </c>
      <c r="Q2483">
        <v>-255980</v>
      </c>
      <c r="S2483">
        <v>369731</v>
      </c>
    </row>
    <row r="2484" spans="16:19" x14ac:dyDescent="0.3">
      <c r="P2484">
        <v>2483</v>
      </c>
      <c r="Q2484">
        <v>-520574</v>
      </c>
      <c r="S2484">
        <v>-170597</v>
      </c>
    </row>
    <row r="2485" spans="16:19" x14ac:dyDescent="0.3">
      <c r="P2485">
        <v>2484</v>
      </c>
      <c r="Q2485">
        <v>-576032</v>
      </c>
      <c r="S2485">
        <v>315958</v>
      </c>
    </row>
    <row r="2486" spans="16:19" x14ac:dyDescent="0.3">
      <c r="P2486">
        <v>2485</v>
      </c>
      <c r="Q2486">
        <v>727572</v>
      </c>
      <c r="S2486">
        <v>-292649</v>
      </c>
    </row>
    <row r="2487" spans="16:19" x14ac:dyDescent="0.3">
      <c r="P2487">
        <v>2486</v>
      </c>
      <c r="Q2487">
        <v>-245883</v>
      </c>
      <c r="S2487">
        <v>-229781</v>
      </c>
    </row>
    <row r="2488" spans="16:19" x14ac:dyDescent="0.3">
      <c r="P2488">
        <v>2487</v>
      </c>
      <c r="Q2488">
        <v>83652</v>
      </c>
      <c r="S2488">
        <v>-514382</v>
      </c>
    </row>
    <row r="2489" spans="16:19" x14ac:dyDescent="0.3">
      <c r="P2489">
        <v>2488</v>
      </c>
      <c r="Q2489">
        <v>-44999</v>
      </c>
      <c r="S2489">
        <v>78473</v>
      </c>
    </row>
    <row r="2490" spans="16:19" x14ac:dyDescent="0.3">
      <c r="P2490">
        <v>2489</v>
      </c>
      <c r="Q2490">
        <v>547850</v>
      </c>
      <c r="S2490">
        <v>-28154</v>
      </c>
    </row>
    <row r="2491" spans="16:19" x14ac:dyDescent="0.3">
      <c r="P2491">
        <v>2490</v>
      </c>
      <c r="Q2491">
        <v>-763287</v>
      </c>
      <c r="S2491">
        <v>53208</v>
      </c>
    </row>
    <row r="2492" spans="16:19" x14ac:dyDescent="0.3">
      <c r="P2492">
        <v>2491</v>
      </c>
      <c r="Q2492">
        <v>214585</v>
      </c>
      <c r="S2492">
        <v>-477546</v>
      </c>
    </row>
    <row r="2493" spans="16:19" x14ac:dyDescent="0.3">
      <c r="P2493">
        <v>2492</v>
      </c>
      <c r="Q2493">
        <v>354876</v>
      </c>
      <c r="S2493">
        <v>721220</v>
      </c>
    </row>
    <row r="2494" spans="16:19" x14ac:dyDescent="0.3">
      <c r="P2494">
        <v>2493</v>
      </c>
      <c r="Q2494">
        <v>310013</v>
      </c>
      <c r="S2494">
        <v>-138255</v>
      </c>
    </row>
    <row r="2495" spans="16:19" x14ac:dyDescent="0.3">
      <c r="P2495">
        <v>2494</v>
      </c>
      <c r="Q2495">
        <v>556661</v>
      </c>
      <c r="S2495">
        <v>15226</v>
      </c>
    </row>
    <row r="2496" spans="16:19" x14ac:dyDescent="0.3">
      <c r="P2496">
        <v>2495</v>
      </c>
      <c r="Q2496">
        <v>41187</v>
      </c>
      <c r="S2496">
        <v>-226403</v>
      </c>
    </row>
    <row r="2497" spans="16:19" x14ac:dyDescent="0.3">
      <c r="P2497">
        <v>2496</v>
      </c>
      <c r="Q2497">
        <v>-4776</v>
      </c>
      <c r="S2497">
        <v>-100758</v>
      </c>
    </row>
    <row r="2498" spans="16:19" x14ac:dyDescent="0.3">
      <c r="P2498">
        <v>2497</v>
      </c>
      <c r="Q2498">
        <v>729376</v>
      </c>
      <c r="S2498">
        <v>140086</v>
      </c>
    </row>
    <row r="2499" spans="16:19" x14ac:dyDescent="0.3">
      <c r="P2499">
        <v>2498</v>
      </c>
      <c r="Q2499">
        <v>-387965</v>
      </c>
      <c r="S2499">
        <v>545430</v>
      </c>
    </row>
    <row r="2500" spans="16:19" x14ac:dyDescent="0.3">
      <c r="P2500">
        <v>2499</v>
      </c>
      <c r="Q2500">
        <v>397841</v>
      </c>
      <c r="S2500">
        <v>-441960</v>
      </c>
    </row>
    <row r="2501" spans="16:19" x14ac:dyDescent="0.3">
      <c r="P2501">
        <v>2500</v>
      </c>
      <c r="Q2501">
        <v>-535789</v>
      </c>
      <c r="S2501">
        <v>388260</v>
      </c>
    </row>
    <row r="2502" spans="16:19" x14ac:dyDescent="0.3">
      <c r="P2502">
        <v>2501</v>
      </c>
      <c r="Q2502">
        <v>-392118</v>
      </c>
      <c r="S2502">
        <v>-148525</v>
      </c>
    </row>
    <row r="2503" spans="16:19" x14ac:dyDescent="0.3">
      <c r="P2503">
        <v>2502</v>
      </c>
      <c r="Q2503">
        <v>386073</v>
      </c>
      <c r="S2503">
        <v>251576</v>
      </c>
    </row>
    <row r="2504" spans="16:19" x14ac:dyDescent="0.3">
      <c r="P2504">
        <v>2503</v>
      </c>
      <c r="Q2504">
        <v>425449</v>
      </c>
      <c r="S2504">
        <v>-668366</v>
      </c>
    </row>
    <row r="2505" spans="16:19" x14ac:dyDescent="0.3">
      <c r="P2505">
        <v>2504</v>
      </c>
      <c r="Q2505">
        <v>-76409</v>
      </c>
      <c r="S2505">
        <v>-117563</v>
      </c>
    </row>
    <row r="2506" spans="16:19" x14ac:dyDescent="0.3">
      <c r="P2506">
        <v>2505</v>
      </c>
      <c r="Q2506">
        <v>664304</v>
      </c>
      <c r="S2506">
        <v>-401506</v>
      </c>
    </row>
    <row r="2507" spans="16:19" x14ac:dyDescent="0.3">
      <c r="P2507">
        <v>2506</v>
      </c>
      <c r="Q2507">
        <v>788486</v>
      </c>
      <c r="S2507">
        <v>-424796</v>
      </c>
    </row>
    <row r="2508" spans="16:19" x14ac:dyDescent="0.3">
      <c r="P2508">
        <v>2507</v>
      </c>
      <c r="Q2508">
        <v>-547035</v>
      </c>
      <c r="S2508">
        <v>280446</v>
      </c>
    </row>
    <row r="2509" spans="16:19" x14ac:dyDescent="0.3">
      <c r="P2509">
        <v>2508</v>
      </c>
      <c r="Q2509">
        <v>698546</v>
      </c>
      <c r="S2509">
        <v>-534756</v>
      </c>
    </row>
    <row r="2510" spans="16:19" x14ac:dyDescent="0.3">
      <c r="P2510">
        <v>2509</v>
      </c>
      <c r="Q2510">
        <v>169804</v>
      </c>
      <c r="S2510">
        <v>-297810</v>
      </c>
    </row>
    <row r="2511" spans="16:19" x14ac:dyDescent="0.3">
      <c r="P2511">
        <v>2510</v>
      </c>
      <c r="Q2511">
        <v>-139514</v>
      </c>
      <c r="S2511">
        <v>273069</v>
      </c>
    </row>
    <row r="2512" spans="16:19" x14ac:dyDescent="0.3">
      <c r="P2512">
        <v>2511</v>
      </c>
      <c r="Q2512">
        <v>465766</v>
      </c>
      <c r="S2512">
        <v>187709</v>
      </c>
    </row>
    <row r="2513" spans="16:19" x14ac:dyDescent="0.3">
      <c r="P2513">
        <v>2512</v>
      </c>
      <c r="Q2513">
        <v>-491825</v>
      </c>
      <c r="S2513">
        <v>-538604</v>
      </c>
    </row>
    <row r="2514" spans="16:19" x14ac:dyDescent="0.3">
      <c r="P2514">
        <v>2513</v>
      </c>
      <c r="Q2514">
        <v>241072</v>
      </c>
      <c r="S2514">
        <v>-248480</v>
      </c>
    </row>
    <row r="2515" spans="16:19" x14ac:dyDescent="0.3">
      <c r="P2515">
        <v>2514</v>
      </c>
      <c r="Q2515">
        <v>298694</v>
      </c>
      <c r="S2515">
        <v>672543</v>
      </c>
    </row>
    <row r="2516" spans="16:19" x14ac:dyDescent="0.3">
      <c r="P2516">
        <v>2515</v>
      </c>
      <c r="Q2516">
        <v>-434058</v>
      </c>
      <c r="S2516">
        <v>-244376</v>
      </c>
    </row>
    <row r="2517" spans="16:19" x14ac:dyDescent="0.3">
      <c r="P2517">
        <v>2516</v>
      </c>
      <c r="Q2517">
        <v>-543524</v>
      </c>
      <c r="S2517">
        <v>-475441</v>
      </c>
    </row>
    <row r="2518" spans="16:19" x14ac:dyDescent="0.3">
      <c r="P2518">
        <v>2517</v>
      </c>
      <c r="Q2518">
        <v>-273229</v>
      </c>
      <c r="S2518">
        <v>423256</v>
      </c>
    </row>
    <row r="2519" spans="16:19" x14ac:dyDescent="0.3">
      <c r="P2519">
        <v>2518</v>
      </c>
      <c r="Q2519">
        <v>-301715</v>
      </c>
      <c r="S2519">
        <v>-409520</v>
      </c>
    </row>
    <row r="2520" spans="16:19" x14ac:dyDescent="0.3">
      <c r="P2520">
        <v>2519</v>
      </c>
      <c r="Q2520">
        <v>296701</v>
      </c>
      <c r="S2520">
        <v>268023</v>
      </c>
    </row>
    <row r="2521" spans="16:19" x14ac:dyDescent="0.3">
      <c r="P2521">
        <v>2520</v>
      </c>
      <c r="Q2521">
        <v>-84477</v>
      </c>
      <c r="S2521">
        <v>-697137</v>
      </c>
    </row>
    <row r="2522" spans="16:19" x14ac:dyDescent="0.3">
      <c r="P2522">
        <v>2521</v>
      </c>
      <c r="Q2522">
        <v>241776</v>
      </c>
      <c r="S2522">
        <v>299831</v>
      </c>
    </row>
    <row r="2523" spans="16:19" x14ac:dyDescent="0.3">
      <c r="P2523">
        <v>2522</v>
      </c>
      <c r="Q2523">
        <v>-199100</v>
      </c>
      <c r="S2523">
        <v>239871</v>
      </c>
    </row>
    <row r="2524" spans="16:19" x14ac:dyDescent="0.3">
      <c r="P2524">
        <v>2523</v>
      </c>
      <c r="Q2524">
        <v>165983</v>
      </c>
      <c r="S2524">
        <v>-452697</v>
      </c>
    </row>
    <row r="2525" spans="16:19" x14ac:dyDescent="0.3">
      <c r="P2525">
        <v>2524</v>
      </c>
      <c r="Q2525">
        <v>-769912</v>
      </c>
      <c r="S2525">
        <v>106740</v>
      </c>
    </row>
    <row r="2526" spans="16:19" x14ac:dyDescent="0.3">
      <c r="P2526">
        <v>2525</v>
      </c>
      <c r="Q2526">
        <v>115652</v>
      </c>
      <c r="S2526">
        <v>-54171</v>
      </c>
    </row>
    <row r="2527" spans="16:19" x14ac:dyDescent="0.3">
      <c r="P2527">
        <v>2526</v>
      </c>
      <c r="Q2527">
        <v>-461240</v>
      </c>
      <c r="S2527">
        <v>454805</v>
      </c>
    </row>
    <row r="2528" spans="16:19" x14ac:dyDescent="0.3">
      <c r="P2528">
        <v>2527</v>
      </c>
      <c r="Q2528">
        <v>282521</v>
      </c>
      <c r="S2528">
        <v>-427358</v>
      </c>
    </row>
    <row r="2529" spans="16:19" x14ac:dyDescent="0.3">
      <c r="P2529">
        <v>2528</v>
      </c>
      <c r="Q2529">
        <v>541351</v>
      </c>
      <c r="S2529">
        <v>-415355</v>
      </c>
    </row>
    <row r="2530" spans="16:19" x14ac:dyDescent="0.3">
      <c r="P2530">
        <v>2529</v>
      </c>
      <c r="Q2530">
        <v>669412</v>
      </c>
      <c r="S2530">
        <v>95405</v>
      </c>
    </row>
    <row r="2531" spans="16:19" x14ac:dyDescent="0.3">
      <c r="P2531">
        <v>2530</v>
      </c>
      <c r="Q2531">
        <v>-47952</v>
      </c>
      <c r="S2531">
        <v>-199900</v>
      </c>
    </row>
    <row r="2532" spans="16:19" x14ac:dyDescent="0.3">
      <c r="P2532">
        <v>2531</v>
      </c>
      <c r="Q2532">
        <v>299587</v>
      </c>
      <c r="S2532">
        <v>1093354</v>
      </c>
    </row>
    <row r="2533" spans="16:19" x14ac:dyDescent="0.3">
      <c r="P2533">
        <v>2532</v>
      </c>
      <c r="Q2533">
        <v>187160</v>
      </c>
      <c r="S2533">
        <v>-480504</v>
      </c>
    </row>
    <row r="2534" spans="16:19" x14ac:dyDescent="0.3">
      <c r="P2534">
        <v>2533</v>
      </c>
      <c r="Q2534">
        <v>-106077</v>
      </c>
      <c r="S2534">
        <v>-618296</v>
      </c>
    </row>
    <row r="2535" spans="16:19" x14ac:dyDescent="0.3">
      <c r="P2535">
        <v>2534</v>
      </c>
      <c r="Q2535">
        <v>-178645</v>
      </c>
      <c r="S2535">
        <v>648830</v>
      </c>
    </row>
    <row r="2536" spans="16:19" x14ac:dyDescent="0.3">
      <c r="P2536">
        <v>2535</v>
      </c>
      <c r="Q2536">
        <v>-381551</v>
      </c>
      <c r="S2536">
        <v>540917</v>
      </c>
    </row>
    <row r="2537" spans="16:19" x14ac:dyDescent="0.3">
      <c r="P2537">
        <v>2536</v>
      </c>
      <c r="Q2537">
        <v>760501</v>
      </c>
      <c r="S2537">
        <v>-381178</v>
      </c>
    </row>
    <row r="2538" spans="16:19" x14ac:dyDescent="0.3">
      <c r="P2538">
        <v>2537</v>
      </c>
      <c r="Q2538">
        <v>316795</v>
      </c>
      <c r="S2538">
        <v>-791086</v>
      </c>
    </row>
    <row r="2539" spans="16:19" x14ac:dyDescent="0.3">
      <c r="P2539">
        <v>2538</v>
      </c>
      <c r="Q2539">
        <v>63916</v>
      </c>
      <c r="S2539">
        <v>905295</v>
      </c>
    </row>
    <row r="2540" spans="16:19" x14ac:dyDescent="0.3">
      <c r="P2540">
        <v>2539</v>
      </c>
      <c r="Q2540">
        <v>494809</v>
      </c>
      <c r="S2540">
        <v>-109284</v>
      </c>
    </row>
    <row r="2541" spans="16:19" x14ac:dyDescent="0.3">
      <c r="P2541">
        <v>2540</v>
      </c>
      <c r="Q2541">
        <v>-271674</v>
      </c>
      <c r="S2541">
        <v>445675</v>
      </c>
    </row>
    <row r="2542" spans="16:19" x14ac:dyDescent="0.3">
      <c r="P2542">
        <v>2541</v>
      </c>
      <c r="Q2542">
        <v>799995</v>
      </c>
      <c r="S2542">
        <v>230393</v>
      </c>
    </row>
    <row r="2543" spans="16:19" x14ac:dyDescent="0.3">
      <c r="P2543">
        <v>2542</v>
      </c>
      <c r="Q2543">
        <v>365107</v>
      </c>
      <c r="S2543">
        <v>599140</v>
      </c>
    </row>
    <row r="2544" spans="16:19" x14ac:dyDescent="0.3">
      <c r="P2544">
        <v>2543</v>
      </c>
      <c r="Q2544">
        <v>201498</v>
      </c>
      <c r="S2544">
        <v>-75228</v>
      </c>
    </row>
    <row r="2545" spans="16:19" x14ac:dyDescent="0.3">
      <c r="P2545">
        <v>2544</v>
      </c>
      <c r="Q2545">
        <v>343366</v>
      </c>
      <c r="S2545">
        <v>-120536</v>
      </c>
    </row>
    <row r="2546" spans="16:19" x14ac:dyDescent="0.3">
      <c r="P2546">
        <v>2545</v>
      </c>
      <c r="Q2546">
        <v>-110812</v>
      </c>
      <c r="S2546">
        <v>735063</v>
      </c>
    </row>
    <row r="2547" spans="16:19" x14ac:dyDescent="0.3">
      <c r="P2547">
        <v>2546</v>
      </c>
      <c r="Q2547">
        <v>23894</v>
      </c>
      <c r="S2547">
        <v>444183</v>
      </c>
    </row>
    <row r="2548" spans="16:19" x14ac:dyDescent="0.3">
      <c r="P2548">
        <v>2547</v>
      </c>
      <c r="Q2548">
        <v>187433</v>
      </c>
      <c r="S2548">
        <v>233519</v>
      </c>
    </row>
    <row r="2549" spans="16:19" x14ac:dyDescent="0.3">
      <c r="P2549">
        <v>2548</v>
      </c>
      <c r="Q2549">
        <v>392006</v>
      </c>
      <c r="S2549">
        <v>22916</v>
      </c>
    </row>
    <row r="2550" spans="16:19" x14ac:dyDescent="0.3">
      <c r="P2550">
        <v>2549</v>
      </c>
      <c r="Q2550">
        <v>-66308</v>
      </c>
      <c r="S2550">
        <v>-150591</v>
      </c>
    </row>
    <row r="2551" spans="16:19" x14ac:dyDescent="0.3">
      <c r="P2551">
        <v>2550</v>
      </c>
      <c r="Q2551">
        <v>-235370</v>
      </c>
      <c r="S2551">
        <v>443345</v>
      </c>
    </row>
    <row r="2552" spans="16:19" x14ac:dyDescent="0.3">
      <c r="P2552">
        <v>2551</v>
      </c>
      <c r="Q2552">
        <v>-322467</v>
      </c>
      <c r="S2552">
        <v>-205728</v>
      </c>
    </row>
    <row r="2553" spans="16:19" x14ac:dyDescent="0.3">
      <c r="P2553">
        <v>2552</v>
      </c>
      <c r="Q2553">
        <v>712466</v>
      </c>
      <c r="S2553">
        <v>-25258</v>
      </c>
    </row>
    <row r="2554" spans="16:19" x14ac:dyDescent="0.3">
      <c r="P2554">
        <v>2553</v>
      </c>
      <c r="Q2554">
        <v>-391223</v>
      </c>
      <c r="S2554">
        <v>-137877</v>
      </c>
    </row>
    <row r="2555" spans="16:19" x14ac:dyDescent="0.3">
      <c r="P2555">
        <v>2554</v>
      </c>
      <c r="Q2555">
        <v>185399</v>
      </c>
      <c r="S2555">
        <v>-102998</v>
      </c>
    </row>
    <row r="2556" spans="16:19" x14ac:dyDescent="0.3">
      <c r="P2556">
        <v>2555</v>
      </c>
      <c r="Q2556">
        <v>150559</v>
      </c>
      <c r="S2556">
        <v>-364049</v>
      </c>
    </row>
    <row r="2557" spans="16:19" x14ac:dyDescent="0.3">
      <c r="P2557">
        <v>2556</v>
      </c>
      <c r="Q2557">
        <v>-420309</v>
      </c>
      <c r="S2557">
        <v>-87151</v>
      </c>
    </row>
    <row r="2558" spans="16:19" x14ac:dyDescent="0.3">
      <c r="P2558">
        <v>2557</v>
      </c>
      <c r="Q2558">
        <v>526698</v>
      </c>
      <c r="S2558">
        <v>-205373</v>
      </c>
    </row>
    <row r="2559" spans="16:19" x14ac:dyDescent="0.3">
      <c r="P2559">
        <v>2558</v>
      </c>
      <c r="Q2559">
        <v>-123123</v>
      </c>
      <c r="S2559">
        <v>-495842</v>
      </c>
    </row>
    <row r="2560" spans="16:19" x14ac:dyDescent="0.3">
      <c r="P2560">
        <v>2559</v>
      </c>
      <c r="Q2560">
        <v>266246</v>
      </c>
      <c r="S2560">
        <v>549796</v>
      </c>
    </row>
    <row r="2561" spans="16:19" x14ac:dyDescent="0.3">
      <c r="P2561">
        <v>2560</v>
      </c>
      <c r="Q2561">
        <v>-604916</v>
      </c>
      <c r="S2561">
        <v>274093</v>
      </c>
    </row>
    <row r="2562" spans="16:19" x14ac:dyDescent="0.3">
      <c r="P2562">
        <v>2561</v>
      </c>
      <c r="Q2562">
        <v>254462</v>
      </c>
      <c r="S2562">
        <v>-19949</v>
      </c>
    </row>
    <row r="2563" spans="16:19" x14ac:dyDescent="0.3">
      <c r="P2563">
        <v>2562</v>
      </c>
      <c r="Q2563">
        <v>540615</v>
      </c>
      <c r="S2563">
        <v>-375431</v>
      </c>
    </row>
    <row r="2564" spans="16:19" x14ac:dyDescent="0.3">
      <c r="P2564">
        <v>2563</v>
      </c>
      <c r="Q2564">
        <v>-115383</v>
      </c>
      <c r="S2564">
        <v>348931</v>
      </c>
    </row>
    <row r="2565" spans="16:19" x14ac:dyDescent="0.3">
      <c r="P2565">
        <v>2564</v>
      </c>
      <c r="Q2565">
        <v>319021</v>
      </c>
      <c r="S2565">
        <v>70654</v>
      </c>
    </row>
    <row r="2566" spans="16:19" x14ac:dyDescent="0.3">
      <c r="P2566">
        <v>2565</v>
      </c>
      <c r="Q2566">
        <v>-252053</v>
      </c>
      <c r="S2566">
        <v>-419322</v>
      </c>
    </row>
    <row r="2567" spans="16:19" x14ac:dyDescent="0.3">
      <c r="P2567">
        <v>2566</v>
      </c>
      <c r="Q2567">
        <v>56419</v>
      </c>
      <c r="S2567">
        <v>-470843</v>
      </c>
    </row>
    <row r="2568" spans="16:19" x14ac:dyDescent="0.3">
      <c r="P2568">
        <v>2567</v>
      </c>
      <c r="Q2568">
        <v>34583</v>
      </c>
      <c r="S2568">
        <v>404808</v>
      </c>
    </row>
    <row r="2569" spans="16:19" x14ac:dyDescent="0.3">
      <c r="P2569">
        <v>2568</v>
      </c>
      <c r="Q2569">
        <v>-142731</v>
      </c>
      <c r="S2569">
        <v>-348367</v>
      </c>
    </row>
    <row r="2570" spans="16:19" x14ac:dyDescent="0.3">
      <c r="P2570">
        <v>2569</v>
      </c>
      <c r="Q2570">
        <v>-79756</v>
      </c>
      <c r="S2570">
        <v>1001259</v>
      </c>
    </row>
    <row r="2571" spans="16:19" x14ac:dyDescent="0.3">
      <c r="P2571">
        <v>2570</v>
      </c>
      <c r="Q2571">
        <v>-232172</v>
      </c>
      <c r="S2571">
        <v>-508741</v>
      </c>
    </row>
    <row r="2572" spans="16:19" x14ac:dyDescent="0.3">
      <c r="P2572">
        <v>2571</v>
      </c>
      <c r="Q2572">
        <v>234047</v>
      </c>
      <c r="S2572">
        <v>96824</v>
      </c>
    </row>
    <row r="2573" spans="16:19" x14ac:dyDescent="0.3">
      <c r="P2573">
        <v>2572</v>
      </c>
      <c r="Q2573">
        <v>374589</v>
      </c>
      <c r="S2573">
        <v>-364644</v>
      </c>
    </row>
    <row r="2574" spans="16:19" x14ac:dyDescent="0.3">
      <c r="P2574">
        <v>2573</v>
      </c>
      <c r="Q2574">
        <v>-378650</v>
      </c>
      <c r="S2574">
        <v>16285</v>
      </c>
    </row>
    <row r="2575" spans="16:19" x14ac:dyDescent="0.3">
      <c r="P2575">
        <v>2574</v>
      </c>
      <c r="Q2575">
        <v>704226</v>
      </c>
      <c r="S2575">
        <v>672180</v>
      </c>
    </row>
    <row r="2576" spans="16:19" x14ac:dyDescent="0.3">
      <c r="P2576">
        <v>2575</v>
      </c>
      <c r="Q2576">
        <v>-291904</v>
      </c>
      <c r="S2576">
        <v>538333</v>
      </c>
    </row>
    <row r="2577" spans="16:19" x14ac:dyDescent="0.3">
      <c r="P2577">
        <v>2576</v>
      </c>
      <c r="Q2577">
        <v>-209773</v>
      </c>
      <c r="S2577">
        <v>-487600</v>
      </c>
    </row>
    <row r="2578" spans="16:19" x14ac:dyDescent="0.3">
      <c r="P2578">
        <v>2577</v>
      </c>
      <c r="Q2578">
        <v>-36041</v>
      </c>
      <c r="S2578">
        <v>587952</v>
      </c>
    </row>
    <row r="2579" spans="16:19" x14ac:dyDescent="0.3">
      <c r="P2579">
        <v>2578</v>
      </c>
      <c r="Q2579">
        <v>-561432</v>
      </c>
      <c r="S2579">
        <v>-584259</v>
      </c>
    </row>
    <row r="2580" spans="16:19" x14ac:dyDescent="0.3">
      <c r="P2580">
        <v>2579</v>
      </c>
      <c r="Q2580">
        <v>31733</v>
      </c>
      <c r="S2580">
        <v>-217511</v>
      </c>
    </row>
    <row r="2581" spans="16:19" x14ac:dyDescent="0.3">
      <c r="P2581">
        <v>2580</v>
      </c>
      <c r="Q2581">
        <v>227163</v>
      </c>
      <c r="S2581">
        <v>644075</v>
      </c>
    </row>
    <row r="2582" spans="16:19" x14ac:dyDescent="0.3">
      <c r="P2582">
        <v>2581</v>
      </c>
      <c r="Q2582">
        <v>-494549</v>
      </c>
      <c r="S2582">
        <v>-681518</v>
      </c>
    </row>
    <row r="2583" spans="16:19" x14ac:dyDescent="0.3">
      <c r="P2583">
        <v>2582</v>
      </c>
      <c r="Q2583">
        <v>-436996</v>
      </c>
      <c r="S2583">
        <v>-633933</v>
      </c>
    </row>
    <row r="2584" spans="16:19" x14ac:dyDescent="0.3">
      <c r="P2584">
        <v>2583</v>
      </c>
      <c r="Q2584">
        <v>-444724</v>
      </c>
      <c r="S2584">
        <v>426508</v>
      </c>
    </row>
    <row r="2585" spans="16:19" x14ac:dyDescent="0.3">
      <c r="P2585">
        <v>2584</v>
      </c>
      <c r="Q2585">
        <v>164265</v>
      </c>
      <c r="S2585">
        <v>-109111</v>
      </c>
    </row>
    <row r="2586" spans="16:19" x14ac:dyDescent="0.3">
      <c r="P2586">
        <v>2585</v>
      </c>
      <c r="Q2586">
        <v>190615</v>
      </c>
      <c r="S2586">
        <v>245723</v>
      </c>
    </row>
    <row r="2587" spans="16:19" x14ac:dyDescent="0.3">
      <c r="P2587">
        <v>2586</v>
      </c>
      <c r="Q2587">
        <v>749902</v>
      </c>
      <c r="S2587">
        <v>132656</v>
      </c>
    </row>
    <row r="2588" spans="16:19" x14ac:dyDescent="0.3">
      <c r="P2588">
        <v>2587</v>
      </c>
      <c r="Q2588">
        <v>290421</v>
      </c>
      <c r="S2588">
        <v>326676</v>
      </c>
    </row>
    <row r="2589" spans="16:19" x14ac:dyDescent="0.3">
      <c r="P2589">
        <v>2588</v>
      </c>
      <c r="Q2589">
        <v>-130077</v>
      </c>
      <c r="S2589">
        <v>-543230</v>
      </c>
    </row>
    <row r="2590" spans="16:19" x14ac:dyDescent="0.3">
      <c r="P2590">
        <v>2589</v>
      </c>
      <c r="Q2590">
        <v>862807</v>
      </c>
      <c r="S2590">
        <v>352116</v>
      </c>
    </row>
    <row r="2591" spans="16:19" x14ac:dyDescent="0.3">
      <c r="P2591">
        <v>2590</v>
      </c>
      <c r="Q2591">
        <v>354414</v>
      </c>
      <c r="S2591">
        <v>473425</v>
      </c>
    </row>
    <row r="2592" spans="16:19" x14ac:dyDescent="0.3">
      <c r="P2592">
        <v>2591</v>
      </c>
      <c r="Q2592">
        <v>-227211</v>
      </c>
      <c r="S2592">
        <v>-18271</v>
      </c>
    </row>
    <row r="2593" spans="16:19" x14ac:dyDescent="0.3">
      <c r="P2593">
        <v>2592</v>
      </c>
      <c r="Q2593">
        <v>-377390</v>
      </c>
      <c r="S2593">
        <v>141750</v>
      </c>
    </row>
    <row r="2594" spans="16:19" x14ac:dyDescent="0.3">
      <c r="P2594">
        <v>2593</v>
      </c>
      <c r="Q2594">
        <v>745746</v>
      </c>
      <c r="S2594">
        <v>-564602</v>
      </c>
    </row>
    <row r="2595" spans="16:19" x14ac:dyDescent="0.3">
      <c r="P2595">
        <v>2594</v>
      </c>
      <c r="Q2595">
        <v>64429</v>
      </c>
      <c r="S2595">
        <v>40034</v>
      </c>
    </row>
    <row r="2596" spans="16:19" x14ac:dyDescent="0.3">
      <c r="P2596">
        <v>2595</v>
      </c>
      <c r="Q2596">
        <v>14869</v>
      </c>
      <c r="S2596">
        <v>130973</v>
      </c>
    </row>
    <row r="2597" spans="16:19" x14ac:dyDescent="0.3">
      <c r="P2597">
        <v>2596</v>
      </c>
      <c r="Q2597">
        <v>235686</v>
      </c>
      <c r="S2597">
        <v>264837</v>
      </c>
    </row>
    <row r="2598" spans="16:19" x14ac:dyDescent="0.3">
      <c r="P2598">
        <v>2597</v>
      </c>
      <c r="Q2598">
        <v>72098</v>
      </c>
      <c r="S2598">
        <v>-642181</v>
      </c>
    </row>
    <row r="2599" spans="16:19" x14ac:dyDescent="0.3">
      <c r="P2599">
        <v>2598</v>
      </c>
      <c r="Q2599">
        <v>385310</v>
      </c>
      <c r="S2599">
        <v>476377</v>
      </c>
    </row>
    <row r="2600" spans="16:19" x14ac:dyDescent="0.3">
      <c r="P2600">
        <v>2599</v>
      </c>
      <c r="Q2600">
        <v>-544631</v>
      </c>
      <c r="S2600">
        <v>-826252</v>
      </c>
    </row>
    <row r="2601" spans="16:19" x14ac:dyDescent="0.3">
      <c r="P2601">
        <v>2600</v>
      </c>
      <c r="Q2601">
        <v>349486</v>
      </c>
      <c r="S2601">
        <v>88351</v>
      </c>
    </row>
    <row r="2602" spans="16:19" x14ac:dyDescent="0.3">
      <c r="P2602">
        <v>2601</v>
      </c>
      <c r="Q2602">
        <v>675844</v>
      </c>
      <c r="S2602">
        <v>116917</v>
      </c>
    </row>
    <row r="2603" spans="16:19" x14ac:dyDescent="0.3">
      <c r="P2603">
        <v>2602</v>
      </c>
      <c r="Q2603">
        <v>-206476</v>
      </c>
      <c r="S2603">
        <v>777469</v>
      </c>
    </row>
    <row r="2604" spans="16:19" x14ac:dyDescent="0.3">
      <c r="P2604">
        <v>2603</v>
      </c>
      <c r="Q2604">
        <v>430397</v>
      </c>
      <c r="S2604">
        <v>-44009</v>
      </c>
    </row>
    <row r="2605" spans="16:19" x14ac:dyDescent="0.3">
      <c r="P2605">
        <v>2604</v>
      </c>
      <c r="Q2605">
        <v>93251</v>
      </c>
      <c r="S2605">
        <v>-412584</v>
      </c>
    </row>
    <row r="2606" spans="16:19" x14ac:dyDescent="0.3">
      <c r="P2606">
        <v>2605</v>
      </c>
      <c r="Q2606">
        <v>22113</v>
      </c>
      <c r="S2606">
        <v>-550717</v>
      </c>
    </row>
    <row r="2607" spans="16:19" x14ac:dyDescent="0.3">
      <c r="P2607">
        <v>2606</v>
      </c>
      <c r="Q2607">
        <v>-358028</v>
      </c>
      <c r="S2607">
        <v>113589</v>
      </c>
    </row>
    <row r="2608" spans="16:19" x14ac:dyDescent="0.3">
      <c r="P2608">
        <v>2607</v>
      </c>
      <c r="Q2608">
        <v>-707495</v>
      </c>
      <c r="S2608">
        <v>423161</v>
      </c>
    </row>
    <row r="2609" spans="16:19" x14ac:dyDescent="0.3">
      <c r="P2609">
        <v>2608</v>
      </c>
      <c r="Q2609">
        <v>-574866</v>
      </c>
      <c r="S2609">
        <v>571288</v>
      </c>
    </row>
    <row r="2610" spans="16:19" x14ac:dyDescent="0.3">
      <c r="P2610">
        <v>2609</v>
      </c>
      <c r="Q2610">
        <v>-363355</v>
      </c>
      <c r="S2610">
        <v>-629240</v>
      </c>
    </row>
    <row r="2611" spans="16:19" x14ac:dyDescent="0.3">
      <c r="P2611">
        <v>2610</v>
      </c>
      <c r="Q2611">
        <v>26006</v>
      </c>
      <c r="S2611">
        <v>-722126</v>
      </c>
    </row>
    <row r="2612" spans="16:19" x14ac:dyDescent="0.3">
      <c r="P2612">
        <v>2611</v>
      </c>
      <c r="Q2612">
        <v>-456418</v>
      </c>
      <c r="S2612">
        <v>679418</v>
      </c>
    </row>
    <row r="2613" spans="16:19" x14ac:dyDescent="0.3">
      <c r="P2613">
        <v>2612</v>
      </c>
      <c r="Q2613">
        <v>-349277</v>
      </c>
      <c r="S2613">
        <v>415767</v>
      </c>
    </row>
    <row r="2614" spans="16:19" x14ac:dyDescent="0.3">
      <c r="P2614">
        <v>2613</v>
      </c>
      <c r="Q2614">
        <v>814077</v>
      </c>
      <c r="S2614">
        <v>476315</v>
      </c>
    </row>
    <row r="2615" spans="16:19" x14ac:dyDescent="0.3">
      <c r="P2615">
        <v>2614</v>
      </c>
      <c r="Q2615">
        <v>166252</v>
      </c>
      <c r="S2615">
        <v>23880</v>
      </c>
    </row>
    <row r="2616" spans="16:19" x14ac:dyDescent="0.3">
      <c r="P2616">
        <v>2615</v>
      </c>
      <c r="Q2616">
        <v>365077</v>
      </c>
      <c r="S2616">
        <v>-273644</v>
      </c>
    </row>
    <row r="2617" spans="16:19" x14ac:dyDescent="0.3">
      <c r="P2617">
        <v>2616</v>
      </c>
      <c r="Q2617">
        <v>-263344</v>
      </c>
      <c r="S2617">
        <v>-195215</v>
      </c>
    </row>
    <row r="2618" spans="16:19" x14ac:dyDescent="0.3">
      <c r="P2618">
        <v>2617</v>
      </c>
      <c r="Q2618">
        <v>-700120</v>
      </c>
      <c r="S2618">
        <v>322209</v>
      </c>
    </row>
    <row r="2619" spans="16:19" x14ac:dyDescent="0.3">
      <c r="P2619">
        <v>2618</v>
      </c>
      <c r="Q2619">
        <v>529406</v>
      </c>
      <c r="S2619">
        <v>-171983</v>
      </c>
    </row>
    <row r="2620" spans="16:19" x14ac:dyDescent="0.3">
      <c r="P2620">
        <v>2619</v>
      </c>
      <c r="Q2620">
        <v>-290357</v>
      </c>
      <c r="S2620">
        <v>-338400</v>
      </c>
    </row>
    <row r="2621" spans="16:19" x14ac:dyDescent="0.3">
      <c r="P2621">
        <v>2620</v>
      </c>
      <c r="Q2621">
        <v>561888</v>
      </c>
      <c r="S2621">
        <v>-21531</v>
      </c>
    </row>
    <row r="2622" spans="16:19" x14ac:dyDescent="0.3">
      <c r="P2622">
        <v>2621</v>
      </c>
      <c r="Q2622">
        <v>-50953</v>
      </c>
      <c r="S2622">
        <v>514539</v>
      </c>
    </row>
    <row r="2623" spans="16:19" x14ac:dyDescent="0.3">
      <c r="P2623">
        <v>2622</v>
      </c>
      <c r="Q2623">
        <v>531135</v>
      </c>
      <c r="S2623">
        <v>-100542</v>
      </c>
    </row>
    <row r="2624" spans="16:19" x14ac:dyDescent="0.3">
      <c r="P2624">
        <v>2623</v>
      </c>
      <c r="Q2624">
        <v>514032</v>
      </c>
      <c r="S2624">
        <v>-319980</v>
      </c>
    </row>
    <row r="2625" spans="16:19" x14ac:dyDescent="0.3">
      <c r="P2625">
        <v>2624</v>
      </c>
      <c r="Q2625">
        <v>-538802</v>
      </c>
      <c r="S2625">
        <v>391023</v>
      </c>
    </row>
    <row r="2626" spans="16:19" x14ac:dyDescent="0.3">
      <c r="P2626">
        <v>2625</v>
      </c>
      <c r="Q2626">
        <v>-110570</v>
      </c>
      <c r="S2626">
        <v>80834</v>
      </c>
    </row>
    <row r="2627" spans="16:19" x14ac:dyDescent="0.3">
      <c r="P2627">
        <v>2626</v>
      </c>
      <c r="Q2627">
        <v>715828</v>
      </c>
      <c r="S2627">
        <v>272988</v>
      </c>
    </row>
    <row r="2628" spans="16:19" x14ac:dyDescent="0.3">
      <c r="P2628">
        <v>2627</v>
      </c>
      <c r="Q2628">
        <v>140819</v>
      </c>
      <c r="S2628">
        <v>123803</v>
      </c>
    </row>
    <row r="2629" spans="16:19" x14ac:dyDescent="0.3">
      <c r="P2629">
        <v>2628</v>
      </c>
      <c r="Q2629">
        <v>74738</v>
      </c>
      <c r="S2629">
        <v>-28454</v>
      </c>
    </row>
    <row r="2630" spans="16:19" x14ac:dyDescent="0.3">
      <c r="P2630">
        <v>2629</v>
      </c>
      <c r="Q2630">
        <v>710576</v>
      </c>
      <c r="S2630">
        <v>-534002</v>
      </c>
    </row>
    <row r="2631" spans="16:19" x14ac:dyDescent="0.3">
      <c r="P2631">
        <v>2630</v>
      </c>
      <c r="Q2631">
        <v>719656</v>
      </c>
      <c r="S2631">
        <v>-76497</v>
      </c>
    </row>
    <row r="2632" spans="16:19" x14ac:dyDescent="0.3">
      <c r="P2632">
        <v>2631</v>
      </c>
      <c r="Q2632">
        <v>-377949</v>
      </c>
      <c r="S2632">
        <v>-340118</v>
      </c>
    </row>
    <row r="2633" spans="16:19" x14ac:dyDescent="0.3">
      <c r="P2633">
        <v>2632</v>
      </c>
      <c r="Q2633">
        <v>326730</v>
      </c>
      <c r="S2633">
        <v>382787</v>
      </c>
    </row>
    <row r="2634" spans="16:19" x14ac:dyDescent="0.3">
      <c r="P2634">
        <v>2633</v>
      </c>
      <c r="Q2634">
        <v>302819</v>
      </c>
      <c r="S2634">
        <v>-725768</v>
      </c>
    </row>
    <row r="2635" spans="16:19" x14ac:dyDescent="0.3">
      <c r="P2635">
        <v>2634</v>
      </c>
      <c r="Q2635">
        <v>-417285</v>
      </c>
      <c r="S2635">
        <v>-553731</v>
      </c>
    </row>
    <row r="2636" spans="16:19" x14ac:dyDescent="0.3">
      <c r="P2636">
        <v>2635</v>
      </c>
      <c r="Q2636">
        <v>-5321</v>
      </c>
      <c r="S2636">
        <v>-44062</v>
      </c>
    </row>
    <row r="2637" spans="16:19" x14ac:dyDescent="0.3">
      <c r="P2637">
        <v>2636</v>
      </c>
      <c r="Q2637">
        <v>329010</v>
      </c>
      <c r="S2637">
        <v>-169766</v>
      </c>
    </row>
    <row r="2638" spans="16:19" x14ac:dyDescent="0.3">
      <c r="P2638">
        <v>2637</v>
      </c>
      <c r="Q2638">
        <v>-51293</v>
      </c>
      <c r="S2638">
        <v>1017637</v>
      </c>
    </row>
    <row r="2639" spans="16:19" x14ac:dyDescent="0.3">
      <c r="P2639">
        <v>2638</v>
      </c>
      <c r="Q2639">
        <v>-326697</v>
      </c>
      <c r="S2639">
        <v>914076</v>
      </c>
    </row>
    <row r="2640" spans="16:19" x14ac:dyDescent="0.3">
      <c r="P2640">
        <v>2639</v>
      </c>
      <c r="Q2640">
        <v>-263416</v>
      </c>
      <c r="S2640">
        <v>-585666</v>
      </c>
    </row>
    <row r="2641" spans="16:19" x14ac:dyDescent="0.3">
      <c r="P2641">
        <v>2640</v>
      </c>
      <c r="Q2641">
        <v>157664</v>
      </c>
      <c r="S2641">
        <v>299404</v>
      </c>
    </row>
    <row r="2642" spans="16:19" x14ac:dyDescent="0.3">
      <c r="P2642">
        <v>2641</v>
      </c>
      <c r="Q2642">
        <v>-168714</v>
      </c>
      <c r="S2642">
        <v>-75988</v>
      </c>
    </row>
    <row r="2643" spans="16:19" x14ac:dyDescent="0.3">
      <c r="P2643">
        <v>2642</v>
      </c>
      <c r="Q2643">
        <v>-164757</v>
      </c>
      <c r="S2643">
        <v>409545</v>
      </c>
    </row>
    <row r="2644" spans="16:19" x14ac:dyDescent="0.3">
      <c r="P2644">
        <v>2643</v>
      </c>
      <c r="Q2644">
        <v>-439134</v>
      </c>
      <c r="S2644">
        <v>531991</v>
      </c>
    </row>
    <row r="2645" spans="16:19" x14ac:dyDescent="0.3">
      <c r="P2645">
        <v>2644</v>
      </c>
      <c r="Q2645">
        <v>-355212</v>
      </c>
      <c r="S2645">
        <v>135792</v>
      </c>
    </row>
    <row r="2646" spans="16:19" x14ac:dyDescent="0.3">
      <c r="P2646">
        <v>2645</v>
      </c>
      <c r="Q2646">
        <v>719057</v>
      </c>
      <c r="S2646">
        <v>-107603</v>
      </c>
    </row>
    <row r="2647" spans="16:19" x14ac:dyDescent="0.3">
      <c r="P2647">
        <v>2646</v>
      </c>
      <c r="Q2647">
        <v>851154</v>
      </c>
      <c r="S2647">
        <v>-103928</v>
      </c>
    </row>
    <row r="2648" spans="16:19" x14ac:dyDescent="0.3">
      <c r="P2648">
        <v>2647</v>
      </c>
      <c r="Q2648">
        <v>-608607</v>
      </c>
      <c r="S2648">
        <v>-512056</v>
      </c>
    </row>
    <row r="2649" spans="16:19" x14ac:dyDescent="0.3">
      <c r="P2649">
        <v>2648</v>
      </c>
      <c r="Q2649">
        <v>191133</v>
      </c>
      <c r="S2649">
        <v>-211153</v>
      </c>
    </row>
    <row r="2650" spans="16:19" x14ac:dyDescent="0.3">
      <c r="P2650">
        <v>2649</v>
      </c>
      <c r="Q2650">
        <v>-119427</v>
      </c>
      <c r="S2650">
        <v>5865</v>
      </c>
    </row>
    <row r="2651" spans="16:19" x14ac:dyDescent="0.3">
      <c r="P2651">
        <v>2650</v>
      </c>
      <c r="Q2651">
        <v>526947</v>
      </c>
      <c r="S2651">
        <v>95685</v>
      </c>
    </row>
    <row r="2652" spans="16:19" x14ac:dyDescent="0.3">
      <c r="P2652">
        <v>2651</v>
      </c>
      <c r="Q2652">
        <v>236637</v>
      </c>
      <c r="S2652">
        <v>95410</v>
      </c>
    </row>
    <row r="2653" spans="16:19" x14ac:dyDescent="0.3">
      <c r="P2653">
        <v>2652</v>
      </c>
      <c r="Q2653">
        <v>-311250</v>
      </c>
      <c r="S2653">
        <v>-159719</v>
      </c>
    </row>
    <row r="2654" spans="16:19" x14ac:dyDescent="0.3">
      <c r="P2654">
        <v>2653</v>
      </c>
      <c r="Q2654">
        <v>515273</v>
      </c>
      <c r="S2654">
        <v>-180442</v>
      </c>
    </row>
    <row r="2655" spans="16:19" x14ac:dyDescent="0.3">
      <c r="P2655">
        <v>2654</v>
      </c>
      <c r="Q2655">
        <v>531375</v>
      </c>
      <c r="S2655">
        <v>726591</v>
      </c>
    </row>
    <row r="2656" spans="16:19" x14ac:dyDescent="0.3">
      <c r="P2656">
        <v>2655</v>
      </c>
      <c r="Q2656">
        <v>-438374</v>
      </c>
      <c r="S2656">
        <v>101208</v>
      </c>
    </row>
    <row r="2657" spans="16:19" x14ac:dyDescent="0.3">
      <c r="P2657">
        <v>2656</v>
      </c>
      <c r="Q2657">
        <v>-419227</v>
      </c>
      <c r="S2657">
        <v>-341203</v>
      </c>
    </row>
    <row r="2658" spans="16:19" x14ac:dyDescent="0.3">
      <c r="P2658">
        <v>2657</v>
      </c>
      <c r="Q2658">
        <v>2699</v>
      </c>
      <c r="S2658">
        <v>211224</v>
      </c>
    </row>
    <row r="2659" spans="16:19" x14ac:dyDescent="0.3">
      <c r="P2659">
        <v>2658</v>
      </c>
      <c r="Q2659">
        <v>504157</v>
      </c>
      <c r="S2659">
        <v>-373849</v>
      </c>
    </row>
    <row r="2660" spans="16:19" x14ac:dyDescent="0.3">
      <c r="P2660">
        <v>2659</v>
      </c>
      <c r="Q2660">
        <v>352736</v>
      </c>
      <c r="S2660">
        <v>344923</v>
      </c>
    </row>
    <row r="2661" spans="16:19" x14ac:dyDescent="0.3">
      <c r="P2661">
        <v>2660</v>
      </c>
      <c r="Q2661">
        <v>-553007</v>
      </c>
      <c r="S2661">
        <v>-41506</v>
      </c>
    </row>
    <row r="2662" spans="16:19" x14ac:dyDescent="0.3">
      <c r="P2662">
        <v>2661</v>
      </c>
      <c r="Q2662">
        <v>154424</v>
      </c>
      <c r="S2662">
        <v>-102002</v>
      </c>
    </row>
    <row r="2663" spans="16:19" x14ac:dyDescent="0.3">
      <c r="P2663">
        <v>2662</v>
      </c>
      <c r="Q2663">
        <v>572214</v>
      </c>
      <c r="S2663">
        <v>275842</v>
      </c>
    </row>
    <row r="2664" spans="16:19" x14ac:dyDescent="0.3">
      <c r="P2664">
        <v>2663</v>
      </c>
      <c r="Q2664">
        <v>-106555</v>
      </c>
      <c r="S2664">
        <v>335772</v>
      </c>
    </row>
    <row r="2665" spans="16:19" x14ac:dyDescent="0.3">
      <c r="P2665">
        <v>2664</v>
      </c>
      <c r="Q2665">
        <v>-533141</v>
      </c>
      <c r="S2665">
        <v>881875</v>
      </c>
    </row>
    <row r="2666" spans="16:19" x14ac:dyDescent="0.3">
      <c r="P2666">
        <v>2665</v>
      </c>
      <c r="Q2666">
        <v>-27946</v>
      </c>
      <c r="S2666">
        <v>-71009</v>
      </c>
    </row>
    <row r="2667" spans="16:19" x14ac:dyDescent="0.3">
      <c r="P2667">
        <v>2666</v>
      </c>
      <c r="Q2667">
        <v>-194559</v>
      </c>
      <c r="S2667">
        <v>-268441</v>
      </c>
    </row>
    <row r="2668" spans="16:19" x14ac:dyDescent="0.3">
      <c r="P2668">
        <v>2667</v>
      </c>
      <c r="Q2668">
        <v>480439</v>
      </c>
      <c r="S2668">
        <v>-48352</v>
      </c>
    </row>
    <row r="2669" spans="16:19" x14ac:dyDescent="0.3">
      <c r="P2669">
        <v>2668</v>
      </c>
      <c r="Q2669">
        <v>342484</v>
      </c>
      <c r="S2669">
        <v>653436</v>
      </c>
    </row>
    <row r="2670" spans="16:19" x14ac:dyDescent="0.3">
      <c r="P2670">
        <v>2669</v>
      </c>
      <c r="Q2670">
        <v>240906</v>
      </c>
      <c r="S2670">
        <v>-28541</v>
      </c>
    </row>
    <row r="2671" spans="16:19" x14ac:dyDescent="0.3">
      <c r="P2671">
        <v>2670</v>
      </c>
      <c r="Q2671">
        <v>-600664</v>
      </c>
      <c r="S2671">
        <v>851446</v>
      </c>
    </row>
    <row r="2672" spans="16:19" x14ac:dyDescent="0.3">
      <c r="P2672">
        <v>2671</v>
      </c>
      <c r="Q2672">
        <v>18280</v>
      </c>
      <c r="S2672">
        <v>-35258</v>
      </c>
    </row>
    <row r="2673" spans="16:19" x14ac:dyDescent="0.3">
      <c r="P2673">
        <v>2672</v>
      </c>
      <c r="Q2673">
        <v>-379005</v>
      </c>
      <c r="S2673">
        <v>-589293</v>
      </c>
    </row>
    <row r="2674" spans="16:19" x14ac:dyDescent="0.3">
      <c r="P2674">
        <v>2673</v>
      </c>
      <c r="Q2674">
        <v>-378489</v>
      </c>
      <c r="S2674">
        <v>324294</v>
      </c>
    </row>
    <row r="2675" spans="16:19" x14ac:dyDescent="0.3">
      <c r="P2675">
        <v>2674</v>
      </c>
      <c r="Q2675">
        <v>330528</v>
      </c>
      <c r="S2675">
        <v>280285</v>
      </c>
    </row>
    <row r="2676" spans="16:19" x14ac:dyDescent="0.3">
      <c r="P2676">
        <v>2675</v>
      </c>
      <c r="Q2676">
        <v>-78691</v>
      </c>
      <c r="S2676">
        <v>-335356</v>
      </c>
    </row>
    <row r="2677" spans="16:19" x14ac:dyDescent="0.3">
      <c r="P2677">
        <v>2676</v>
      </c>
      <c r="Q2677">
        <v>-316174</v>
      </c>
      <c r="S2677">
        <v>-246767</v>
      </c>
    </row>
    <row r="2678" spans="16:19" x14ac:dyDescent="0.3">
      <c r="P2678">
        <v>2677</v>
      </c>
      <c r="Q2678">
        <v>8810</v>
      </c>
      <c r="S2678">
        <v>-417027</v>
      </c>
    </row>
    <row r="2679" spans="16:19" x14ac:dyDescent="0.3">
      <c r="P2679">
        <v>2678</v>
      </c>
      <c r="Q2679">
        <v>530734</v>
      </c>
      <c r="S2679">
        <v>347815</v>
      </c>
    </row>
    <row r="2680" spans="16:19" x14ac:dyDescent="0.3">
      <c r="P2680">
        <v>2679</v>
      </c>
      <c r="Q2680">
        <v>-245930</v>
      </c>
      <c r="S2680">
        <v>626451</v>
      </c>
    </row>
    <row r="2681" spans="16:19" x14ac:dyDescent="0.3">
      <c r="P2681">
        <v>2680</v>
      </c>
      <c r="Q2681">
        <v>-699362</v>
      </c>
      <c r="S2681">
        <v>3002</v>
      </c>
    </row>
    <row r="2682" spans="16:19" x14ac:dyDescent="0.3">
      <c r="P2682">
        <v>2681</v>
      </c>
      <c r="Q2682">
        <v>328549</v>
      </c>
      <c r="S2682">
        <v>-591172</v>
      </c>
    </row>
    <row r="2683" spans="16:19" x14ac:dyDescent="0.3">
      <c r="P2683">
        <v>2682</v>
      </c>
      <c r="Q2683">
        <v>89927</v>
      </c>
      <c r="S2683">
        <v>549647</v>
      </c>
    </row>
    <row r="2684" spans="16:19" x14ac:dyDescent="0.3">
      <c r="P2684">
        <v>2683</v>
      </c>
      <c r="Q2684">
        <v>678945</v>
      </c>
      <c r="S2684">
        <v>-444200</v>
      </c>
    </row>
    <row r="2685" spans="16:19" x14ac:dyDescent="0.3">
      <c r="P2685">
        <v>2684</v>
      </c>
      <c r="Q2685">
        <v>-345300</v>
      </c>
      <c r="S2685">
        <v>166668</v>
      </c>
    </row>
    <row r="2686" spans="16:19" x14ac:dyDescent="0.3">
      <c r="P2686">
        <v>2685</v>
      </c>
      <c r="Q2686">
        <v>-7996</v>
      </c>
      <c r="S2686">
        <v>512611</v>
      </c>
    </row>
    <row r="2687" spans="16:19" x14ac:dyDescent="0.3">
      <c r="P2687">
        <v>2686</v>
      </c>
      <c r="Q2687">
        <v>-19329</v>
      </c>
      <c r="S2687">
        <v>-150437</v>
      </c>
    </row>
    <row r="2688" spans="16:19" x14ac:dyDescent="0.3">
      <c r="P2688">
        <v>2687</v>
      </c>
      <c r="Q2688">
        <v>214673</v>
      </c>
      <c r="S2688">
        <v>373789</v>
      </c>
    </row>
    <row r="2689" spans="16:19" x14ac:dyDescent="0.3">
      <c r="P2689">
        <v>2688</v>
      </c>
      <c r="Q2689">
        <v>372662</v>
      </c>
      <c r="S2689">
        <v>-211707</v>
      </c>
    </row>
    <row r="2690" spans="16:19" x14ac:dyDescent="0.3">
      <c r="P2690">
        <v>2689</v>
      </c>
      <c r="Q2690">
        <v>-165659</v>
      </c>
      <c r="S2690">
        <v>-342193</v>
      </c>
    </row>
    <row r="2691" spans="16:19" x14ac:dyDescent="0.3">
      <c r="P2691">
        <v>2690</v>
      </c>
      <c r="Q2691">
        <v>77662</v>
      </c>
      <c r="S2691">
        <v>-343136</v>
      </c>
    </row>
    <row r="2692" spans="16:19" x14ac:dyDescent="0.3">
      <c r="P2692">
        <v>2691</v>
      </c>
      <c r="Q2692">
        <v>834931</v>
      </c>
      <c r="S2692">
        <v>-37390</v>
      </c>
    </row>
    <row r="2693" spans="16:19" x14ac:dyDescent="0.3">
      <c r="P2693">
        <v>2692</v>
      </c>
      <c r="Q2693">
        <v>443666</v>
      </c>
      <c r="S2693">
        <v>-61694</v>
      </c>
    </row>
    <row r="2694" spans="16:19" x14ac:dyDescent="0.3">
      <c r="P2694">
        <v>2693</v>
      </c>
      <c r="Q2694">
        <v>-291826</v>
      </c>
      <c r="S2694">
        <v>454393</v>
      </c>
    </row>
    <row r="2695" spans="16:19" x14ac:dyDescent="0.3">
      <c r="P2695">
        <v>2694</v>
      </c>
      <c r="Q2695">
        <v>-58528</v>
      </c>
      <c r="S2695">
        <v>468842</v>
      </c>
    </row>
    <row r="2696" spans="16:19" x14ac:dyDescent="0.3">
      <c r="P2696">
        <v>2695</v>
      </c>
      <c r="Q2696">
        <v>515212</v>
      </c>
      <c r="S2696">
        <v>-537639</v>
      </c>
    </row>
    <row r="2697" spans="16:19" x14ac:dyDescent="0.3">
      <c r="P2697">
        <v>2696</v>
      </c>
      <c r="Q2697">
        <v>-7451</v>
      </c>
      <c r="S2697">
        <v>-650660</v>
      </c>
    </row>
    <row r="2698" spans="16:19" x14ac:dyDescent="0.3">
      <c r="P2698">
        <v>2697</v>
      </c>
      <c r="Q2698">
        <v>-554345</v>
      </c>
      <c r="S2698">
        <v>-287983</v>
      </c>
    </row>
    <row r="2699" spans="16:19" x14ac:dyDescent="0.3">
      <c r="P2699">
        <v>2698</v>
      </c>
      <c r="Q2699">
        <v>356143</v>
      </c>
      <c r="S2699">
        <v>123159</v>
      </c>
    </row>
    <row r="2700" spans="16:19" x14ac:dyDescent="0.3">
      <c r="P2700">
        <v>2699</v>
      </c>
      <c r="Q2700">
        <v>-465414</v>
      </c>
      <c r="S2700">
        <v>-480793</v>
      </c>
    </row>
    <row r="2701" spans="16:19" x14ac:dyDescent="0.3">
      <c r="P2701">
        <v>2700</v>
      </c>
      <c r="Q2701">
        <v>217053</v>
      </c>
      <c r="S2701">
        <v>-596039</v>
      </c>
    </row>
    <row r="2702" spans="16:19" x14ac:dyDescent="0.3">
      <c r="P2702">
        <v>2701</v>
      </c>
      <c r="Q2702">
        <v>-390227</v>
      </c>
      <c r="S2702">
        <v>225086</v>
      </c>
    </row>
    <row r="2703" spans="16:19" x14ac:dyDescent="0.3">
      <c r="P2703">
        <v>2702</v>
      </c>
      <c r="Q2703">
        <v>130405</v>
      </c>
      <c r="S2703">
        <v>237805</v>
      </c>
    </row>
    <row r="2704" spans="16:19" x14ac:dyDescent="0.3">
      <c r="P2704">
        <v>2703</v>
      </c>
      <c r="Q2704">
        <v>228938</v>
      </c>
      <c r="S2704">
        <v>-66571</v>
      </c>
    </row>
    <row r="2705" spans="16:19" x14ac:dyDescent="0.3">
      <c r="P2705">
        <v>2704</v>
      </c>
      <c r="Q2705">
        <v>561478</v>
      </c>
      <c r="S2705">
        <v>107357</v>
      </c>
    </row>
    <row r="2706" spans="16:19" x14ac:dyDescent="0.3">
      <c r="P2706">
        <v>2705</v>
      </c>
      <c r="Q2706">
        <v>36923</v>
      </c>
      <c r="S2706">
        <v>-73412</v>
      </c>
    </row>
    <row r="2707" spans="16:19" x14ac:dyDescent="0.3">
      <c r="P2707">
        <v>2706</v>
      </c>
      <c r="Q2707">
        <v>266702</v>
      </c>
      <c r="S2707">
        <v>-227106</v>
      </c>
    </row>
    <row r="2708" spans="16:19" x14ac:dyDescent="0.3">
      <c r="P2708">
        <v>2707</v>
      </c>
      <c r="Q2708">
        <v>-304423</v>
      </c>
      <c r="S2708">
        <v>-614343</v>
      </c>
    </row>
    <row r="2709" spans="16:19" x14ac:dyDescent="0.3">
      <c r="P2709">
        <v>2708</v>
      </c>
      <c r="Q2709">
        <v>414403</v>
      </c>
      <c r="S2709">
        <v>416944</v>
      </c>
    </row>
    <row r="2710" spans="16:19" x14ac:dyDescent="0.3">
      <c r="P2710">
        <v>2709</v>
      </c>
      <c r="Q2710">
        <v>753224</v>
      </c>
      <c r="S2710">
        <v>-207741</v>
      </c>
    </row>
    <row r="2711" spans="16:19" x14ac:dyDescent="0.3">
      <c r="P2711">
        <v>2710</v>
      </c>
      <c r="Q2711">
        <v>-99226</v>
      </c>
      <c r="S2711">
        <v>200099</v>
      </c>
    </row>
    <row r="2712" spans="16:19" x14ac:dyDescent="0.3">
      <c r="P2712">
        <v>2711</v>
      </c>
      <c r="Q2712">
        <v>346459</v>
      </c>
      <c r="S2712">
        <v>-260226</v>
      </c>
    </row>
    <row r="2713" spans="16:19" x14ac:dyDescent="0.3">
      <c r="P2713">
        <v>2712</v>
      </c>
      <c r="Q2713">
        <v>405012</v>
      </c>
      <c r="S2713">
        <v>-799533</v>
      </c>
    </row>
    <row r="2714" spans="16:19" x14ac:dyDescent="0.3">
      <c r="P2714">
        <v>2713</v>
      </c>
      <c r="Q2714">
        <v>397371</v>
      </c>
      <c r="S2714">
        <v>541528</v>
      </c>
    </row>
    <row r="2715" spans="16:19" x14ac:dyDescent="0.3">
      <c r="P2715">
        <v>2714</v>
      </c>
      <c r="Q2715">
        <v>290720</v>
      </c>
      <c r="S2715">
        <v>-201676</v>
      </c>
    </row>
    <row r="2716" spans="16:19" x14ac:dyDescent="0.3">
      <c r="P2716">
        <v>2715</v>
      </c>
      <c r="Q2716">
        <v>48919</v>
      </c>
      <c r="S2716">
        <v>417706</v>
      </c>
    </row>
    <row r="2717" spans="16:19" x14ac:dyDescent="0.3">
      <c r="P2717">
        <v>2716</v>
      </c>
      <c r="Q2717">
        <v>-197908</v>
      </c>
      <c r="S2717">
        <v>-463610</v>
      </c>
    </row>
    <row r="2718" spans="16:19" x14ac:dyDescent="0.3">
      <c r="P2718">
        <v>2717</v>
      </c>
      <c r="Q2718">
        <v>-83637</v>
      </c>
      <c r="S2718">
        <v>803488</v>
      </c>
    </row>
    <row r="2719" spans="16:19" x14ac:dyDescent="0.3">
      <c r="P2719">
        <v>2718</v>
      </c>
      <c r="Q2719">
        <v>209780</v>
      </c>
      <c r="S2719">
        <v>689544</v>
      </c>
    </row>
    <row r="2720" spans="16:19" x14ac:dyDescent="0.3">
      <c r="P2720">
        <v>2719</v>
      </c>
      <c r="Q2720">
        <v>856626</v>
      </c>
      <c r="S2720">
        <v>-820627</v>
      </c>
    </row>
    <row r="2721" spans="16:19" x14ac:dyDescent="0.3">
      <c r="P2721">
        <v>2720</v>
      </c>
      <c r="Q2721">
        <v>429312</v>
      </c>
      <c r="S2721">
        <v>-187839</v>
      </c>
    </row>
    <row r="2722" spans="16:19" x14ac:dyDescent="0.3">
      <c r="P2722">
        <v>2721</v>
      </c>
      <c r="Q2722">
        <v>-624602</v>
      </c>
      <c r="S2722">
        <v>-758142</v>
      </c>
    </row>
    <row r="2723" spans="16:19" x14ac:dyDescent="0.3">
      <c r="P2723">
        <v>2722</v>
      </c>
      <c r="Q2723">
        <v>61823</v>
      </c>
      <c r="S2723">
        <v>-105988</v>
      </c>
    </row>
    <row r="2724" spans="16:19" x14ac:dyDescent="0.3">
      <c r="P2724">
        <v>2723</v>
      </c>
      <c r="Q2724">
        <v>-566601</v>
      </c>
      <c r="S2724">
        <v>-168958</v>
      </c>
    </row>
    <row r="2725" spans="16:19" x14ac:dyDescent="0.3">
      <c r="P2725">
        <v>2724</v>
      </c>
      <c r="Q2725">
        <v>212408</v>
      </c>
      <c r="S2725">
        <v>-548928</v>
      </c>
    </row>
    <row r="2726" spans="16:19" x14ac:dyDescent="0.3">
      <c r="P2726">
        <v>2725</v>
      </c>
      <c r="Q2726">
        <v>21232</v>
      </c>
      <c r="S2726">
        <v>165822</v>
      </c>
    </row>
    <row r="2727" spans="16:19" x14ac:dyDescent="0.3">
      <c r="P2727">
        <v>2726</v>
      </c>
      <c r="Q2727">
        <v>512764</v>
      </c>
      <c r="S2727">
        <v>654906</v>
      </c>
    </row>
    <row r="2728" spans="16:19" x14ac:dyDescent="0.3">
      <c r="P2728">
        <v>2727</v>
      </c>
      <c r="Q2728">
        <v>355770</v>
      </c>
      <c r="S2728">
        <v>765961</v>
      </c>
    </row>
    <row r="2729" spans="16:19" x14ac:dyDescent="0.3">
      <c r="P2729">
        <v>2728</v>
      </c>
      <c r="Q2729">
        <v>536158</v>
      </c>
      <c r="S2729">
        <v>166491</v>
      </c>
    </row>
    <row r="2730" spans="16:19" x14ac:dyDescent="0.3">
      <c r="P2730">
        <v>2729</v>
      </c>
      <c r="Q2730">
        <v>587088</v>
      </c>
      <c r="S2730">
        <v>-252312</v>
      </c>
    </row>
    <row r="2731" spans="16:19" x14ac:dyDescent="0.3">
      <c r="P2731">
        <v>2730</v>
      </c>
      <c r="Q2731">
        <v>416283</v>
      </c>
      <c r="S2731">
        <v>-156530</v>
      </c>
    </row>
    <row r="2732" spans="16:19" x14ac:dyDescent="0.3">
      <c r="P2732">
        <v>2731</v>
      </c>
      <c r="Q2732">
        <v>425302</v>
      </c>
      <c r="S2732">
        <v>823618</v>
      </c>
    </row>
    <row r="2733" spans="16:19" x14ac:dyDescent="0.3">
      <c r="P2733">
        <v>2732</v>
      </c>
      <c r="Q2733">
        <v>1064634</v>
      </c>
      <c r="S2733">
        <v>210080</v>
      </c>
    </row>
    <row r="2734" spans="16:19" x14ac:dyDescent="0.3">
      <c r="P2734">
        <v>2733</v>
      </c>
      <c r="Q2734">
        <v>386297</v>
      </c>
      <c r="S2734">
        <v>-102230</v>
      </c>
    </row>
    <row r="2735" spans="16:19" x14ac:dyDescent="0.3">
      <c r="P2735">
        <v>2734</v>
      </c>
      <c r="Q2735">
        <v>293159</v>
      </c>
      <c r="S2735">
        <v>-3591</v>
      </c>
    </row>
    <row r="2736" spans="16:19" x14ac:dyDescent="0.3">
      <c r="P2736">
        <v>2735</v>
      </c>
      <c r="Q2736">
        <v>-176478</v>
      </c>
      <c r="S2736">
        <v>185205</v>
      </c>
    </row>
    <row r="2737" spans="16:19" x14ac:dyDescent="0.3">
      <c r="P2737">
        <v>2736</v>
      </c>
      <c r="Q2737">
        <v>-55967</v>
      </c>
      <c r="S2737">
        <v>-95256</v>
      </c>
    </row>
    <row r="2738" spans="16:19" x14ac:dyDescent="0.3">
      <c r="P2738">
        <v>2737</v>
      </c>
      <c r="Q2738">
        <v>759819</v>
      </c>
      <c r="S2738">
        <v>400632</v>
      </c>
    </row>
    <row r="2739" spans="16:19" x14ac:dyDescent="0.3">
      <c r="P2739">
        <v>2738</v>
      </c>
      <c r="Q2739">
        <v>187062</v>
      </c>
      <c r="S2739">
        <v>-777888</v>
      </c>
    </row>
    <row r="2740" spans="16:19" x14ac:dyDescent="0.3">
      <c r="P2740">
        <v>2739</v>
      </c>
      <c r="Q2740">
        <v>-83674</v>
      </c>
      <c r="S2740">
        <v>663402</v>
      </c>
    </row>
    <row r="2741" spans="16:19" x14ac:dyDescent="0.3">
      <c r="P2741">
        <v>2740</v>
      </c>
      <c r="Q2741">
        <v>-87275</v>
      </c>
      <c r="S2741">
        <v>-89108</v>
      </c>
    </row>
    <row r="2742" spans="16:19" x14ac:dyDescent="0.3">
      <c r="P2742">
        <v>2741</v>
      </c>
      <c r="Q2742">
        <v>571941</v>
      </c>
      <c r="S2742">
        <v>171547</v>
      </c>
    </row>
    <row r="2743" spans="16:19" x14ac:dyDescent="0.3">
      <c r="P2743">
        <v>2742</v>
      </c>
      <c r="Q2743">
        <v>443492</v>
      </c>
      <c r="S2743">
        <v>-199840</v>
      </c>
    </row>
    <row r="2744" spans="16:19" x14ac:dyDescent="0.3">
      <c r="P2744">
        <v>2743</v>
      </c>
      <c r="Q2744">
        <v>288530</v>
      </c>
      <c r="S2744">
        <v>823687</v>
      </c>
    </row>
    <row r="2745" spans="16:19" x14ac:dyDescent="0.3">
      <c r="P2745">
        <v>2744</v>
      </c>
      <c r="Q2745">
        <v>-42428</v>
      </c>
      <c r="S2745">
        <v>-14798</v>
      </c>
    </row>
    <row r="2746" spans="16:19" x14ac:dyDescent="0.3">
      <c r="P2746">
        <v>2745</v>
      </c>
      <c r="Q2746">
        <v>216628</v>
      </c>
      <c r="S2746">
        <v>296497</v>
      </c>
    </row>
    <row r="2747" spans="16:19" x14ac:dyDescent="0.3">
      <c r="P2747">
        <v>2746</v>
      </c>
      <c r="Q2747">
        <v>685449</v>
      </c>
      <c r="S2747">
        <v>310698</v>
      </c>
    </row>
    <row r="2748" spans="16:19" x14ac:dyDescent="0.3">
      <c r="P2748">
        <v>2747</v>
      </c>
      <c r="Q2748">
        <v>209198</v>
      </c>
      <c r="S2748">
        <v>774998</v>
      </c>
    </row>
    <row r="2749" spans="16:19" x14ac:dyDescent="0.3">
      <c r="P2749">
        <v>2748</v>
      </c>
      <c r="Q2749">
        <v>459175</v>
      </c>
      <c r="S2749">
        <v>-109023</v>
      </c>
    </row>
    <row r="2750" spans="16:19" x14ac:dyDescent="0.3">
      <c r="P2750">
        <v>2749</v>
      </c>
      <c r="Q2750">
        <v>-478106</v>
      </c>
      <c r="S2750">
        <v>-202393</v>
      </c>
    </row>
    <row r="2751" spans="16:19" x14ac:dyDescent="0.3">
      <c r="P2751">
        <v>2750</v>
      </c>
      <c r="Q2751">
        <v>-594101</v>
      </c>
      <c r="S2751">
        <v>620891</v>
      </c>
    </row>
    <row r="2752" spans="16:19" x14ac:dyDescent="0.3">
      <c r="P2752">
        <v>2751</v>
      </c>
      <c r="Q2752">
        <v>-22904</v>
      </c>
      <c r="S2752">
        <v>-443145</v>
      </c>
    </row>
    <row r="2753" spans="16:19" x14ac:dyDescent="0.3">
      <c r="P2753">
        <v>2752</v>
      </c>
      <c r="Q2753">
        <v>-253554</v>
      </c>
      <c r="S2753">
        <v>154310</v>
      </c>
    </row>
    <row r="2754" spans="16:19" x14ac:dyDescent="0.3">
      <c r="P2754">
        <v>2753</v>
      </c>
      <c r="Q2754">
        <v>-259548</v>
      </c>
      <c r="S2754">
        <v>-422890</v>
      </c>
    </row>
    <row r="2755" spans="16:19" x14ac:dyDescent="0.3">
      <c r="P2755">
        <v>2754</v>
      </c>
      <c r="Q2755">
        <v>-675090</v>
      </c>
      <c r="S2755">
        <v>-513222</v>
      </c>
    </row>
    <row r="2756" spans="16:19" x14ac:dyDescent="0.3">
      <c r="P2756">
        <v>2755</v>
      </c>
      <c r="Q2756">
        <v>184624</v>
      </c>
      <c r="S2756">
        <v>382384</v>
      </c>
    </row>
    <row r="2757" spans="16:19" x14ac:dyDescent="0.3">
      <c r="P2757">
        <v>2756</v>
      </c>
      <c r="Q2757">
        <v>130882</v>
      </c>
      <c r="S2757">
        <v>-738554</v>
      </c>
    </row>
    <row r="2758" spans="16:19" x14ac:dyDescent="0.3">
      <c r="P2758">
        <v>2757</v>
      </c>
      <c r="Q2758">
        <v>127582</v>
      </c>
      <c r="S2758">
        <v>123908</v>
      </c>
    </row>
    <row r="2759" spans="16:19" x14ac:dyDescent="0.3">
      <c r="P2759">
        <v>2758</v>
      </c>
      <c r="Q2759">
        <v>-156935</v>
      </c>
      <c r="S2759">
        <v>708503</v>
      </c>
    </row>
    <row r="2760" spans="16:19" x14ac:dyDescent="0.3">
      <c r="P2760">
        <v>2759</v>
      </c>
      <c r="Q2760">
        <v>277999</v>
      </c>
      <c r="S2760">
        <v>-241464</v>
      </c>
    </row>
    <row r="2761" spans="16:19" x14ac:dyDescent="0.3">
      <c r="P2761">
        <v>2760</v>
      </c>
      <c r="Q2761">
        <v>158548</v>
      </c>
      <c r="S2761">
        <v>-676394</v>
      </c>
    </row>
    <row r="2762" spans="16:19" x14ac:dyDescent="0.3">
      <c r="P2762">
        <v>2761</v>
      </c>
      <c r="Q2762">
        <v>56333</v>
      </c>
      <c r="S2762">
        <v>431879</v>
      </c>
    </row>
    <row r="2763" spans="16:19" x14ac:dyDescent="0.3">
      <c r="P2763">
        <v>2762</v>
      </c>
      <c r="Q2763">
        <v>137715</v>
      </c>
      <c r="S2763">
        <v>-180112</v>
      </c>
    </row>
    <row r="2764" spans="16:19" x14ac:dyDescent="0.3">
      <c r="P2764">
        <v>2763</v>
      </c>
      <c r="Q2764">
        <v>126708</v>
      </c>
      <c r="S2764">
        <v>850087</v>
      </c>
    </row>
    <row r="2765" spans="16:19" x14ac:dyDescent="0.3">
      <c r="P2765">
        <v>2764</v>
      </c>
      <c r="Q2765">
        <v>379673</v>
      </c>
      <c r="S2765">
        <v>310085</v>
      </c>
    </row>
    <row r="2766" spans="16:19" x14ac:dyDescent="0.3">
      <c r="P2766">
        <v>2765</v>
      </c>
      <c r="Q2766">
        <v>-368485</v>
      </c>
      <c r="S2766">
        <v>51036</v>
      </c>
    </row>
    <row r="2767" spans="16:19" x14ac:dyDescent="0.3">
      <c r="P2767">
        <v>2766</v>
      </c>
      <c r="Q2767">
        <v>-442936</v>
      </c>
      <c r="S2767">
        <v>-262133</v>
      </c>
    </row>
    <row r="2768" spans="16:19" x14ac:dyDescent="0.3">
      <c r="P2768">
        <v>2767</v>
      </c>
      <c r="Q2768">
        <v>-82993</v>
      </c>
      <c r="S2768">
        <v>-111447</v>
      </c>
    </row>
    <row r="2769" spans="16:19" x14ac:dyDescent="0.3">
      <c r="P2769">
        <v>2768</v>
      </c>
      <c r="Q2769">
        <v>-91954</v>
      </c>
      <c r="S2769">
        <v>215047</v>
      </c>
    </row>
    <row r="2770" spans="16:19" x14ac:dyDescent="0.3">
      <c r="P2770">
        <v>2769</v>
      </c>
      <c r="Q2770">
        <v>-522031</v>
      </c>
      <c r="S2770">
        <v>-610373</v>
      </c>
    </row>
    <row r="2771" spans="16:19" x14ac:dyDescent="0.3">
      <c r="P2771">
        <v>2770</v>
      </c>
      <c r="Q2771">
        <v>-227033</v>
      </c>
      <c r="S2771">
        <v>534229</v>
      </c>
    </row>
    <row r="2772" spans="16:19" x14ac:dyDescent="0.3">
      <c r="P2772">
        <v>2771</v>
      </c>
      <c r="Q2772">
        <v>-679800</v>
      </c>
      <c r="S2772">
        <v>-30256</v>
      </c>
    </row>
    <row r="2773" spans="16:19" x14ac:dyDescent="0.3">
      <c r="P2773">
        <v>2772</v>
      </c>
      <c r="Q2773">
        <v>421972</v>
      </c>
      <c r="S2773">
        <v>90274</v>
      </c>
    </row>
    <row r="2774" spans="16:19" x14ac:dyDescent="0.3">
      <c r="P2774">
        <v>2773</v>
      </c>
      <c r="Q2774">
        <v>18436</v>
      </c>
      <c r="S2774">
        <v>470687</v>
      </c>
    </row>
    <row r="2775" spans="16:19" x14ac:dyDescent="0.3">
      <c r="P2775">
        <v>2774</v>
      </c>
      <c r="Q2775">
        <v>147450</v>
      </c>
      <c r="S2775">
        <v>220801</v>
      </c>
    </row>
    <row r="2776" spans="16:19" x14ac:dyDescent="0.3">
      <c r="P2776">
        <v>2775</v>
      </c>
      <c r="Q2776">
        <v>-421062</v>
      </c>
      <c r="S2776">
        <v>751091</v>
      </c>
    </row>
    <row r="2777" spans="16:19" x14ac:dyDescent="0.3">
      <c r="P2777">
        <v>2776</v>
      </c>
      <c r="Q2777">
        <v>951085</v>
      </c>
      <c r="S2777">
        <v>-195632</v>
      </c>
    </row>
    <row r="2778" spans="16:19" x14ac:dyDescent="0.3">
      <c r="P2778">
        <v>2777</v>
      </c>
      <c r="Q2778">
        <v>773047</v>
      </c>
      <c r="S2778">
        <v>199045</v>
      </c>
    </row>
    <row r="2779" spans="16:19" x14ac:dyDescent="0.3">
      <c r="P2779">
        <v>2778</v>
      </c>
      <c r="Q2779">
        <v>523909</v>
      </c>
      <c r="S2779">
        <v>265856</v>
      </c>
    </row>
    <row r="2780" spans="16:19" x14ac:dyDescent="0.3">
      <c r="P2780">
        <v>2779</v>
      </c>
      <c r="Q2780">
        <v>-379379</v>
      </c>
      <c r="S2780">
        <v>74241</v>
      </c>
    </row>
    <row r="2781" spans="16:19" x14ac:dyDescent="0.3">
      <c r="P2781">
        <v>2780</v>
      </c>
      <c r="Q2781">
        <v>-336226</v>
      </c>
      <c r="S2781">
        <v>298817</v>
      </c>
    </row>
    <row r="2782" spans="16:19" x14ac:dyDescent="0.3">
      <c r="P2782">
        <v>2781</v>
      </c>
      <c r="Q2782">
        <v>-335964</v>
      </c>
      <c r="S2782">
        <v>-225842</v>
      </c>
    </row>
    <row r="2783" spans="16:19" x14ac:dyDescent="0.3">
      <c r="P2783">
        <v>2782</v>
      </c>
      <c r="Q2783">
        <v>581018</v>
      </c>
      <c r="S2783">
        <v>542428</v>
      </c>
    </row>
    <row r="2784" spans="16:19" x14ac:dyDescent="0.3">
      <c r="P2784">
        <v>2783</v>
      </c>
      <c r="Q2784">
        <v>-553513</v>
      </c>
      <c r="S2784">
        <v>483662</v>
      </c>
    </row>
    <row r="2785" spans="16:19" x14ac:dyDescent="0.3">
      <c r="P2785">
        <v>2784</v>
      </c>
      <c r="Q2785">
        <v>-304891</v>
      </c>
      <c r="S2785">
        <v>899467</v>
      </c>
    </row>
    <row r="2786" spans="16:19" x14ac:dyDescent="0.3">
      <c r="P2786">
        <v>2785</v>
      </c>
      <c r="Q2786">
        <v>258458</v>
      </c>
      <c r="S2786">
        <v>503151</v>
      </c>
    </row>
    <row r="2787" spans="16:19" x14ac:dyDescent="0.3">
      <c r="P2787">
        <v>2786</v>
      </c>
      <c r="Q2787">
        <v>-153584</v>
      </c>
      <c r="S2787">
        <v>679331</v>
      </c>
    </row>
    <row r="2788" spans="16:19" x14ac:dyDescent="0.3">
      <c r="P2788">
        <v>2787</v>
      </c>
      <c r="Q2788">
        <v>-436762</v>
      </c>
      <c r="S2788">
        <v>-494905</v>
      </c>
    </row>
    <row r="2789" spans="16:19" x14ac:dyDescent="0.3">
      <c r="P2789">
        <v>2788</v>
      </c>
      <c r="Q2789">
        <v>157741</v>
      </c>
      <c r="S2789">
        <v>-247769</v>
      </c>
    </row>
    <row r="2790" spans="16:19" x14ac:dyDescent="0.3">
      <c r="P2790">
        <v>2789</v>
      </c>
      <c r="Q2790">
        <v>28194</v>
      </c>
      <c r="S2790">
        <v>-139678</v>
      </c>
    </row>
    <row r="2791" spans="16:19" x14ac:dyDescent="0.3">
      <c r="P2791">
        <v>2790</v>
      </c>
      <c r="Q2791">
        <v>-704506</v>
      </c>
      <c r="S2791">
        <v>480310</v>
      </c>
    </row>
    <row r="2792" spans="16:19" x14ac:dyDescent="0.3">
      <c r="P2792">
        <v>2791</v>
      </c>
      <c r="Q2792">
        <v>-46759</v>
      </c>
      <c r="S2792">
        <v>-220758</v>
      </c>
    </row>
    <row r="2793" spans="16:19" x14ac:dyDescent="0.3">
      <c r="P2793">
        <v>2792</v>
      </c>
      <c r="Q2793">
        <v>-275861</v>
      </c>
      <c r="S2793">
        <v>420146</v>
      </c>
    </row>
    <row r="2794" spans="16:19" x14ac:dyDescent="0.3">
      <c r="P2794">
        <v>2793</v>
      </c>
      <c r="Q2794">
        <v>739499</v>
      </c>
      <c r="S2794">
        <v>-527227</v>
      </c>
    </row>
    <row r="2795" spans="16:19" x14ac:dyDescent="0.3">
      <c r="P2795">
        <v>2794</v>
      </c>
      <c r="Q2795">
        <v>-266906</v>
      </c>
      <c r="S2795">
        <v>223718</v>
      </c>
    </row>
    <row r="2796" spans="16:19" x14ac:dyDescent="0.3">
      <c r="P2796">
        <v>2795</v>
      </c>
      <c r="Q2796">
        <v>202158</v>
      </c>
      <c r="S2796">
        <v>-148101</v>
      </c>
    </row>
    <row r="2797" spans="16:19" x14ac:dyDescent="0.3">
      <c r="P2797">
        <v>2796</v>
      </c>
      <c r="Q2797">
        <v>-29884</v>
      </c>
      <c r="S2797">
        <v>398261</v>
      </c>
    </row>
    <row r="2798" spans="16:19" x14ac:dyDescent="0.3">
      <c r="P2798">
        <v>2797</v>
      </c>
      <c r="Q2798">
        <v>771632</v>
      </c>
      <c r="S2798">
        <v>-80170</v>
      </c>
    </row>
    <row r="2799" spans="16:19" x14ac:dyDescent="0.3">
      <c r="P2799">
        <v>2798</v>
      </c>
      <c r="Q2799">
        <v>464706</v>
      </c>
      <c r="S2799">
        <v>584295</v>
      </c>
    </row>
    <row r="2800" spans="16:19" x14ac:dyDescent="0.3">
      <c r="P2800">
        <v>2799</v>
      </c>
      <c r="Q2800">
        <v>-249219</v>
      </c>
      <c r="S2800">
        <v>-305829</v>
      </c>
    </row>
    <row r="2801" spans="16:19" x14ac:dyDescent="0.3">
      <c r="P2801">
        <v>2800</v>
      </c>
      <c r="Q2801">
        <v>693909</v>
      </c>
      <c r="S2801">
        <v>-204166</v>
      </c>
    </row>
    <row r="2802" spans="16:19" x14ac:dyDescent="0.3">
      <c r="P2802">
        <v>2801</v>
      </c>
      <c r="Q2802">
        <v>757916</v>
      </c>
      <c r="S2802">
        <v>523503</v>
      </c>
    </row>
    <row r="2803" spans="16:19" x14ac:dyDescent="0.3">
      <c r="P2803">
        <v>2802</v>
      </c>
      <c r="Q2803">
        <v>751843</v>
      </c>
      <c r="S2803">
        <v>311418</v>
      </c>
    </row>
    <row r="2804" spans="16:19" x14ac:dyDescent="0.3">
      <c r="P2804">
        <v>2803</v>
      </c>
      <c r="Q2804">
        <v>547761</v>
      </c>
      <c r="S2804">
        <v>-436657</v>
      </c>
    </row>
    <row r="2805" spans="16:19" x14ac:dyDescent="0.3">
      <c r="P2805">
        <v>2804</v>
      </c>
      <c r="Q2805">
        <v>-232638</v>
      </c>
      <c r="S2805">
        <v>-159005</v>
      </c>
    </row>
    <row r="2806" spans="16:19" x14ac:dyDescent="0.3">
      <c r="P2806">
        <v>2805</v>
      </c>
      <c r="Q2806">
        <v>147221</v>
      </c>
      <c r="S2806">
        <v>390725</v>
      </c>
    </row>
    <row r="2807" spans="16:19" x14ac:dyDescent="0.3">
      <c r="P2807">
        <v>2806</v>
      </c>
      <c r="Q2807">
        <v>-570240</v>
      </c>
      <c r="S2807">
        <v>470189</v>
      </c>
    </row>
    <row r="2808" spans="16:19" x14ac:dyDescent="0.3">
      <c r="P2808">
        <v>2807</v>
      </c>
      <c r="Q2808">
        <v>-494120</v>
      </c>
      <c r="S2808">
        <v>190408</v>
      </c>
    </row>
    <row r="2809" spans="16:19" x14ac:dyDescent="0.3">
      <c r="P2809">
        <v>2808</v>
      </c>
      <c r="Q2809">
        <v>-348628</v>
      </c>
      <c r="S2809">
        <v>-759260</v>
      </c>
    </row>
    <row r="2810" spans="16:19" x14ac:dyDescent="0.3">
      <c r="P2810">
        <v>2809</v>
      </c>
      <c r="Q2810">
        <v>-175445</v>
      </c>
      <c r="S2810">
        <v>31241</v>
      </c>
    </row>
    <row r="2811" spans="16:19" x14ac:dyDescent="0.3">
      <c r="P2811">
        <v>2810</v>
      </c>
      <c r="Q2811">
        <v>122380</v>
      </c>
      <c r="S2811">
        <v>150304</v>
      </c>
    </row>
    <row r="2812" spans="16:19" x14ac:dyDescent="0.3">
      <c r="P2812">
        <v>2811</v>
      </c>
      <c r="Q2812">
        <v>219338</v>
      </c>
      <c r="S2812">
        <v>463354</v>
      </c>
    </row>
    <row r="2813" spans="16:19" x14ac:dyDescent="0.3">
      <c r="P2813">
        <v>2812</v>
      </c>
      <c r="Q2813">
        <v>-19228</v>
      </c>
      <c r="S2813">
        <v>-489991</v>
      </c>
    </row>
    <row r="2814" spans="16:19" x14ac:dyDescent="0.3">
      <c r="P2814">
        <v>2813</v>
      </c>
      <c r="Q2814">
        <v>-58074</v>
      </c>
      <c r="S2814">
        <v>-423874</v>
      </c>
    </row>
    <row r="2815" spans="16:19" x14ac:dyDescent="0.3">
      <c r="P2815">
        <v>2814</v>
      </c>
      <c r="Q2815">
        <v>-576947</v>
      </c>
      <c r="S2815">
        <v>394127</v>
      </c>
    </row>
    <row r="2816" spans="16:19" x14ac:dyDescent="0.3">
      <c r="P2816">
        <v>2815</v>
      </c>
      <c r="Q2816">
        <v>594869</v>
      </c>
      <c r="S2816">
        <v>331133</v>
      </c>
    </row>
    <row r="2817" spans="16:19" x14ac:dyDescent="0.3">
      <c r="P2817">
        <v>2816</v>
      </c>
      <c r="Q2817">
        <v>-388556</v>
      </c>
      <c r="S2817">
        <v>-163192</v>
      </c>
    </row>
    <row r="2818" spans="16:19" x14ac:dyDescent="0.3">
      <c r="P2818">
        <v>2817</v>
      </c>
      <c r="Q2818">
        <v>172701</v>
      </c>
      <c r="S2818">
        <v>8458</v>
      </c>
    </row>
    <row r="2819" spans="16:19" x14ac:dyDescent="0.3">
      <c r="P2819">
        <v>2818</v>
      </c>
      <c r="Q2819">
        <v>-274058</v>
      </c>
      <c r="S2819">
        <v>698721</v>
      </c>
    </row>
    <row r="2820" spans="16:19" x14ac:dyDescent="0.3">
      <c r="P2820">
        <v>2819</v>
      </c>
      <c r="Q2820">
        <v>-167100</v>
      </c>
      <c r="S2820">
        <v>563289</v>
      </c>
    </row>
    <row r="2821" spans="16:19" x14ac:dyDescent="0.3">
      <c r="P2821">
        <v>2820</v>
      </c>
      <c r="Q2821">
        <v>539622</v>
      </c>
      <c r="S2821">
        <v>231952</v>
      </c>
    </row>
    <row r="2822" spans="16:19" x14ac:dyDescent="0.3">
      <c r="P2822">
        <v>2821</v>
      </c>
      <c r="Q2822">
        <v>-731271</v>
      </c>
      <c r="S2822">
        <v>-269976</v>
      </c>
    </row>
    <row r="2823" spans="16:19" x14ac:dyDescent="0.3">
      <c r="P2823">
        <v>2822</v>
      </c>
      <c r="Q2823">
        <v>283273</v>
      </c>
      <c r="S2823">
        <v>900166</v>
      </c>
    </row>
    <row r="2824" spans="16:19" x14ac:dyDescent="0.3">
      <c r="P2824">
        <v>2823</v>
      </c>
      <c r="Q2824">
        <v>298811</v>
      </c>
      <c r="S2824">
        <v>226111</v>
      </c>
    </row>
    <row r="2825" spans="16:19" x14ac:dyDescent="0.3">
      <c r="P2825">
        <v>2824</v>
      </c>
      <c r="Q2825">
        <v>27413</v>
      </c>
      <c r="S2825">
        <v>-341090</v>
      </c>
    </row>
    <row r="2826" spans="16:19" x14ac:dyDescent="0.3">
      <c r="P2826">
        <v>2825</v>
      </c>
      <c r="Q2826">
        <v>680012</v>
      </c>
      <c r="S2826">
        <v>418217</v>
      </c>
    </row>
    <row r="2827" spans="16:19" x14ac:dyDescent="0.3">
      <c r="P2827">
        <v>2826</v>
      </c>
      <c r="Q2827">
        <v>-146338</v>
      </c>
      <c r="S2827">
        <v>382440</v>
      </c>
    </row>
    <row r="2828" spans="16:19" x14ac:dyDescent="0.3">
      <c r="P2828">
        <v>2827</v>
      </c>
      <c r="Q2828">
        <v>-14683</v>
      </c>
      <c r="S2828">
        <v>1050349</v>
      </c>
    </row>
    <row r="2829" spans="16:19" x14ac:dyDescent="0.3">
      <c r="P2829">
        <v>2828</v>
      </c>
      <c r="Q2829">
        <v>-58617</v>
      </c>
      <c r="S2829">
        <v>908476</v>
      </c>
    </row>
    <row r="2830" spans="16:19" x14ac:dyDescent="0.3">
      <c r="P2830">
        <v>2829</v>
      </c>
      <c r="Q2830">
        <v>-516911</v>
      </c>
      <c r="S2830">
        <v>237042</v>
      </c>
    </row>
    <row r="2831" spans="16:19" x14ac:dyDescent="0.3">
      <c r="P2831">
        <v>2830</v>
      </c>
      <c r="Q2831">
        <v>240247</v>
      </c>
      <c r="S2831">
        <v>772130</v>
      </c>
    </row>
    <row r="2832" spans="16:19" x14ac:dyDescent="0.3">
      <c r="P2832">
        <v>2831</v>
      </c>
      <c r="Q2832">
        <v>-781938</v>
      </c>
      <c r="S2832">
        <v>11068</v>
      </c>
    </row>
    <row r="2833" spans="16:19" x14ac:dyDescent="0.3">
      <c r="P2833">
        <v>2832</v>
      </c>
      <c r="Q2833">
        <v>-352325</v>
      </c>
      <c r="S2833">
        <v>-168498</v>
      </c>
    </row>
    <row r="2834" spans="16:19" x14ac:dyDescent="0.3">
      <c r="P2834">
        <v>2833</v>
      </c>
      <c r="Q2834">
        <v>-612335</v>
      </c>
      <c r="S2834">
        <v>-468834</v>
      </c>
    </row>
    <row r="2835" spans="16:19" x14ac:dyDescent="0.3">
      <c r="P2835">
        <v>2834</v>
      </c>
      <c r="Q2835">
        <v>-454300</v>
      </c>
      <c r="S2835">
        <v>232628</v>
      </c>
    </row>
    <row r="2836" spans="16:19" x14ac:dyDescent="0.3">
      <c r="P2836">
        <v>2835</v>
      </c>
      <c r="Q2836">
        <v>489617</v>
      </c>
      <c r="S2836">
        <v>-497263</v>
      </c>
    </row>
    <row r="2837" spans="16:19" x14ac:dyDescent="0.3">
      <c r="P2837">
        <v>2836</v>
      </c>
      <c r="Q2837">
        <v>662703</v>
      </c>
      <c r="S2837">
        <v>78010</v>
      </c>
    </row>
    <row r="2838" spans="16:19" x14ac:dyDescent="0.3">
      <c r="P2838">
        <v>2837</v>
      </c>
      <c r="Q2838">
        <v>-532647</v>
      </c>
      <c r="S2838">
        <v>151583</v>
      </c>
    </row>
    <row r="2839" spans="16:19" x14ac:dyDescent="0.3">
      <c r="P2839">
        <v>2838</v>
      </c>
      <c r="Q2839">
        <v>587591</v>
      </c>
      <c r="S2839">
        <v>9097</v>
      </c>
    </row>
    <row r="2840" spans="16:19" x14ac:dyDescent="0.3">
      <c r="P2840">
        <v>2839</v>
      </c>
      <c r="Q2840">
        <v>-252207</v>
      </c>
      <c r="S2840">
        <v>430873</v>
      </c>
    </row>
    <row r="2841" spans="16:19" x14ac:dyDescent="0.3">
      <c r="P2841">
        <v>2840</v>
      </c>
      <c r="Q2841">
        <v>795247</v>
      </c>
      <c r="S2841">
        <v>5258</v>
      </c>
    </row>
    <row r="2842" spans="16:19" x14ac:dyDescent="0.3">
      <c r="P2842">
        <v>2841</v>
      </c>
      <c r="Q2842">
        <v>-766384</v>
      </c>
      <c r="S2842">
        <v>-131756</v>
      </c>
    </row>
    <row r="2843" spans="16:19" x14ac:dyDescent="0.3">
      <c r="P2843">
        <v>2842</v>
      </c>
      <c r="Q2843">
        <v>-822100</v>
      </c>
      <c r="S2843">
        <v>225172</v>
      </c>
    </row>
    <row r="2844" spans="16:19" x14ac:dyDescent="0.3">
      <c r="P2844">
        <v>2843</v>
      </c>
      <c r="Q2844">
        <v>-549093</v>
      </c>
      <c r="S2844">
        <v>593094</v>
      </c>
    </row>
    <row r="2845" spans="16:19" x14ac:dyDescent="0.3">
      <c r="P2845">
        <v>2844</v>
      </c>
      <c r="Q2845">
        <v>766279</v>
      </c>
      <c r="S2845">
        <v>147107</v>
      </c>
    </row>
    <row r="2846" spans="16:19" x14ac:dyDescent="0.3">
      <c r="P2846">
        <v>2845</v>
      </c>
      <c r="Q2846">
        <v>549277</v>
      </c>
      <c r="S2846">
        <v>840730</v>
      </c>
    </row>
    <row r="2847" spans="16:19" x14ac:dyDescent="0.3">
      <c r="P2847">
        <v>2846</v>
      </c>
      <c r="Q2847">
        <v>-190514</v>
      </c>
      <c r="S2847">
        <v>-720101</v>
      </c>
    </row>
    <row r="2848" spans="16:19" x14ac:dyDescent="0.3">
      <c r="P2848">
        <v>2847</v>
      </c>
      <c r="Q2848">
        <v>581860</v>
      </c>
      <c r="S2848">
        <v>-688423</v>
      </c>
    </row>
    <row r="2849" spans="16:19" x14ac:dyDescent="0.3">
      <c r="P2849">
        <v>2848</v>
      </c>
      <c r="Q2849">
        <v>-38687</v>
      </c>
      <c r="S2849">
        <v>-505678</v>
      </c>
    </row>
    <row r="2850" spans="16:19" x14ac:dyDescent="0.3">
      <c r="P2850">
        <v>2849</v>
      </c>
      <c r="Q2850">
        <v>-355962</v>
      </c>
      <c r="S2850">
        <v>-398235</v>
      </c>
    </row>
    <row r="2851" spans="16:19" x14ac:dyDescent="0.3">
      <c r="P2851">
        <v>2850</v>
      </c>
      <c r="Q2851">
        <v>-324208</v>
      </c>
      <c r="S2851">
        <v>-414045</v>
      </c>
    </row>
    <row r="2852" spans="16:19" x14ac:dyDescent="0.3">
      <c r="P2852">
        <v>2851</v>
      </c>
      <c r="Q2852">
        <v>586977</v>
      </c>
      <c r="S2852">
        <v>-34048</v>
      </c>
    </row>
    <row r="2853" spans="16:19" x14ac:dyDescent="0.3">
      <c r="P2853">
        <v>2852</v>
      </c>
      <c r="Q2853">
        <v>610436</v>
      </c>
      <c r="S2853">
        <v>231233</v>
      </c>
    </row>
    <row r="2854" spans="16:19" x14ac:dyDescent="0.3">
      <c r="P2854">
        <v>2853</v>
      </c>
      <c r="Q2854">
        <v>-745763</v>
      </c>
      <c r="S2854">
        <v>676076</v>
      </c>
    </row>
    <row r="2855" spans="16:19" x14ac:dyDescent="0.3">
      <c r="P2855">
        <v>2854</v>
      </c>
      <c r="Q2855">
        <v>-410608</v>
      </c>
      <c r="S2855">
        <v>-535574</v>
      </c>
    </row>
    <row r="2856" spans="16:19" x14ac:dyDescent="0.3">
      <c r="P2856">
        <v>2855</v>
      </c>
      <c r="Q2856">
        <v>-246053</v>
      </c>
      <c r="S2856">
        <v>379331</v>
      </c>
    </row>
    <row r="2857" spans="16:19" x14ac:dyDescent="0.3">
      <c r="P2857">
        <v>2856</v>
      </c>
      <c r="Q2857">
        <v>712878</v>
      </c>
      <c r="S2857">
        <v>-277332</v>
      </c>
    </row>
    <row r="2858" spans="16:19" x14ac:dyDescent="0.3">
      <c r="P2858">
        <v>2857</v>
      </c>
      <c r="Q2858">
        <v>138050</v>
      </c>
      <c r="S2858">
        <v>355487</v>
      </c>
    </row>
    <row r="2859" spans="16:19" x14ac:dyDescent="0.3">
      <c r="P2859">
        <v>2858</v>
      </c>
      <c r="Q2859">
        <v>1172508</v>
      </c>
      <c r="S2859">
        <v>-363272</v>
      </c>
    </row>
    <row r="2860" spans="16:19" x14ac:dyDescent="0.3">
      <c r="P2860">
        <v>2859</v>
      </c>
      <c r="Q2860">
        <v>293725</v>
      </c>
      <c r="S2860">
        <v>-390777</v>
      </c>
    </row>
    <row r="2861" spans="16:19" x14ac:dyDescent="0.3">
      <c r="P2861">
        <v>2860</v>
      </c>
      <c r="Q2861">
        <v>292488</v>
      </c>
      <c r="S2861">
        <v>-145012</v>
      </c>
    </row>
    <row r="2862" spans="16:19" x14ac:dyDescent="0.3">
      <c r="P2862">
        <v>2861</v>
      </c>
      <c r="Q2862">
        <v>-115779</v>
      </c>
      <c r="S2862">
        <v>237797</v>
      </c>
    </row>
    <row r="2863" spans="16:19" x14ac:dyDescent="0.3">
      <c r="P2863">
        <v>2862</v>
      </c>
      <c r="Q2863">
        <v>-133054</v>
      </c>
      <c r="S2863">
        <v>-20289</v>
      </c>
    </row>
    <row r="2864" spans="16:19" x14ac:dyDescent="0.3">
      <c r="P2864">
        <v>2863</v>
      </c>
      <c r="Q2864">
        <v>376978</v>
      </c>
      <c r="S2864">
        <v>255994</v>
      </c>
    </row>
    <row r="2865" spans="16:19" x14ac:dyDescent="0.3">
      <c r="P2865">
        <v>2864</v>
      </c>
      <c r="Q2865">
        <v>221212</v>
      </c>
      <c r="S2865">
        <v>-500668</v>
      </c>
    </row>
    <row r="2866" spans="16:19" x14ac:dyDescent="0.3">
      <c r="P2866">
        <v>2865</v>
      </c>
      <c r="Q2866">
        <v>-514183</v>
      </c>
      <c r="S2866">
        <v>-209605</v>
      </c>
    </row>
    <row r="2867" spans="16:19" x14ac:dyDescent="0.3">
      <c r="P2867">
        <v>2866</v>
      </c>
      <c r="Q2867">
        <v>618715</v>
      </c>
      <c r="S2867">
        <v>-164490</v>
      </c>
    </row>
    <row r="2868" spans="16:19" x14ac:dyDescent="0.3">
      <c r="P2868">
        <v>2867</v>
      </c>
      <c r="Q2868">
        <v>-379914</v>
      </c>
      <c r="S2868">
        <v>1090433</v>
      </c>
    </row>
    <row r="2869" spans="16:19" x14ac:dyDescent="0.3">
      <c r="P2869">
        <v>2868</v>
      </c>
      <c r="Q2869">
        <v>105627</v>
      </c>
      <c r="S2869">
        <v>303410</v>
      </c>
    </row>
    <row r="2870" spans="16:19" x14ac:dyDescent="0.3">
      <c r="P2870">
        <v>2869</v>
      </c>
      <c r="Q2870">
        <v>-80928</v>
      </c>
      <c r="S2870">
        <v>-313578</v>
      </c>
    </row>
    <row r="2871" spans="16:19" x14ac:dyDescent="0.3">
      <c r="P2871">
        <v>2870</v>
      </c>
      <c r="Q2871">
        <v>419092</v>
      </c>
      <c r="S2871">
        <v>-644873</v>
      </c>
    </row>
    <row r="2872" spans="16:19" x14ac:dyDescent="0.3">
      <c r="P2872">
        <v>2871</v>
      </c>
      <c r="Q2872">
        <v>-135580</v>
      </c>
      <c r="S2872">
        <v>173160</v>
      </c>
    </row>
    <row r="2873" spans="16:19" x14ac:dyDescent="0.3">
      <c r="P2873">
        <v>2872</v>
      </c>
      <c r="Q2873">
        <v>914428</v>
      </c>
      <c r="S2873">
        <v>-64320</v>
      </c>
    </row>
    <row r="2874" spans="16:19" x14ac:dyDescent="0.3">
      <c r="P2874">
        <v>2873</v>
      </c>
      <c r="Q2874">
        <v>-599252</v>
      </c>
      <c r="S2874">
        <v>338929</v>
      </c>
    </row>
    <row r="2875" spans="16:19" x14ac:dyDescent="0.3">
      <c r="P2875">
        <v>2874</v>
      </c>
      <c r="Q2875">
        <v>-218125</v>
      </c>
      <c r="S2875">
        <v>-244491</v>
      </c>
    </row>
    <row r="2876" spans="16:19" x14ac:dyDescent="0.3">
      <c r="P2876">
        <v>2875</v>
      </c>
      <c r="Q2876">
        <v>274899</v>
      </c>
      <c r="S2876">
        <v>204777</v>
      </c>
    </row>
    <row r="2877" spans="16:19" x14ac:dyDescent="0.3">
      <c r="P2877">
        <v>2876</v>
      </c>
      <c r="Q2877">
        <v>-347923</v>
      </c>
      <c r="S2877">
        <v>35670</v>
      </c>
    </row>
    <row r="2878" spans="16:19" x14ac:dyDescent="0.3">
      <c r="P2878">
        <v>2877</v>
      </c>
      <c r="Q2878">
        <v>730925</v>
      </c>
      <c r="S2878">
        <v>159564</v>
      </c>
    </row>
    <row r="2879" spans="16:19" x14ac:dyDescent="0.3">
      <c r="P2879">
        <v>2878</v>
      </c>
      <c r="Q2879">
        <v>95330</v>
      </c>
      <c r="S2879">
        <v>594671</v>
      </c>
    </row>
    <row r="2880" spans="16:19" x14ac:dyDescent="0.3">
      <c r="P2880">
        <v>2879</v>
      </c>
      <c r="Q2880">
        <v>-254774</v>
      </c>
      <c r="S2880">
        <v>-82992</v>
      </c>
    </row>
    <row r="2881" spans="16:19" x14ac:dyDescent="0.3">
      <c r="P2881">
        <v>2880</v>
      </c>
      <c r="Q2881">
        <v>1079317</v>
      </c>
      <c r="S2881">
        <v>-139891</v>
      </c>
    </row>
    <row r="2882" spans="16:19" x14ac:dyDescent="0.3">
      <c r="P2882">
        <v>2881</v>
      </c>
      <c r="Q2882">
        <v>431374</v>
      </c>
      <c r="S2882">
        <v>769691</v>
      </c>
    </row>
    <row r="2883" spans="16:19" x14ac:dyDescent="0.3">
      <c r="P2883">
        <v>2882</v>
      </c>
      <c r="Q2883">
        <v>-222195</v>
      </c>
      <c r="S2883">
        <v>129272</v>
      </c>
    </row>
    <row r="2884" spans="16:19" x14ac:dyDescent="0.3">
      <c r="P2884">
        <v>2883</v>
      </c>
      <c r="Q2884">
        <v>-445418</v>
      </c>
      <c r="S2884">
        <v>459537</v>
      </c>
    </row>
    <row r="2885" spans="16:19" x14ac:dyDescent="0.3">
      <c r="P2885">
        <v>2884</v>
      </c>
      <c r="Q2885">
        <v>-562161</v>
      </c>
      <c r="S2885">
        <v>-348759</v>
      </c>
    </row>
    <row r="2886" spans="16:19" x14ac:dyDescent="0.3">
      <c r="P2886">
        <v>2885</v>
      </c>
      <c r="Q2886">
        <v>-476849</v>
      </c>
      <c r="S2886">
        <v>-536837</v>
      </c>
    </row>
    <row r="2887" spans="16:19" x14ac:dyDescent="0.3">
      <c r="P2887">
        <v>2886</v>
      </c>
      <c r="Q2887">
        <v>580282</v>
      </c>
      <c r="S2887">
        <v>175543</v>
      </c>
    </row>
    <row r="2888" spans="16:19" x14ac:dyDescent="0.3">
      <c r="P2888">
        <v>2887</v>
      </c>
      <c r="Q2888">
        <v>366450</v>
      </c>
      <c r="S2888">
        <v>-235555</v>
      </c>
    </row>
    <row r="2889" spans="16:19" x14ac:dyDescent="0.3">
      <c r="P2889">
        <v>2888</v>
      </c>
      <c r="Q2889">
        <v>-507566</v>
      </c>
      <c r="S2889">
        <v>-98616</v>
      </c>
    </row>
    <row r="2890" spans="16:19" x14ac:dyDescent="0.3">
      <c r="P2890">
        <v>2889</v>
      </c>
      <c r="Q2890">
        <v>535974</v>
      </c>
      <c r="S2890">
        <v>405378</v>
      </c>
    </row>
    <row r="2891" spans="16:19" x14ac:dyDescent="0.3">
      <c r="P2891">
        <v>2890</v>
      </c>
      <c r="Q2891">
        <v>88070</v>
      </c>
      <c r="S2891">
        <v>-435286</v>
      </c>
    </row>
    <row r="2892" spans="16:19" x14ac:dyDescent="0.3">
      <c r="P2892">
        <v>2891</v>
      </c>
      <c r="Q2892">
        <v>-770814</v>
      </c>
      <c r="S2892">
        <v>-402927</v>
      </c>
    </row>
    <row r="2893" spans="16:19" x14ac:dyDescent="0.3">
      <c r="P2893">
        <v>2892</v>
      </c>
      <c r="Q2893">
        <v>118084</v>
      </c>
      <c r="S2893">
        <v>88743</v>
      </c>
    </row>
    <row r="2894" spans="16:19" x14ac:dyDescent="0.3">
      <c r="P2894">
        <v>2893</v>
      </c>
      <c r="Q2894">
        <v>266768</v>
      </c>
      <c r="S2894">
        <v>-170351</v>
      </c>
    </row>
    <row r="2895" spans="16:19" x14ac:dyDescent="0.3">
      <c r="P2895">
        <v>2894</v>
      </c>
      <c r="Q2895">
        <v>74995</v>
      </c>
      <c r="S2895">
        <v>323396</v>
      </c>
    </row>
    <row r="2896" spans="16:19" x14ac:dyDescent="0.3">
      <c r="P2896">
        <v>2895</v>
      </c>
      <c r="Q2896">
        <v>-580188</v>
      </c>
      <c r="S2896">
        <v>182703</v>
      </c>
    </row>
    <row r="2897" spans="16:19" x14ac:dyDescent="0.3">
      <c r="P2897">
        <v>2896</v>
      </c>
      <c r="Q2897">
        <v>-184148</v>
      </c>
      <c r="S2897">
        <v>619304</v>
      </c>
    </row>
    <row r="2898" spans="16:19" x14ac:dyDescent="0.3">
      <c r="P2898">
        <v>2897</v>
      </c>
      <c r="Q2898">
        <v>191640</v>
      </c>
      <c r="S2898">
        <v>-414522</v>
      </c>
    </row>
    <row r="2899" spans="16:19" x14ac:dyDescent="0.3">
      <c r="P2899">
        <v>2898</v>
      </c>
      <c r="Q2899">
        <v>207099</v>
      </c>
      <c r="S2899">
        <v>-177929</v>
      </c>
    </row>
    <row r="2900" spans="16:19" x14ac:dyDescent="0.3">
      <c r="P2900">
        <v>2899</v>
      </c>
      <c r="Q2900">
        <v>-325280</v>
      </c>
      <c r="S2900">
        <v>581137</v>
      </c>
    </row>
    <row r="2901" spans="16:19" x14ac:dyDescent="0.3">
      <c r="P2901">
        <v>2900</v>
      </c>
      <c r="Q2901">
        <v>495382</v>
      </c>
      <c r="S2901">
        <v>-34211</v>
      </c>
    </row>
    <row r="2902" spans="16:19" x14ac:dyDescent="0.3">
      <c r="P2902">
        <v>2901</v>
      </c>
      <c r="Q2902">
        <v>432488</v>
      </c>
      <c r="S2902">
        <v>131354</v>
      </c>
    </row>
    <row r="2903" spans="16:19" x14ac:dyDescent="0.3">
      <c r="P2903">
        <v>2902</v>
      </c>
      <c r="Q2903">
        <v>23760</v>
      </c>
      <c r="S2903">
        <v>360790</v>
      </c>
    </row>
    <row r="2904" spans="16:19" x14ac:dyDescent="0.3">
      <c r="P2904">
        <v>2903</v>
      </c>
      <c r="Q2904">
        <v>-369869</v>
      </c>
      <c r="S2904">
        <v>-446721</v>
      </c>
    </row>
    <row r="2905" spans="16:19" x14ac:dyDescent="0.3">
      <c r="P2905">
        <v>2904</v>
      </c>
      <c r="Q2905">
        <v>-50746</v>
      </c>
      <c r="S2905">
        <v>-53810</v>
      </c>
    </row>
    <row r="2906" spans="16:19" x14ac:dyDescent="0.3">
      <c r="P2906">
        <v>2905</v>
      </c>
      <c r="Q2906">
        <v>-149735</v>
      </c>
      <c r="S2906">
        <v>-118484</v>
      </c>
    </row>
    <row r="2907" spans="16:19" x14ac:dyDescent="0.3">
      <c r="P2907">
        <v>2906</v>
      </c>
      <c r="Q2907">
        <v>980092</v>
      </c>
      <c r="S2907">
        <v>773752</v>
      </c>
    </row>
    <row r="2908" spans="16:19" x14ac:dyDescent="0.3">
      <c r="P2908">
        <v>2907</v>
      </c>
      <c r="Q2908">
        <v>95694</v>
      </c>
      <c r="S2908">
        <v>-467499</v>
      </c>
    </row>
    <row r="2909" spans="16:19" x14ac:dyDescent="0.3">
      <c r="P2909">
        <v>2908</v>
      </c>
      <c r="Q2909">
        <v>-641317</v>
      </c>
      <c r="S2909">
        <v>-632499</v>
      </c>
    </row>
    <row r="2910" spans="16:19" x14ac:dyDescent="0.3">
      <c r="P2910">
        <v>2909</v>
      </c>
      <c r="Q2910">
        <v>-3822</v>
      </c>
      <c r="S2910">
        <v>417012</v>
      </c>
    </row>
    <row r="2911" spans="16:19" x14ac:dyDescent="0.3">
      <c r="P2911">
        <v>2910</v>
      </c>
      <c r="Q2911">
        <v>-516202</v>
      </c>
      <c r="S2911">
        <v>279572</v>
      </c>
    </row>
    <row r="2912" spans="16:19" x14ac:dyDescent="0.3">
      <c r="P2912">
        <v>2911</v>
      </c>
      <c r="Q2912">
        <v>422894</v>
      </c>
      <c r="S2912">
        <v>-272452</v>
      </c>
    </row>
    <row r="2913" spans="16:19" x14ac:dyDescent="0.3">
      <c r="P2913">
        <v>2912</v>
      </c>
      <c r="Q2913">
        <v>-313298</v>
      </c>
      <c r="S2913">
        <v>234798</v>
      </c>
    </row>
    <row r="2914" spans="16:19" x14ac:dyDescent="0.3">
      <c r="P2914">
        <v>2913</v>
      </c>
      <c r="Q2914">
        <v>488186</v>
      </c>
      <c r="S2914">
        <v>-625875</v>
      </c>
    </row>
    <row r="2915" spans="16:19" x14ac:dyDescent="0.3">
      <c r="P2915">
        <v>2914</v>
      </c>
      <c r="Q2915">
        <v>19980</v>
      </c>
      <c r="S2915">
        <v>-224786</v>
      </c>
    </row>
    <row r="2916" spans="16:19" x14ac:dyDescent="0.3">
      <c r="P2916">
        <v>2915</v>
      </c>
      <c r="Q2916">
        <v>239485</v>
      </c>
      <c r="S2916">
        <v>221379</v>
      </c>
    </row>
    <row r="2917" spans="16:19" x14ac:dyDescent="0.3">
      <c r="P2917">
        <v>2916</v>
      </c>
      <c r="Q2917">
        <v>557238</v>
      </c>
      <c r="S2917">
        <v>462691</v>
      </c>
    </row>
    <row r="2918" spans="16:19" x14ac:dyDescent="0.3">
      <c r="P2918">
        <v>2917</v>
      </c>
      <c r="Q2918">
        <v>-697910</v>
      </c>
      <c r="S2918">
        <v>648643</v>
      </c>
    </row>
    <row r="2919" spans="16:19" x14ac:dyDescent="0.3">
      <c r="P2919">
        <v>2918</v>
      </c>
      <c r="Q2919">
        <v>-242503</v>
      </c>
      <c r="S2919">
        <v>483041</v>
      </c>
    </row>
    <row r="2920" spans="16:19" x14ac:dyDescent="0.3">
      <c r="P2920">
        <v>2919</v>
      </c>
      <c r="Q2920">
        <v>-155883</v>
      </c>
      <c r="S2920">
        <v>-18903</v>
      </c>
    </row>
    <row r="2921" spans="16:19" x14ac:dyDescent="0.3">
      <c r="P2921">
        <v>2920</v>
      </c>
      <c r="Q2921">
        <v>229780</v>
      </c>
      <c r="S2921">
        <v>494670</v>
      </c>
    </row>
    <row r="2922" spans="16:19" x14ac:dyDescent="0.3">
      <c r="P2922">
        <v>2921</v>
      </c>
      <c r="Q2922">
        <v>620671</v>
      </c>
      <c r="S2922">
        <v>761991</v>
      </c>
    </row>
    <row r="2923" spans="16:19" x14ac:dyDescent="0.3">
      <c r="P2923">
        <v>2922</v>
      </c>
      <c r="Q2923">
        <v>-14330</v>
      </c>
      <c r="S2923">
        <v>547233</v>
      </c>
    </row>
    <row r="2924" spans="16:19" x14ac:dyDescent="0.3">
      <c r="P2924">
        <v>2923</v>
      </c>
      <c r="Q2924">
        <v>-209272</v>
      </c>
      <c r="S2924">
        <v>331642</v>
      </c>
    </row>
    <row r="2925" spans="16:19" x14ac:dyDescent="0.3">
      <c r="P2925">
        <v>2924</v>
      </c>
      <c r="Q2925">
        <v>184139</v>
      </c>
      <c r="S2925">
        <v>380793</v>
      </c>
    </row>
    <row r="2926" spans="16:19" x14ac:dyDescent="0.3">
      <c r="P2926">
        <v>2925</v>
      </c>
      <c r="Q2926">
        <v>480718</v>
      </c>
      <c r="S2926">
        <v>959244</v>
      </c>
    </row>
    <row r="2927" spans="16:19" x14ac:dyDescent="0.3">
      <c r="P2927">
        <v>2926</v>
      </c>
      <c r="Q2927">
        <v>872423</v>
      </c>
      <c r="S2927">
        <v>-311079</v>
      </c>
    </row>
    <row r="2928" spans="16:19" x14ac:dyDescent="0.3">
      <c r="P2928">
        <v>2927</v>
      </c>
      <c r="Q2928">
        <v>351874</v>
      </c>
      <c r="S2928">
        <v>238519</v>
      </c>
    </row>
    <row r="2929" spans="16:19" x14ac:dyDescent="0.3">
      <c r="P2929">
        <v>2928</v>
      </c>
      <c r="Q2929">
        <v>-9321</v>
      </c>
      <c r="S2929">
        <v>621614</v>
      </c>
    </row>
    <row r="2930" spans="16:19" x14ac:dyDescent="0.3">
      <c r="P2930">
        <v>2929</v>
      </c>
      <c r="Q2930">
        <v>260534</v>
      </c>
      <c r="S2930">
        <v>-292454</v>
      </c>
    </row>
    <row r="2931" spans="16:19" x14ac:dyDescent="0.3">
      <c r="P2931">
        <v>2930</v>
      </c>
      <c r="Q2931">
        <v>-431818</v>
      </c>
      <c r="S2931">
        <v>41938</v>
      </c>
    </row>
    <row r="2932" spans="16:19" x14ac:dyDescent="0.3">
      <c r="P2932">
        <v>2931</v>
      </c>
      <c r="Q2932">
        <v>-129417</v>
      </c>
      <c r="S2932">
        <v>-444167</v>
      </c>
    </row>
    <row r="2933" spans="16:19" x14ac:dyDescent="0.3">
      <c r="P2933">
        <v>2932</v>
      </c>
      <c r="Q2933">
        <v>-143378</v>
      </c>
      <c r="S2933">
        <v>-199471</v>
      </c>
    </row>
    <row r="2934" spans="16:19" x14ac:dyDescent="0.3">
      <c r="P2934">
        <v>2933</v>
      </c>
      <c r="Q2934">
        <v>84588</v>
      </c>
      <c r="S2934">
        <v>-332481</v>
      </c>
    </row>
    <row r="2935" spans="16:19" x14ac:dyDescent="0.3">
      <c r="P2935">
        <v>2934</v>
      </c>
      <c r="Q2935">
        <v>534852</v>
      </c>
      <c r="S2935">
        <v>-269138</v>
      </c>
    </row>
    <row r="2936" spans="16:19" x14ac:dyDescent="0.3">
      <c r="P2936">
        <v>2935</v>
      </c>
      <c r="Q2936">
        <v>145356</v>
      </c>
      <c r="S2936">
        <v>265007</v>
      </c>
    </row>
    <row r="2937" spans="16:19" x14ac:dyDescent="0.3">
      <c r="P2937">
        <v>2936</v>
      </c>
      <c r="Q2937">
        <v>-109608</v>
      </c>
      <c r="S2937">
        <v>-247309</v>
      </c>
    </row>
    <row r="2938" spans="16:19" x14ac:dyDescent="0.3">
      <c r="P2938">
        <v>2937</v>
      </c>
      <c r="Q2938">
        <v>-388980</v>
      </c>
      <c r="S2938">
        <v>698884</v>
      </c>
    </row>
    <row r="2939" spans="16:19" x14ac:dyDescent="0.3">
      <c r="P2939">
        <v>2938</v>
      </c>
      <c r="Q2939">
        <v>-650000</v>
      </c>
      <c r="S2939">
        <v>-116226</v>
      </c>
    </row>
    <row r="2940" spans="16:19" x14ac:dyDescent="0.3">
      <c r="P2940">
        <v>2939</v>
      </c>
      <c r="Q2940">
        <v>-356041</v>
      </c>
      <c r="S2940">
        <v>402435</v>
      </c>
    </row>
    <row r="2941" spans="16:19" x14ac:dyDescent="0.3">
      <c r="P2941">
        <v>2940</v>
      </c>
      <c r="Q2941">
        <v>302695</v>
      </c>
      <c r="S2941">
        <v>47840</v>
      </c>
    </row>
    <row r="2942" spans="16:19" x14ac:dyDescent="0.3">
      <c r="P2942">
        <v>2941</v>
      </c>
      <c r="Q2942">
        <v>223089</v>
      </c>
      <c r="S2942">
        <v>-285142</v>
      </c>
    </row>
    <row r="2943" spans="16:19" x14ac:dyDescent="0.3">
      <c r="P2943">
        <v>2942</v>
      </c>
      <c r="Q2943">
        <v>577739</v>
      </c>
      <c r="S2943">
        <v>160261</v>
      </c>
    </row>
    <row r="2944" spans="16:19" x14ac:dyDescent="0.3">
      <c r="P2944">
        <v>2943</v>
      </c>
      <c r="Q2944">
        <v>320573</v>
      </c>
      <c r="S2944">
        <v>792476</v>
      </c>
    </row>
    <row r="2945" spans="16:19" x14ac:dyDescent="0.3">
      <c r="P2945">
        <v>2944</v>
      </c>
      <c r="Q2945">
        <v>497381</v>
      </c>
      <c r="S2945">
        <v>-275493</v>
      </c>
    </row>
    <row r="2946" spans="16:19" x14ac:dyDescent="0.3">
      <c r="P2946">
        <v>2945</v>
      </c>
      <c r="Q2946">
        <v>568418</v>
      </c>
      <c r="S2946">
        <v>-536496</v>
      </c>
    </row>
    <row r="2947" spans="16:19" x14ac:dyDescent="0.3">
      <c r="P2947">
        <v>2946</v>
      </c>
      <c r="Q2947">
        <v>-239144</v>
      </c>
      <c r="S2947">
        <v>486689</v>
      </c>
    </row>
    <row r="2948" spans="16:19" x14ac:dyDescent="0.3">
      <c r="P2948">
        <v>2947</v>
      </c>
      <c r="Q2948">
        <v>-610751</v>
      </c>
      <c r="S2948">
        <v>-238627</v>
      </c>
    </row>
    <row r="2949" spans="16:19" x14ac:dyDescent="0.3">
      <c r="P2949">
        <v>2948</v>
      </c>
      <c r="Q2949">
        <v>-179311</v>
      </c>
      <c r="S2949">
        <v>-863260</v>
      </c>
    </row>
    <row r="2950" spans="16:19" x14ac:dyDescent="0.3">
      <c r="P2950">
        <v>2949</v>
      </c>
      <c r="Q2950">
        <v>305700</v>
      </c>
      <c r="S2950">
        <v>389701</v>
      </c>
    </row>
    <row r="2951" spans="16:19" x14ac:dyDescent="0.3">
      <c r="P2951">
        <v>2950</v>
      </c>
      <c r="Q2951">
        <v>-266265</v>
      </c>
      <c r="S2951">
        <v>374839</v>
      </c>
    </row>
    <row r="2952" spans="16:19" x14ac:dyDescent="0.3">
      <c r="P2952">
        <v>2951</v>
      </c>
      <c r="Q2952">
        <v>92089</v>
      </c>
      <c r="S2952">
        <v>-449218</v>
      </c>
    </row>
    <row r="2953" spans="16:19" x14ac:dyDescent="0.3">
      <c r="P2953">
        <v>2952</v>
      </c>
      <c r="Q2953">
        <v>689634</v>
      </c>
      <c r="S2953">
        <v>307507</v>
      </c>
    </row>
    <row r="2954" spans="16:19" x14ac:dyDescent="0.3">
      <c r="P2954">
        <v>2953</v>
      </c>
      <c r="Q2954">
        <v>120839</v>
      </c>
      <c r="S2954">
        <v>-239619</v>
      </c>
    </row>
    <row r="2955" spans="16:19" x14ac:dyDescent="0.3">
      <c r="P2955">
        <v>2954</v>
      </c>
      <c r="Q2955">
        <v>-559653</v>
      </c>
      <c r="S2955">
        <v>-43440</v>
      </c>
    </row>
    <row r="2956" spans="16:19" x14ac:dyDescent="0.3">
      <c r="P2956">
        <v>2955</v>
      </c>
      <c r="Q2956">
        <v>-71170</v>
      </c>
      <c r="S2956">
        <v>5036</v>
      </c>
    </row>
    <row r="2957" spans="16:19" x14ac:dyDescent="0.3">
      <c r="P2957">
        <v>2956</v>
      </c>
      <c r="Q2957">
        <v>-27904</v>
      </c>
      <c r="S2957">
        <v>-241794</v>
      </c>
    </row>
    <row r="2958" spans="16:19" x14ac:dyDescent="0.3">
      <c r="P2958">
        <v>2957</v>
      </c>
      <c r="Q2958">
        <v>180894</v>
      </c>
      <c r="S2958">
        <v>-158153</v>
      </c>
    </row>
    <row r="2959" spans="16:19" x14ac:dyDescent="0.3">
      <c r="P2959">
        <v>2958</v>
      </c>
      <c r="Q2959">
        <v>-361516</v>
      </c>
      <c r="S2959">
        <v>224208</v>
      </c>
    </row>
    <row r="2960" spans="16:19" x14ac:dyDescent="0.3">
      <c r="P2960">
        <v>2959</v>
      </c>
      <c r="Q2960">
        <v>-2629</v>
      </c>
      <c r="S2960">
        <v>-458227</v>
      </c>
    </row>
    <row r="2961" spans="16:19" x14ac:dyDescent="0.3">
      <c r="P2961">
        <v>2960</v>
      </c>
      <c r="Q2961">
        <v>-70719</v>
      </c>
      <c r="S2961">
        <v>-567560</v>
      </c>
    </row>
    <row r="2962" spans="16:19" x14ac:dyDescent="0.3">
      <c r="P2962">
        <v>2961</v>
      </c>
      <c r="Q2962">
        <v>518814</v>
      </c>
      <c r="S2962">
        <v>497362</v>
      </c>
    </row>
    <row r="2963" spans="16:19" x14ac:dyDescent="0.3">
      <c r="P2963">
        <v>2962</v>
      </c>
      <c r="Q2963">
        <v>-147569</v>
      </c>
      <c r="S2963">
        <v>137781</v>
      </c>
    </row>
    <row r="2964" spans="16:19" x14ac:dyDescent="0.3">
      <c r="P2964">
        <v>2963</v>
      </c>
      <c r="Q2964">
        <v>-354274</v>
      </c>
      <c r="S2964">
        <v>-7235</v>
      </c>
    </row>
    <row r="2965" spans="16:19" x14ac:dyDescent="0.3">
      <c r="P2965">
        <v>2964</v>
      </c>
      <c r="Q2965">
        <v>-218925</v>
      </c>
      <c r="S2965">
        <v>-723345</v>
      </c>
    </row>
    <row r="2966" spans="16:19" x14ac:dyDescent="0.3">
      <c r="P2966">
        <v>2965</v>
      </c>
      <c r="Q2966">
        <v>195679</v>
      </c>
      <c r="S2966">
        <v>695293</v>
      </c>
    </row>
    <row r="2967" spans="16:19" x14ac:dyDescent="0.3">
      <c r="P2967">
        <v>2966</v>
      </c>
      <c r="Q2967">
        <v>159108</v>
      </c>
      <c r="S2967">
        <v>55386</v>
      </c>
    </row>
    <row r="2968" spans="16:19" x14ac:dyDescent="0.3">
      <c r="P2968">
        <v>2967</v>
      </c>
      <c r="Q2968">
        <v>-373304</v>
      </c>
      <c r="S2968">
        <v>-565035</v>
      </c>
    </row>
    <row r="2969" spans="16:19" x14ac:dyDescent="0.3">
      <c r="P2969">
        <v>2968</v>
      </c>
      <c r="Q2969">
        <v>-262329</v>
      </c>
      <c r="S2969">
        <v>-111253</v>
      </c>
    </row>
    <row r="2970" spans="16:19" x14ac:dyDescent="0.3">
      <c r="P2970">
        <v>2969</v>
      </c>
      <c r="Q2970">
        <v>-701372</v>
      </c>
      <c r="S2970">
        <v>-825384</v>
      </c>
    </row>
    <row r="2971" spans="16:19" x14ac:dyDescent="0.3">
      <c r="P2971">
        <v>2970</v>
      </c>
      <c r="Q2971">
        <v>-70095</v>
      </c>
      <c r="S2971">
        <v>-417092</v>
      </c>
    </row>
    <row r="2972" spans="16:19" x14ac:dyDescent="0.3">
      <c r="P2972">
        <v>2971</v>
      </c>
      <c r="Q2972">
        <v>868451</v>
      </c>
      <c r="S2972">
        <v>-421631</v>
      </c>
    </row>
    <row r="2973" spans="16:19" x14ac:dyDescent="0.3">
      <c r="P2973">
        <v>2972</v>
      </c>
      <c r="Q2973">
        <v>-740512</v>
      </c>
      <c r="S2973">
        <v>291953</v>
      </c>
    </row>
    <row r="2974" spans="16:19" x14ac:dyDescent="0.3">
      <c r="P2974">
        <v>2973</v>
      </c>
      <c r="Q2974">
        <v>677711</v>
      </c>
      <c r="S2974">
        <v>52330</v>
      </c>
    </row>
    <row r="2975" spans="16:19" x14ac:dyDescent="0.3">
      <c r="P2975">
        <v>2974</v>
      </c>
      <c r="Q2975">
        <v>-65199</v>
      </c>
      <c r="S2975">
        <v>-562585</v>
      </c>
    </row>
    <row r="2976" spans="16:19" x14ac:dyDescent="0.3">
      <c r="P2976">
        <v>2975</v>
      </c>
      <c r="Q2976">
        <v>-428476</v>
      </c>
      <c r="S2976">
        <v>-92965</v>
      </c>
    </row>
    <row r="2977" spans="16:19" x14ac:dyDescent="0.3">
      <c r="P2977">
        <v>2976</v>
      </c>
      <c r="Q2977">
        <v>49971</v>
      </c>
      <c r="S2977">
        <v>432897</v>
      </c>
    </row>
    <row r="2978" spans="16:19" x14ac:dyDescent="0.3">
      <c r="P2978">
        <v>2977</v>
      </c>
      <c r="Q2978">
        <v>108068</v>
      </c>
      <c r="S2978">
        <v>138927</v>
      </c>
    </row>
    <row r="2979" spans="16:19" x14ac:dyDescent="0.3">
      <c r="P2979">
        <v>2978</v>
      </c>
      <c r="Q2979">
        <v>387398</v>
      </c>
      <c r="S2979">
        <v>26672</v>
      </c>
    </row>
    <row r="2980" spans="16:19" x14ac:dyDescent="0.3">
      <c r="P2980">
        <v>2979</v>
      </c>
      <c r="Q2980">
        <v>75585</v>
      </c>
      <c r="S2980">
        <v>-398713</v>
      </c>
    </row>
    <row r="2981" spans="16:19" x14ac:dyDescent="0.3">
      <c r="P2981">
        <v>2980</v>
      </c>
      <c r="Q2981">
        <v>114613</v>
      </c>
      <c r="S2981">
        <v>9135</v>
      </c>
    </row>
    <row r="2982" spans="16:19" x14ac:dyDescent="0.3">
      <c r="P2982">
        <v>2981</v>
      </c>
      <c r="Q2982">
        <v>-379929</v>
      </c>
      <c r="S2982">
        <v>-617337</v>
      </c>
    </row>
    <row r="2983" spans="16:19" x14ac:dyDescent="0.3">
      <c r="P2983">
        <v>2982</v>
      </c>
      <c r="Q2983">
        <v>-177162</v>
      </c>
      <c r="S2983">
        <v>-380272</v>
      </c>
    </row>
    <row r="2984" spans="16:19" x14ac:dyDescent="0.3">
      <c r="P2984">
        <v>2983</v>
      </c>
      <c r="Q2984">
        <v>302481</v>
      </c>
      <c r="S2984">
        <v>-148929</v>
      </c>
    </row>
    <row r="2985" spans="16:19" x14ac:dyDescent="0.3">
      <c r="P2985">
        <v>2984</v>
      </c>
      <c r="Q2985">
        <v>-395672</v>
      </c>
      <c r="S2985">
        <v>-89917</v>
      </c>
    </row>
    <row r="2986" spans="16:19" x14ac:dyDescent="0.3">
      <c r="P2986">
        <v>2985</v>
      </c>
      <c r="Q2986">
        <v>629451</v>
      </c>
      <c r="S2986">
        <v>-353562</v>
      </c>
    </row>
    <row r="2987" spans="16:19" x14ac:dyDescent="0.3">
      <c r="P2987">
        <v>2986</v>
      </c>
      <c r="Q2987">
        <v>306510</v>
      </c>
      <c r="S2987">
        <v>753912</v>
      </c>
    </row>
    <row r="2988" spans="16:19" x14ac:dyDescent="0.3">
      <c r="P2988">
        <v>2987</v>
      </c>
      <c r="Q2988">
        <v>-411328</v>
      </c>
      <c r="S2988">
        <v>702390</v>
      </c>
    </row>
    <row r="2989" spans="16:19" x14ac:dyDescent="0.3">
      <c r="P2989">
        <v>2988</v>
      </c>
      <c r="Q2989">
        <v>-256186</v>
      </c>
      <c r="S2989">
        <v>-414517</v>
      </c>
    </row>
    <row r="2990" spans="16:19" x14ac:dyDescent="0.3">
      <c r="P2990">
        <v>2989</v>
      </c>
      <c r="Q2990">
        <v>661375</v>
      </c>
      <c r="S2990">
        <v>533537</v>
      </c>
    </row>
    <row r="2991" spans="16:19" x14ac:dyDescent="0.3">
      <c r="P2991">
        <v>2990</v>
      </c>
      <c r="Q2991">
        <v>268613</v>
      </c>
      <c r="S2991">
        <v>424435</v>
      </c>
    </row>
    <row r="2992" spans="16:19" x14ac:dyDescent="0.3">
      <c r="P2992">
        <v>2991</v>
      </c>
      <c r="Q2992">
        <v>-649692</v>
      </c>
      <c r="S2992">
        <v>-320299</v>
      </c>
    </row>
    <row r="2993" spans="16:19" x14ac:dyDescent="0.3">
      <c r="P2993">
        <v>2992</v>
      </c>
      <c r="Q2993">
        <v>-103500</v>
      </c>
      <c r="S2993">
        <v>449608</v>
      </c>
    </row>
    <row r="2994" spans="16:19" x14ac:dyDescent="0.3">
      <c r="P2994">
        <v>2993</v>
      </c>
      <c r="Q2994">
        <v>-61046</v>
      </c>
      <c r="S2994">
        <v>585197</v>
      </c>
    </row>
    <row r="2995" spans="16:19" x14ac:dyDescent="0.3">
      <c r="P2995">
        <v>2994</v>
      </c>
      <c r="Q2995">
        <v>353981</v>
      </c>
      <c r="S2995">
        <v>-134355</v>
      </c>
    </row>
    <row r="2996" spans="16:19" x14ac:dyDescent="0.3">
      <c r="P2996">
        <v>2995</v>
      </c>
      <c r="Q2996">
        <v>-36120</v>
      </c>
      <c r="S2996">
        <v>99381</v>
      </c>
    </row>
    <row r="2997" spans="16:19" x14ac:dyDescent="0.3">
      <c r="P2997">
        <v>2996</v>
      </c>
      <c r="Q2997">
        <v>254203</v>
      </c>
      <c r="S2997">
        <v>672722</v>
      </c>
    </row>
    <row r="2998" spans="16:19" x14ac:dyDescent="0.3">
      <c r="P2998">
        <v>2997</v>
      </c>
      <c r="Q2998">
        <v>116888</v>
      </c>
      <c r="S2998">
        <v>300503</v>
      </c>
    </row>
    <row r="2999" spans="16:19" x14ac:dyDescent="0.3">
      <c r="P2999">
        <v>2998</v>
      </c>
      <c r="Q2999">
        <v>-53582</v>
      </c>
      <c r="S2999">
        <v>-153893</v>
      </c>
    </row>
    <row r="3000" spans="16:19" x14ac:dyDescent="0.3">
      <c r="P3000">
        <v>2999</v>
      </c>
      <c r="Q3000">
        <v>-145715</v>
      </c>
      <c r="S3000">
        <v>556176</v>
      </c>
    </row>
    <row r="3001" spans="16:19" x14ac:dyDescent="0.3">
      <c r="P3001">
        <v>3000</v>
      </c>
      <c r="Q3001">
        <v>146128</v>
      </c>
      <c r="S3001">
        <v>-495785</v>
      </c>
    </row>
    <row r="3002" spans="16:19" x14ac:dyDescent="0.3">
      <c r="P3002">
        <v>3001</v>
      </c>
      <c r="Q3002">
        <v>336849</v>
      </c>
      <c r="S3002">
        <v>573332</v>
      </c>
    </row>
    <row r="3003" spans="16:19" x14ac:dyDescent="0.3">
      <c r="P3003">
        <v>3002</v>
      </c>
      <c r="Q3003">
        <v>372578</v>
      </c>
      <c r="S3003">
        <v>-515056</v>
      </c>
    </row>
    <row r="3004" spans="16:19" x14ac:dyDescent="0.3">
      <c r="P3004">
        <v>3003</v>
      </c>
      <c r="Q3004">
        <v>-477235</v>
      </c>
      <c r="S3004">
        <v>-269201</v>
      </c>
    </row>
    <row r="3005" spans="16:19" x14ac:dyDescent="0.3">
      <c r="P3005">
        <v>3004</v>
      </c>
      <c r="Q3005">
        <v>-396182</v>
      </c>
      <c r="S3005">
        <v>98400</v>
      </c>
    </row>
    <row r="3006" spans="16:19" x14ac:dyDescent="0.3">
      <c r="P3006">
        <v>3005</v>
      </c>
      <c r="Q3006">
        <v>-74665</v>
      </c>
      <c r="S3006">
        <v>-308379</v>
      </c>
    </row>
    <row r="3007" spans="16:19" x14ac:dyDescent="0.3">
      <c r="P3007">
        <v>3006</v>
      </c>
      <c r="Q3007">
        <v>-599684</v>
      </c>
      <c r="S3007">
        <v>258545</v>
      </c>
    </row>
    <row r="3008" spans="16:19" x14ac:dyDescent="0.3">
      <c r="P3008">
        <v>3007</v>
      </c>
      <c r="Q3008">
        <v>-352499</v>
      </c>
      <c r="S3008">
        <v>1037747</v>
      </c>
    </row>
    <row r="3009" spans="16:19" x14ac:dyDescent="0.3">
      <c r="P3009">
        <v>3008</v>
      </c>
      <c r="Q3009">
        <v>106102</v>
      </c>
      <c r="S3009">
        <v>407072</v>
      </c>
    </row>
    <row r="3010" spans="16:19" x14ac:dyDescent="0.3">
      <c r="P3010">
        <v>3009</v>
      </c>
      <c r="Q3010">
        <v>-663991</v>
      </c>
      <c r="S3010">
        <v>-594786</v>
      </c>
    </row>
    <row r="3011" spans="16:19" x14ac:dyDescent="0.3">
      <c r="P3011">
        <v>3010</v>
      </c>
      <c r="Q3011">
        <v>162975</v>
      </c>
      <c r="S3011">
        <v>-702377</v>
      </c>
    </row>
    <row r="3012" spans="16:19" x14ac:dyDescent="0.3">
      <c r="P3012">
        <v>3011</v>
      </c>
      <c r="Q3012">
        <v>415417</v>
      </c>
      <c r="S3012">
        <v>-312848</v>
      </c>
    </row>
    <row r="3013" spans="16:19" x14ac:dyDescent="0.3">
      <c r="P3013">
        <v>3012</v>
      </c>
      <c r="Q3013">
        <v>-202321</v>
      </c>
      <c r="S3013">
        <v>27243</v>
      </c>
    </row>
    <row r="3014" spans="16:19" x14ac:dyDescent="0.3">
      <c r="P3014">
        <v>3013</v>
      </c>
      <c r="Q3014">
        <v>484840</v>
      </c>
      <c r="S3014">
        <v>-197315</v>
      </c>
    </row>
    <row r="3015" spans="16:19" x14ac:dyDescent="0.3">
      <c r="P3015">
        <v>3014</v>
      </c>
      <c r="Q3015">
        <v>-712222</v>
      </c>
      <c r="S3015">
        <v>428143</v>
      </c>
    </row>
    <row r="3016" spans="16:19" x14ac:dyDescent="0.3">
      <c r="P3016">
        <v>3015</v>
      </c>
      <c r="Q3016">
        <v>179364</v>
      </c>
      <c r="S3016">
        <v>-33672</v>
      </c>
    </row>
    <row r="3017" spans="16:19" x14ac:dyDescent="0.3">
      <c r="P3017">
        <v>3016</v>
      </c>
      <c r="Q3017">
        <v>473673</v>
      </c>
      <c r="S3017">
        <v>237120</v>
      </c>
    </row>
    <row r="3018" spans="16:19" x14ac:dyDescent="0.3">
      <c r="P3018">
        <v>3017</v>
      </c>
      <c r="Q3018">
        <v>623749</v>
      </c>
      <c r="S3018">
        <v>140366</v>
      </c>
    </row>
    <row r="3019" spans="16:19" x14ac:dyDescent="0.3">
      <c r="P3019">
        <v>3018</v>
      </c>
      <c r="Q3019">
        <v>220094</v>
      </c>
      <c r="S3019">
        <v>866406</v>
      </c>
    </row>
    <row r="3020" spans="16:19" x14ac:dyDescent="0.3">
      <c r="P3020">
        <v>3019</v>
      </c>
      <c r="Q3020">
        <v>-489105</v>
      </c>
      <c r="S3020">
        <v>-34298</v>
      </c>
    </row>
    <row r="3021" spans="16:19" x14ac:dyDescent="0.3">
      <c r="P3021">
        <v>3020</v>
      </c>
      <c r="Q3021">
        <v>456921</v>
      </c>
      <c r="S3021">
        <v>-342405</v>
      </c>
    </row>
    <row r="3022" spans="16:19" x14ac:dyDescent="0.3">
      <c r="P3022">
        <v>3021</v>
      </c>
      <c r="Q3022">
        <v>404167</v>
      </c>
      <c r="S3022">
        <v>-618058</v>
      </c>
    </row>
    <row r="3023" spans="16:19" x14ac:dyDescent="0.3">
      <c r="P3023">
        <v>3022</v>
      </c>
      <c r="Q3023">
        <v>-303748</v>
      </c>
      <c r="S3023">
        <v>-512367</v>
      </c>
    </row>
    <row r="3024" spans="16:19" x14ac:dyDescent="0.3">
      <c r="P3024">
        <v>3023</v>
      </c>
      <c r="Q3024">
        <v>-395271</v>
      </c>
      <c r="S3024">
        <v>-91153</v>
      </c>
    </row>
    <row r="3025" spans="16:19" x14ac:dyDescent="0.3">
      <c r="P3025">
        <v>3024</v>
      </c>
      <c r="Q3025">
        <v>87905</v>
      </c>
      <c r="S3025">
        <v>226892</v>
      </c>
    </row>
    <row r="3026" spans="16:19" x14ac:dyDescent="0.3">
      <c r="P3026">
        <v>3025</v>
      </c>
      <c r="Q3026">
        <v>1040447</v>
      </c>
      <c r="S3026">
        <v>564652</v>
      </c>
    </row>
    <row r="3027" spans="16:19" x14ac:dyDescent="0.3">
      <c r="P3027">
        <v>3026</v>
      </c>
      <c r="Q3027">
        <v>218450</v>
      </c>
      <c r="S3027">
        <v>200832</v>
      </c>
    </row>
    <row r="3028" spans="16:19" x14ac:dyDescent="0.3">
      <c r="P3028">
        <v>3027</v>
      </c>
      <c r="Q3028">
        <v>-466381</v>
      </c>
      <c r="S3028">
        <v>-683969</v>
      </c>
    </row>
    <row r="3029" spans="16:19" x14ac:dyDescent="0.3">
      <c r="P3029">
        <v>3028</v>
      </c>
      <c r="Q3029">
        <v>-276350</v>
      </c>
      <c r="S3029">
        <v>877666</v>
      </c>
    </row>
    <row r="3030" spans="16:19" x14ac:dyDescent="0.3">
      <c r="P3030">
        <v>3029</v>
      </c>
      <c r="Q3030">
        <v>-593583</v>
      </c>
      <c r="S3030">
        <v>-27169</v>
      </c>
    </row>
    <row r="3031" spans="16:19" x14ac:dyDescent="0.3">
      <c r="P3031">
        <v>3030</v>
      </c>
      <c r="Q3031">
        <v>-687239</v>
      </c>
      <c r="S3031">
        <v>-132794</v>
      </c>
    </row>
    <row r="3032" spans="16:19" x14ac:dyDescent="0.3">
      <c r="P3032">
        <v>3031</v>
      </c>
      <c r="Q3032">
        <v>776249</v>
      </c>
      <c r="S3032">
        <v>391670</v>
      </c>
    </row>
    <row r="3033" spans="16:19" x14ac:dyDescent="0.3">
      <c r="P3033">
        <v>3032</v>
      </c>
      <c r="Q3033">
        <v>-359675</v>
      </c>
      <c r="S3033">
        <v>-90301</v>
      </c>
    </row>
    <row r="3034" spans="16:19" x14ac:dyDescent="0.3">
      <c r="P3034">
        <v>3033</v>
      </c>
      <c r="Q3034">
        <v>-167924</v>
      </c>
      <c r="S3034">
        <v>-80614</v>
      </c>
    </row>
    <row r="3035" spans="16:19" x14ac:dyDescent="0.3">
      <c r="P3035">
        <v>3034</v>
      </c>
      <c r="Q3035">
        <v>-389532</v>
      </c>
      <c r="S3035">
        <v>10985</v>
      </c>
    </row>
    <row r="3036" spans="16:19" x14ac:dyDescent="0.3">
      <c r="P3036">
        <v>3035</v>
      </c>
      <c r="Q3036">
        <v>-167044</v>
      </c>
      <c r="S3036">
        <v>434382</v>
      </c>
    </row>
    <row r="3037" spans="16:19" x14ac:dyDescent="0.3">
      <c r="P3037">
        <v>3036</v>
      </c>
      <c r="Q3037">
        <v>1087821</v>
      </c>
      <c r="S3037">
        <v>-706736</v>
      </c>
    </row>
    <row r="3038" spans="16:19" x14ac:dyDescent="0.3">
      <c r="P3038">
        <v>3037</v>
      </c>
      <c r="Q3038">
        <v>472535</v>
      </c>
      <c r="S3038">
        <v>244267</v>
      </c>
    </row>
    <row r="3039" spans="16:19" x14ac:dyDescent="0.3">
      <c r="P3039">
        <v>3038</v>
      </c>
      <c r="Q3039">
        <v>68382</v>
      </c>
      <c r="S3039">
        <v>-460499</v>
      </c>
    </row>
    <row r="3040" spans="16:19" x14ac:dyDescent="0.3">
      <c r="P3040">
        <v>3039</v>
      </c>
      <c r="Q3040">
        <v>-506681</v>
      </c>
      <c r="S3040">
        <v>531172</v>
      </c>
    </row>
    <row r="3041" spans="16:19" x14ac:dyDescent="0.3">
      <c r="P3041">
        <v>3040</v>
      </c>
      <c r="Q3041">
        <v>-356600</v>
      </c>
      <c r="S3041">
        <v>-98623</v>
      </c>
    </row>
    <row r="3042" spans="16:19" x14ac:dyDescent="0.3">
      <c r="P3042">
        <v>3041</v>
      </c>
      <c r="Q3042">
        <v>244640</v>
      </c>
      <c r="S3042">
        <v>298997</v>
      </c>
    </row>
    <row r="3043" spans="16:19" x14ac:dyDescent="0.3">
      <c r="P3043">
        <v>3042</v>
      </c>
      <c r="Q3043">
        <v>-36311</v>
      </c>
      <c r="S3043">
        <v>-524120</v>
      </c>
    </row>
    <row r="3044" spans="16:19" x14ac:dyDescent="0.3">
      <c r="P3044">
        <v>3043</v>
      </c>
      <c r="Q3044">
        <v>-442512</v>
      </c>
      <c r="S3044">
        <v>238388</v>
      </c>
    </row>
    <row r="3045" spans="16:19" x14ac:dyDescent="0.3">
      <c r="P3045">
        <v>3044</v>
      </c>
      <c r="Q3045">
        <v>310758</v>
      </c>
      <c r="S3045">
        <v>-425963</v>
      </c>
    </row>
    <row r="3046" spans="16:19" x14ac:dyDescent="0.3">
      <c r="P3046">
        <v>3045</v>
      </c>
      <c r="Q3046">
        <v>-461732</v>
      </c>
      <c r="S3046">
        <v>-101253</v>
      </c>
    </row>
    <row r="3047" spans="16:19" x14ac:dyDescent="0.3">
      <c r="P3047">
        <v>3046</v>
      </c>
      <c r="Q3047">
        <v>-271070</v>
      </c>
      <c r="S3047">
        <v>-672824</v>
      </c>
    </row>
    <row r="3048" spans="16:19" x14ac:dyDescent="0.3">
      <c r="P3048">
        <v>3047</v>
      </c>
      <c r="Q3048">
        <v>-518067</v>
      </c>
      <c r="S3048">
        <v>99918</v>
      </c>
    </row>
    <row r="3049" spans="16:19" x14ac:dyDescent="0.3">
      <c r="P3049">
        <v>3048</v>
      </c>
      <c r="Q3049">
        <v>-58556</v>
      </c>
      <c r="S3049">
        <v>600236</v>
      </c>
    </row>
    <row r="3050" spans="16:19" x14ac:dyDescent="0.3">
      <c r="P3050">
        <v>3049</v>
      </c>
      <c r="Q3050">
        <v>106655</v>
      </c>
      <c r="S3050">
        <v>463466</v>
      </c>
    </row>
    <row r="3051" spans="16:19" x14ac:dyDescent="0.3">
      <c r="P3051">
        <v>3050</v>
      </c>
      <c r="Q3051">
        <v>700923</v>
      </c>
      <c r="S3051">
        <v>623528</v>
      </c>
    </row>
    <row r="3052" spans="16:19" x14ac:dyDescent="0.3">
      <c r="P3052">
        <v>3051</v>
      </c>
      <c r="Q3052">
        <v>29704</v>
      </c>
      <c r="S3052">
        <v>-430438</v>
      </c>
    </row>
    <row r="3053" spans="16:19" x14ac:dyDescent="0.3">
      <c r="P3053">
        <v>3052</v>
      </c>
      <c r="Q3053">
        <v>222504</v>
      </c>
      <c r="S3053">
        <v>-252271</v>
      </c>
    </row>
    <row r="3054" spans="16:19" x14ac:dyDescent="0.3">
      <c r="P3054">
        <v>3053</v>
      </c>
      <c r="Q3054">
        <v>-233309</v>
      </c>
      <c r="S3054">
        <v>522848</v>
      </c>
    </row>
    <row r="3055" spans="16:19" x14ac:dyDescent="0.3">
      <c r="P3055">
        <v>3054</v>
      </c>
      <c r="Q3055">
        <v>718740</v>
      </c>
      <c r="S3055">
        <v>-473068</v>
      </c>
    </row>
    <row r="3056" spans="16:19" x14ac:dyDescent="0.3">
      <c r="P3056">
        <v>3055</v>
      </c>
      <c r="Q3056">
        <v>671779</v>
      </c>
      <c r="S3056">
        <v>125582</v>
      </c>
    </row>
    <row r="3057" spans="16:19" x14ac:dyDescent="0.3">
      <c r="P3057">
        <v>3056</v>
      </c>
      <c r="Q3057">
        <v>199844</v>
      </c>
      <c r="S3057">
        <v>-727838</v>
      </c>
    </row>
    <row r="3058" spans="16:19" x14ac:dyDescent="0.3">
      <c r="P3058">
        <v>3057</v>
      </c>
      <c r="Q3058">
        <v>700719</v>
      </c>
      <c r="S3058">
        <v>-689303</v>
      </c>
    </row>
    <row r="3059" spans="16:19" x14ac:dyDescent="0.3">
      <c r="P3059">
        <v>3058</v>
      </c>
      <c r="Q3059">
        <v>-193574</v>
      </c>
      <c r="S3059">
        <v>-541116</v>
      </c>
    </row>
    <row r="3060" spans="16:19" x14ac:dyDescent="0.3">
      <c r="P3060">
        <v>3059</v>
      </c>
      <c r="Q3060">
        <v>653700</v>
      </c>
      <c r="S3060">
        <v>-681091</v>
      </c>
    </row>
    <row r="3061" spans="16:19" x14ac:dyDescent="0.3">
      <c r="P3061">
        <v>3060</v>
      </c>
      <c r="Q3061">
        <v>507064</v>
      </c>
      <c r="S3061">
        <v>450823</v>
      </c>
    </row>
    <row r="3062" spans="16:19" x14ac:dyDescent="0.3">
      <c r="P3062">
        <v>3061</v>
      </c>
      <c r="Q3062">
        <v>62656</v>
      </c>
      <c r="S3062">
        <v>-488694</v>
      </c>
    </row>
    <row r="3063" spans="16:19" x14ac:dyDescent="0.3">
      <c r="P3063">
        <v>3062</v>
      </c>
      <c r="Q3063">
        <v>212823</v>
      </c>
      <c r="S3063">
        <v>-286304</v>
      </c>
    </row>
    <row r="3064" spans="16:19" x14ac:dyDescent="0.3">
      <c r="P3064">
        <v>3063</v>
      </c>
      <c r="Q3064">
        <v>651026</v>
      </c>
      <c r="S3064">
        <v>-373829</v>
      </c>
    </row>
    <row r="3065" spans="16:19" x14ac:dyDescent="0.3">
      <c r="P3065">
        <v>3064</v>
      </c>
      <c r="Q3065">
        <v>-308903</v>
      </c>
      <c r="S3065">
        <v>142301</v>
      </c>
    </row>
    <row r="3066" spans="16:19" x14ac:dyDescent="0.3">
      <c r="P3066">
        <v>3065</v>
      </c>
      <c r="Q3066">
        <v>-626156</v>
      </c>
      <c r="S3066">
        <v>200551</v>
      </c>
    </row>
    <row r="3067" spans="16:19" x14ac:dyDescent="0.3">
      <c r="P3067">
        <v>3066</v>
      </c>
      <c r="Q3067">
        <v>604282</v>
      </c>
      <c r="S3067">
        <v>175035</v>
      </c>
    </row>
    <row r="3068" spans="16:19" x14ac:dyDescent="0.3">
      <c r="P3068">
        <v>3067</v>
      </c>
      <c r="Q3068">
        <v>655734</v>
      </c>
      <c r="S3068">
        <v>146227</v>
      </c>
    </row>
    <row r="3069" spans="16:19" x14ac:dyDescent="0.3">
      <c r="P3069">
        <v>3068</v>
      </c>
      <c r="Q3069">
        <v>-674820</v>
      </c>
      <c r="S3069">
        <v>-183615</v>
      </c>
    </row>
    <row r="3070" spans="16:19" x14ac:dyDescent="0.3">
      <c r="P3070">
        <v>3069</v>
      </c>
      <c r="Q3070">
        <v>-234870</v>
      </c>
      <c r="S3070">
        <v>-401690</v>
      </c>
    </row>
    <row r="3071" spans="16:19" x14ac:dyDescent="0.3">
      <c r="P3071">
        <v>3070</v>
      </c>
      <c r="Q3071">
        <v>285748</v>
      </c>
      <c r="S3071">
        <v>-613330</v>
      </c>
    </row>
    <row r="3072" spans="16:19" x14ac:dyDescent="0.3">
      <c r="P3072">
        <v>3071</v>
      </c>
      <c r="Q3072">
        <v>508675</v>
      </c>
      <c r="S3072">
        <v>677070</v>
      </c>
    </row>
    <row r="3073" spans="16:19" x14ac:dyDescent="0.3">
      <c r="P3073">
        <v>3072</v>
      </c>
      <c r="Q3073">
        <v>-581338</v>
      </c>
      <c r="S3073">
        <v>458231</v>
      </c>
    </row>
    <row r="3074" spans="16:19" x14ac:dyDescent="0.3">
      <c r="P3074">
        <v>3073</v>
      </c>
      <c r="Q3074">
        <v>-716133</v>
      </c>
      <c r="S3074">
        <v>-185464</v>
      </c>
    </row>
    <row r="3075" spans="16:19" x14ac:dyDescent="0.3">
      <c r="P3075">
        <v>3074</v>
      </c>
      <c r="Q3075">
        <v>-320760</v>
      </c>
      <c r="S3075">
        <v>-126033</v>
      </c>
    </row>
    <row r="3076" spans="16:19" x14ac:dyDescent="0.3">
      <c r="P3076">
        <v>3075</v>
      </c>
      <c r="Q3076">
        <v>-128044</v>
      </c>
      <c r="S3076">
        <v>-598258</v>
      </c>
    </row>
    <row r="3077" spans="16:19" x14ac:dyDescent="0.3">
      <c r="P3077">
        <v>3076</v>
      </c>
      <c r="Q3077">
        <v>-172886</v>
      </c>
      <c r="S3077">
        <v>-687470</v>
      </c>
    </row>
    <row r="3078" spans="16:19" x14ac:dyDescent="0.3">
      <c r="P3078">
        <v>3077</v>
      </c>
      <c r="Q3078">
        <v>-201821</v>
      </c>
      <c r="S3078">
        <v>-460086</v>
      </c>
    </row>
    <row r="3079" spans="16:19" x14ac:dyDescent="0.3">
      <c r="P3079">
        <v>3078</v>
      </c>
      <c r="Q3079">
        <v>-505724</v>
      </c>
      <c r="S3079">
        <v>-467881</v>
      </c>
    </row>
    <row r="3080" spans="16:19" x14ac:dyDescent="0.3">
      <c r="P3080">
        <v>3079</v>
      </c>
      <c r="Q3080">
        <v>692491</v>
      </c>
      <c r="S3080">
        <v>-397174</v>
      </c>
    </row>
    <row r="3081" spans="16:19" x14ac:dyDescent="0.3">
      <c r="P3081">
        <v>3080</v>
      </c>
      <c r="Q3081">
        <v>361526</v>
      </c>
      <c r="S3081">
        <v>-384806</v>
      </c>
    </row>
    <row r="3082" spans="16:19" x14ac:dyDescent="0.3">
      <c r="P3082">
        <v>3081</v>
      </c>
      <c r="Q3082">
        <v>-460378</v>
      </c>
      <c r="S3082">
        <v>-62522</v>
      </c>
    </row>
    <row r="3083" spans="16:19" x14ac:dyDescent="0.3">
      <c r="P3083">
        <v>3082</v>
      </c>
      <c r="Q3083">
        <v>-156341</v>
      </c>
      <c r="S3083">
        <v>490644</v>
      </c>
    </row>
    <row r="3084" spans="16:19" x14ac:dyDescent="0.3">
      <c r="P3084">
        <v>3083</v>
      </c>
      <c r="Q3084">
        <v>-759498</v>
      </c>
      <c r="S3084">
        <v>56475</v>
      </c>
    </row>
    <row r="3085" spans="16:19" x14ac:dyDescent="0.3">
      <c r="P3085">
        <v>3084</v>
      </c>
      <c r="Q3085">
        <v>-407353</v>
      </c>
      <c r="S3085">
        <v>-337258</v>
      </c>
    </row>
    <row r="3086" spans="16:19" x14ac:dyDescent="0.3">
      <c r="P3086">
        <v>3085</v>
      </c>
      <c r="Q3086">
        <v>601331</v>
      </c>
      <c r="S3086">
        <v>-456188</v>
      </c>
    </row>
    <row r="3087" spans="16:19" x14ac:dyDescent="0.3">
      <c r="P3087">
        <v>3086</v>
      </c>
      <c r="Q3087">
        <v>-127684</v>
      </c>
      <c r="S3087">
        <v>-319776</v>
      </c>
    </row>
    <row r="3088" spans="16:19" x14ac:dyDescent="0.3">
      <c r="P3088">
        <v>3087</v>
      </c>
      <c r="Q3088">
        <v>23293</v>
      </c>
      <c r="S3088">
        <v>-78787</v>
      </c>
    </row>
    <row r="3089" spans="16:19" x14ac:dyDescent="0.3">
      <c r="P3089">
        <v>3088</v>
      </c>
      <c r="Q3089">
        <v>-670900</v>
      </c>
      <c r="S3089">
        <v>813188</v>
      </c>
    </row>
    <row r="3090" spans="16:19" x14ac:dyDescent="0.3">
      <c r="P3090">
        <v>3089</v>
      </c>
      <c r="Q3090">
        <v>-703569</v>
      </c>
      <c r="S3090">
        <v>774803</v>
      </c>
    </row>
    <row r="3091" spans="16:19" x14ac:dyDescent="0.3">
      <c r="P3091">
        <v>3090</v>
      </c>
      <c r="Q3091">
        <v>101946</v>
      </c>
      <c r="S3091">
        <v>-121451</v>
      </c>
    </row>
    <row r="3092" spans="16:19" x14ac:dyDescent="0.3">
      <c r="P3092">
        <v>3091</v>
      </c>
      <c r="Q3092">
        <v>136279</v>
      </c>
      <c r="S3092">
        <v>-407910</v>
      </c>
    </row>
    <row r="3093" spans="16:19" x14ac:dyDescent="0.3">
      <c r="P3093">
        <v>3092</v>
      </c>
      <c r="Q3093">
        <v>290939</v>
      </c>
      <c r="S3093">
        <v>188060</v>
      </c>
    </row>
    <row r="3094" spans="16:19" x14ac:dyDescent="0.3">
      <c r="P3094">
        <v>3093</v>
      </c>
      <c r="Q3094">
        <v>-146189</v>
      </c>
      <c r="S3094">
        <v>-3127</v>
      </c>
    </row>
    <row r="3095" spans="16:19" x14ac:dyDescent="0.3">
      <c r="P3095">
        <v>3094</v>
      </c>
      <c r="Q3095">
        <v>-29535</v>
      </c>
      <c r="S3095">
        <v>362251</v>
      </c>
    </row>
    <row r="3096" spans="16:19" x14ac:dyDescent="0.3">
      <c r="P3096">
        <v>3095</v>
      </c>
      <c r="Q3096">
        <v>-192639</v>
      </c>
      <c r="S3096">
        <v>421014</v>
      </c>
    </row>
    <row r="3097" spans="16:19" x14ac:dyDescent="0.3">
      <c r="P3097">
        <v>3096</v>
      </c>
      <c r="Q3097">
        <v>-762258</v>
      </c>
      <c r="S3097">
        <v>413430</v>
      </c>
    </row>
    <row r="3098" spans="16:19" x14ac:dyDescent="0.3">
      <c r="P3098">
        <v>3097</v>
      </c>
      <c r="Q3098">
        <v>-359968</v>
      </c>
      <c r="S3098">
        <v>119684</v>
      </c>
    </row>
    <row r="3099" spans="16:19" x14ac:dyDescent="0.3">
      <c r="P3099">
        <v>3098</v>
      </c>
      <c r="Q3099">
        <v>224983</v>
      </c>
      <c r="S3099">
        <v>244839</v>
      </c>
    </row>
    <row r="3100" spans="16:19" x14ac:dyDescent="0.3">
      <c r="P3100">
        <v>3099</v>
      </c>
      <c r="Q3100">
        <v>94458</v>
      </c>
      <c r="S3100">
        <v>138547</v>
      </c>
    </row>
    <row r="3101" spans="16:19" x14ac:dyDescent="0.3">
      <c r="P3101">
        <v>3100</v>
      </c>
      <c r="Q3101">
        <v>604059</v>
      </c>
      <c r="S3101">
        <v>265096</v>
      </c>
    </row>
    <row r="3102" spans="16:19" x14ac:dyDescent="0.3">
      <c r="P3102">
        <v>3101</v>
      </c>
      <c r="Q3102">
        <v>-61711</v>
      </c>
      <c r="S3102">
        <v>350151</v>
      </c>
    </row>
    <row r="3103" spans="16:19" x14ac:dyDescent="0.3">
      <c r="P3103">
        <v>3102</v>
      </c>
      <c r="Q3103">
        <v>563662</v>
      </c>
      <c r="S3103">
        <v>806603</v>
      </c>
    </row>
    <row r="3104" spans="16:19" x14ac:dyDescent="0.3">
      <c r="P3104">
        <v>3103</v>
      </c>
      <c r="Q3104">
        <v>286833</v>
      </c>
      <c r="S3104">
        <v>-89751</v>
      </c>
    </row>
    <row r="3105" spans="16:19" x14ac:dyDescent="0.3">
      <c r="P3105">
        <v>3104</v>
      </c>
      <c r="Q3105">
        <v>424593</v>
      </c>
      <c r="S3105">
        <v>-745496</v>
      </c>
    </row>
    <row r="3106" spans="16:19" x14ac:dyDescent="0.3">
      <c r="P3106">
        <v>3105</v>
      </c>
      <c r="Q3106">
        <v>557817</v>
      </c>
      <c r="S3106">
        <v>351038</v>
      </c>
    </row>
    <row r="3107" spans="16:19" x14ac:dyDescent="0.3">
      <c r="P3107">
        <v>3106</v>
      </c>
      <c r="Q3107">
        <v>-106776</v>
      </c>
      <c r="S3107">
        <v>553530</v>
      </c>
    </row>
    <row r="3108" spans="16:19" x14ac:dyDescent="0.3">
      <c r="P3108">
        <v>3107</v>
      </c>
      <c r="Q3108">
        <v>-579855</v>
      </c>
      <c r="S3108">
        <v>581879</v>
      </c>
    </row>
    <row r="3109" spans="16:19" x14ac:dyDescent="0.3">
      <c r="P3109">
        <v>3108</v>
      </c>
      <c r="Q3109">
        <v>236380</v>
      </c>
      <c r="S3109">
        <v>86395</v>
      </c>
    </row>
    <row r="3110" spans="16:19" x14ac:dyDescent="0.3">
      <c r="P3110">
        <v>3109</v>
      </c>
      <c r="Q3110">
        <v>-97863</v>
      </c>
      <c r="S3110">
        <v>-499890</v>
      </c>
    </row>
    <row r="3111" spans="16:19" x14ac:dyDescent="0.3">
      <c r="P3111">
        <v>3110</v>
      </c>
      <c r="Q3111">
        <v>127465</v>
      </c>
      <c r="S3111">
        <v>-518239</v>
      </c>
    </row>
    <row r="3112" spans="16:19" x14ac:dyDescent="0.3">
      <c r="P3112">
        <v>3111</v>
      </c>
      <c r="Q3112">
        <v>106696</v>
      </c>
      <c r="S3112">
        <v>199210</v>
      </c>
    </row>
    <row r="3113" spans="16:19" x14ac:dyDescent="0.3">
      <c r="P3113">
        <v>3112</v>
      </c>
      <c r="Q3113">
        <v>-174869</v>
      </c>
      <c r="S3113">
        <v>131469</v>
      </c>
    </row>
    <row r="3114" spans="16:19" x14ac:dyDescent="0.3">
      <c r="P3114">
        <v>3113</v>
      </c>
      <c r="Q3114">
        <v>442915</v>
      </c>
      <c r="S3114">
        <v>-745367</v>
      </c>
    </row>
    <row r="3115" spans="16:19" x14ac:dyDescent="0.3">
      <c r="P3115">
        <v>3114</v>
      </c>
      <c r="Q3115">
        <v>142690</v>
      </c>
      <c r="S3115">
        <v>221224</v>
      </c>
    </row>
    <row r="3116" spans="16:19" x14ac:dyDescent="0.3">
      <c r="P3116">
        <v>3115</v>
      </c>
      <c r="Q3116">
        <v>375712</v>
      </c>
      <c r="S3116">
        <v>-100532</v>
      </c>
    </row>
    <row r="3117" spans="16:19" x14ac:dyDescent="0.3">
      <c r="P3117">
        <v>3116</v>
      </c>
      <c r="Q3117">
        <v>255051</v>
      </c>
      <c r="S3117">
        <v>-204634</v>
      </c>
    </row>
    <row r="3118" spans="16:19" x14ac:dyDescent="0.3">
      <c r="P3118">
        <v>3117</v>
      </c>
      <c r="Q3118">
        <v>-606277</v>
      </c>
      <c r="S3118">
        <v>-84888</v>
      </c>
    </row>
    <row r="3119" spans="16:19" x14ac:dyDescent="0.3">
      <c r="P3119">
        <v>3118</v>
      </c>
      <c r="Q3119">
        <v>-11592</v>
      </c>
      <c r="S3119">
        <v>-621384</v>
      </c>
    </row>
    <row r="3120" spans="16:19" x14ac:dyDescent="0.3">
      <c r="P3120">
        <v>3119</v>
      </c>
      <c r="Q3120">
        <v>4876</v>
      </c>
      <c r="S3120">
        <v>130619</v>
      </c>
    </row>
    <row r="3121" spans="16:19" x14ac:dyDescent="0.3">
      <c r="P3121">
        <v>3120</v>
      </c>
      <c r="Q3121">
        <v>197046</v>
      </c>
      <c r="S3121">
        <v>-344259</v>
      </c>
    </row>
    <row r="3122" spans="16:19" x14ac:dyDescent="0.3">
      <c r="P3122">
        <v>3121</v>
      </c>
      <c r="Q3122">
        <v>-344387</v>
      </c>
      <c r="S3122">
        <v>-586625</v>
      </c>
    </row>
    <row r="3123" spans="16:19" x14ac:dyDescent="0.3">
      <c r="P3123">
        <v>3122</v>
      </c>
      <c r="Q3123">
        <v>-561053</v>
      </c>
      <c r="S3123">
        <v>210088</v>
      </c>
    </row>
    <row r="3124" spans="16:19" x14ac:dyDescent="0.3">
      <c r="P3124">
        <v>3123</v>
      </c>
      <c r="Q3124">
        <v>-99047</v>
      </c>
      <c r="S3124">
        <v>-678343</v>
      </c>
    </row>
    <row r="3125" spans="16:19" x14ac:dyDescent="0.3">
      <c r="P3125">
        <v>3124</v>
      </c>
      <c r="Q3125">
        <v>-332159</v>
      </c>
      <c r="S3125">
        <v>365927</v>
      </c>
    </row>
    <row r="3126" spans="16:19" x14ac:dyDescent="0.3">
      <c r="P3126">
        <v>3125</v>
      </c>
      <c r="Q3126">
        <v>-482944</v>
      </c>
      <c r="S3126">
        <v>-495455</v>
      </c>
    </row>
    <row r="3127" spans="16:19" x14ac:dyDescent="0.3">
      <c r="P3127">
        <v>3126</v>
      </c>
      <c r="Q3127">
        <v>-260153</v>
      </c>
      <c r="S3127">
        <v>774731</v>
      </c>
    </row>
    <row r="3128" spans="16:19" x14ac:dyDescent="0.3">
      <c r="P3128">
        <v>3127</v>
      </c>
      <c r="Q3128">
        <v>-87891</v>
      </c>
      <c r="S3128">
        <v>471660</v>
      </c>
    </row>
    <row r="3129" spans="16:19" x14ac:dyDescent="0.3">
      <c r="P3129">
        <v>3128</v>
      </c>
      <c r="Q3129">
        <v>-520885</v>
      </c>
      <c r="S3129">
        <v>396429</v>
      </c>
    </row>
    <row r="3130" spans="16:19" x14ac:dyDescent="0.3">
      <c r="P3130">
        <v>3129</v>
      </c>
      <c r="Q3130">
        <v>41358</v>
      </c>
      <c r="S3130">
        <v>-587496</v>
      </c>
    </row>
    <row r="3131" spans="16:19" x14ac:dyDescent="0.3">
      <c r="P3131">
        <v>3130</v>
      </c>
      <c r="Q3131">
        <v>319383</v>
      </c>
      <c r="S3131">
        <v>-654970</v>
      </c>
    </row>
    <row r="3132" spans="16:19" x14ac:dyDescent="0.3">
      <c r="P3132">
        <v>3131</v>
      </c>
      <c r="Q3132">
        <v>-223572</v>
      </c>
      <c r="S3132">
        <v>553974</v>
      </c>
    </row>
    <row r="3133" spans="16:19" x14ac:dyDescent="0.3">
      <c r="P3133">
        <v>3132</v>
      </c>
      <c r="Q3133">
        <v>-153448</v>
      </c>
      <c r="S3133">
        <v>-294904</v>
      </c>
    </row>
    <row r="3134" spans="16:19" x14ac:dyDescent="0.3">
      <c r="P3134">
        <v>3133</v>
      </c>
      <c r="Q3134">
        <v>-478889</v>
      </c>
      <c r="S3134">
        <v>360956</v>
      </c>
    </row>
    <row r="3135" spans="16:19" x14ac:dyDescent="0.3">
      <c r="P3135">
        <v>3134</v>
      </c>
      <c r="Q3135">
        <v>-470066</v>
      </c>
      <c r="S3135">
        <v>-435386</v>
      </c>
    </row>
    <row r="3136" spans="16:19" x14ac:dyDescent="0.3">
      <c r="P3136">
        <v>3135</v>
      </c>
      <c r="Q3136">
        <v>528434</v>
      </c>
      <c r="S3136">
        <v>-508377</v>
      </c>
    </row>
    <row r="3137" spans="16:19" x14ac:dyDescent="0.3">
      <c r="P3137">
        <v>3136</v>
      </c>
      <c r="Q3137">
        <v>-707318</v>
      </c>
      <c r="S3137">
        <v>759360</v>
      </c>
    </row>
    <row r="3138" spans="16:19" x14ac:dyDescent="0.3">
      <c r="P3138">
        <v>3137</v>
      </c>
      <c r="Q3138">
        <v>338435</v>
      </c>
      <c r="S3138">
        <v>-479147</v>
      </c>
    </row>
    <row r="3139" spans="16:19" x14ac:dyDescent="0.3">
      <c r="P3139">
        <v>3138</v>
      </c>
      <c r="Q3139">
        <v>-34458</v>
      </c>
      <c r="S3139">
        <v>-309510</v>
      </c>
    </row>
    <row r="3140" spans="16:19" x14ac:dyDescent="0.3">
      <c r="P3140">
        <v>3139</v>
      </c>
      <c r="Q3140">
        <v>-76786</v>
      </c>
      <c r="S3140">
        <v>197343</v>
      </c>
    </row>
    <row r="3141" spans="16:19" x14ac:dyDescent="0.3">
      <c r="P3141">
        <v>3140</v>
      </c>
      <c r="Q3141">
        <v>755301</v>
      </c>
      <c r="S3141">
        <v>458583</v>
      </c>
    </row>
    <row r="3142" spans="16:19" x14ac:dyDescent="0.3">
      <c r="P3142">
        <v>3141</v>
      </c>
      <c r="Q3142">
        <v>125310</v>
      </c>
      <c r="S3142">
        <v>-552066</v>
      </c>
    </row>
    <row r="3143" spans="16:19" x14ac:dyDescent="0.3">
      <c r="P3143">
        <v>3142</v>
      </c>
      <c r="Q3143">
        <v>-204824</v>
      </c>
      <c r="S3143">
        <v>280158</v>
      </c>
    </row>
    <row r="3144" spans="16:19" x14ac:dyDescent="0.3">
      <c r="P3144">
        <v>3143</v>
      </c>
      <c r="Q3144">
        <v>44128</v>
      </c>
      <c r="S3144">
        <v>-681108</v>
      </c>
    </row>
    <row r="3145" spans="16:19" x14ac:dyDescent="0.3">
      <c r="P3145">
        <v>3144</v>
      </c>
      <c r="Q3145">
        <v>183765</v>
      </c>
      <c r="S3145">
        <v>1379</v>
      </c>
    </row>
    <row r="3146" spans="16:19" x14ac:dyDescent="0.3">
      <c r="P3146">
        <v>3145</v>
      </c>
      <c r="Q3146">
        <v>44878</v>
      </c>
      <c r="S3146">
        <v>-369776</v>
      </c>
    </row>
    <row r="3147" spans="16:19" x14ac:dyDescent="0.3">
      <c r="P3147">
        <v>3146</v>
      </c>
      <c r="Q3147">
        <v>-229218</v>
      </c>
      <c r="S3147">
        <v>384111</v>
      </c>
    </row>
    <row r="3148" spans="16:19" x14ac:dyDescent="0.3">
      <c r="P3148">
        <v>3147</v>
      </c>
      <c r="Q3148">
        <v>-514094</v>
      </c>
      <c r="S3148">
        <v>858637</v>
      </c>
    </row>
    <row r="3149" spans="16:19" x14ac:dyDescent="0.3">
      <c r="P3149">
        <v>3148</v>
      </c>
      <c r="Q3149">
        <v>-141280</v>
      </c>
      <c r="S3149">
        <v>-137576</v>
      </c>
    </row>
    <row r="3150" spans="16:19" x14ac:dyDescent="0.3">
      <c r="P3150">
        <v>3149</v>
      </c>
      <c r="Q3150">
        <v>-25278</v>
      </c>
      <c r="S3150">
        <v>-163476</v>
      </c>
    </row>
    <row r="3151" spans="16:19" x14ac:dyDescent="0.3">
      <c r="P3151">
        <v>3150</v>
      </c>
      <c r="Q3151">
        <v>-29555</v>
      </c>
      <c r="S3151">
        <v>-404163</v>
      </c>
    </row>
    <row r="3152" spans="16:19" x14ac:dyDescent="0.3">
      <c r="P3152">
        <v>3151</v>
      </c>
      <c r="Q3152">
        <v>202456</v>
      </c>
      <c r="S3152">
        <v>428245</v>
      </c>
    </row>
    <row r="3153" spans="16:19" x14ac:dyDescent="0.3">
      <c r="P3153">
        <v>3152</v>
      </c>
      <c r="Q3153">
        <v>-324543</v>
      </c>
      <c r="S3153">
        <v>358672</v>
      </c>
    </row>
    <row r="3154" spans="16:19" x14ac:dyDescent="0.3">
      <c r="P3154">
        <v>3153</v>
      </c>
      <c r="Q3154">
        <v>34390</v>
      </c>
      <c r="S3154">
        <v>-474100</v>
      </c>
    </row>
    <row r="3155" spans="16:19" x14ac:dyDescent="0.3">
      <c r="P3155">
        <v>3154</v>
      </c>
      <c r="Q3155">
        <v>203167</v>
      </c>
      <c r="S3155">
        <v>-63689</v>
      </c>
    </row>
    <row r="3156" spans="16:19" x14ac:dyDescent="0.3">
      <c r="P3156">
        <v>3155</v>
      </c>
      <c r="Q3156">
        <v>-307917</v>
      </c>
      <c r="S3156">
        <v>397875</v>
      </c>
    </row>
    <row r="3157" spans="16:19" x14ac:dyDescent="0.3">
      <c r="P3157">
        <v>3156</v>
      </c>
      <c r="Q3157">
        <v>-700789</v>
      </c>
      <c r="S3157">
        <v>485677</v>
      </c>
    </row>
    <row r="3158" spans="16:19" x14ac:dyDescent="0.3">
      <c r="P3158">
        <v>3157</v>
      </c>
      <c r="Q3158">
        <v>-223717</v>
      </c>
      <c r="S3158">
        <v>646938</v>
      </c>
    </row>
    <row r="3159" spans="16:19" x14ac:dyDescent="0.3">
      <c r="P3159">
        <v>3158</v>
      </c>
      <c r="Q3159">
        <v>314005</v>
      </c>
      <c r="S3159">
        <v>-73903</v>
      </c>
    </row>
    <row r="3160" spans="16:19" x14ac:dyDescent="0.3">
      <c r="P3160">
        <v>3159</v>
      </c>
      <c r="Q3160">
        <v>76235</v>
      </c>
      <c r="S3160">
        <v>606362</v>
      </c>
    </row>
    <row r="3161" spans="16:19" x14ac:dyDescent="0.3">
      <c r="P3161">
        <v>3160</v>
      </c>
      <c r="Q3161">
        <v>-346241</v>
      </c>
      <c r="S3161">
        <v>-140736</v>
      </c>
    </row>
    <row r="3162" spans="16:19" x14ac:dyDescent="0.3">
      <c r="P3162">
        <v>3161</v>
      </c>
      <c r="Q3162">
        <v>-209445</v>
      </c>
      <c r="S3162">
        <v>855723</v>
      </c>
    </row>
    <row r="3163" spans="16:19" x14ac:dyDescent="0.3">
      <c r="P3163">
        <v>3162</v>
      </c>
      <c r="Q3163">
        <v>-233447</v>
      </c>
      <c r="S3163">
        <v>-567500</v>
      </c>
    </row>
    <row r="3164" spans="16:19" x14ac:dyDescent="0.3">
      <c r="P3164">
        <v>3163</v>
      </c>
      <c r="Q3164">
        <v>68319</v>
      </c>
      <c r="S3164">
        <v>-589701</v>
      </c>
    </row>
    <row r="3165" spans="16:19" x14ac:dyDescent="0.3">
      <c r="P3165">
        <v>3164</v>
      </c>
      <c r="Q3165">
        <v>201579</v>
      </c>
      <c r="S3165">
        <v>-161282</v>
      </c>
    </row>
    <row r="3166" spans="16:19" x14ac:dyDescent="0.3">
      <c r="P3166">
        <v>3165</v>
      </c>
      <c r="Q3166">
        <v>413770</v>
      </c>
      <c r="S3166">
        <v>-605917</v>
      </c>
    </row>
    <row r="3167" spans="16:19" x14ac:dyDescent="0.3">
      <c r="P3167">
        <v>3166</v>
      </c>
      <c r="Q3167">
        <v>-531077</v>
      </c>
      <c r="S3167">
        <v>-362490</v>
      </c>
    </row>
    <row r="3168" spans="16:19" x14ac:dyDescent="0.3">
      <c r="P3168">
        <v>3167</v>
      </c>
      <c r="Q3168">
        <v>-633539</v>
      </c>
      <c r="S3168">
        <v>118564</v>
      </c>
    </row>
    <row r="3169" spans="16:19" x14ac:dyDescent="0.3">
      <c r="P3169">
        <v>3168</v>
      </c>
      <c r="Q3169">
        <v>-302747</v>
      </c>
      <c r="S3169">
        <v>-137415</v>
      </c>
    </row>
    <row r="3170" spans="16:19" x14ac:dyDescent="0.3">
      <c r="P3170">
        <v>3169</v>
      </c>
      <c r="Q3170">
        <v>-145733</v>
      </c>
      <c r="S3170">
        <v>-94799</v>
      </c>
    </row>
    <row r="3171" spans="16:19" x14ac:dyDescent="0.3">
      <c r="P3171">
        <v>3170</v>
      </c>
      <c r="Q3171">
        <v>56012</v>
      </c>
      <c r="S3171">
        <v>504691</v>
      </c>
    </row>
    <row r="3172" spans="16:19" x14ac:dyDescent="0.3">
      <c r="P3172">
        <v>3171</v>
      </c>
      <c r="Q3172">
        <v>318953</v>
      </c>
      <c r="S3172">
        <v>511542</v>
      </c>
    </row>
    <row r="3173" spans="16:19" x14ac:dyDescent="0.3">
      <c r="P3173">
        <v>3172</v>
      </c>
      <c r="Q3173">
        <v>159230</v>
      </c>
      <c r="S3173">
        <v>-457125</v>
      </c>
    </row>
    <row r="3174" spans="16:19" x14ac:dyDescent="0.3">
      <c r="P3174">
        <v>3173</v>
      </c>
      <c r="Q3174">
        <v>767559</v>
      </c>
      <c r="S3174">
        <v>-374658</v>
      </c>
    </row>
    <row r="3175" spans="16:19" x14ac:dyDescent="0.3">
      <c r="P3175">
        <v>3174</v>
      </c>
      <c r="Q3175">
        <v>-745364</v>
      </c>
      <c r="S3175">
        <v>-337254</v>
      </c>
    </row>
    <row r="3176" spans="16:19" x14ac:dyDescent="0.3">
      <c r="P3176">
        <v>3175</v>
      </c>
      <c r="Q3176">
        <v>701835</v>
      </c>
      <c r="S3176">
        <v>25130</v>
      </c>
    </row>
    <row r="3177" spans="16:19" x14ac:dyDescent="0.3">
      <c r="P3177">
        <v>3176</v>
      </c>
      <c r="Q3177">
        <v>371848</v>
      </c>
      <c r="S3177">
        <v>807992</v>
      </c>
    </row>
    <row r="3178" spans="16:19" x14ac:dyDescent="0.3">
      <c r="P3178">
        <v>3177</v>
      </c>
      <c r="Q3178">
        <v>-627323</v>
      </c>
      <c r="S3178">
        <v>230589</v>
      </c>
    </row>
    <row r="3179" spans="16:19" x14ac:dyDescent="0.3">
      <c r="P3179">
        <v>3178</v>
      </c>
      <c r="Q3179">
        <v>-375779</v>
      </c>
      <c r="S3179">
        <v>264225</v>
      </c>
    </row>
    <row r="3180" spans="16:19" x14ac:dyDescent="0.3">
      <c r="P3180">
        <v>3179</v>
      </c>
      <c r="Q3180">
        <v>-104438</v>
      </c>
      <c r="S3180">
        <v>146489</v>
      </c>
    </row>
    <row r="3181" spans="16:19" x14ac:dyDescent="0.3">
      <c r="P3181">
        <v>3180</v>
      </c>
      <c r="Q3181">
        <v>-299253</v>
      </c>
      <c r="S3181">
        <v>-146171</v>
      </c>
    </row>
    <row r="3182" spans="16:19" x14ac:dyDescent="0.3">
      <c r="P3182">
        <v>3181</v>
      </c>
      <c r="Q3182">
        <v>238562</v>
      </c>
      <c r="S3182">
        <v>47710</v>
      </c>
    </row>
    <row r="3183" spans="16:19" x14ac:dyDescent="0.3">
      <c r="P3183">
        <v>3182</v>
      </c>
      <c r="Q3183">
        <v>-579411</v>
      </c>
      <c r="S3183">
        <v>281240</v>
      </c>
    </row>
    <row r="3184" spans="16:19" x14ac:dyDescent="0.3">
      <c r="P3184">
        <v>3183</v>
      </c>
      <c r="Q3184">
        <v>-426437</v>
      </c>
      <c r="S3184">
        <v>25543</v>
      </c>
    </row>
    <row r="3185" spans="16:19" x14ac:dyDescent="0.3">
      <c r="P3185">
        <v>3184</v>
      </c>
      <c r="Q3185">
        <v>824603</v>
      </c>
      <c r="S3185">
        <v>-283215</v>
      </c>
    </row>
    <row r="3186" spans="16:19" x14ac:dyDescent="0.3">
      <c r="P3186">
        <v>3185</v>
      </c>
      <c r="Q3186">
        <v>280506</v>
      </c>
      <c r="S3186">
        <v>-506065</v>
      </c>
    </row>
    <row r="3187" spans="16:19" x14ac:dyDescent="0.3">
      <c r="P3187">
        <v>3186</v>
      </c>
      <c r="Q3187">
        <v>-578487</v>
      </c>
      <c r="S3187">
        <v>-72094</v>
      </c>
    </row>
    <row r="3188" spans="16:19" x14ac:dyDescent="0.3">
      <c r="P3188">
        <v>3187</v>
      </c>
      <c r="Q3188">
        <v>-167877</v>
      </c>
      <c r="S3188">
        <v>755167</v>
      </c>
    </row>
    <row r="3189" spans="16:19" x14ac:dyDescent="0.3">
      <c r="P3189">
        <v>3188</v>
      </c>
      <c r="Q3189">
        <v>-292697</v>
      </c>
      <c r="S3189">
        <v>388975</v>
      </c>
    </row>
    <row r="3190" spans="16:19" x14ac:dyDescent="0.3">
      <c r="P3190">
        <v>3189</v>
      </c>
      <c r="Q3190">
        <v>-624264</v>
      </c>
      <c r="S3190">
        <v>-429752</v>
      </c>
    </row>
    <row r="3191" spans="16:19" x14ac:dyDescent="0.3">
      <c r="P3191">
        <v>3190</v>
      </c>
      <c r="Q3191">
        <v>634411</v>
      </c>
      <c r="S3191">
        <v>324514</v>
      </c>
    </row>
    <row r="3192" spans="16:19" x14ac:dyDescent="0.3">
      <c r="P3192">
        <v>3191</v>
      </c>
      <c r="Q3192">
        <v>-412196</v>
      </c>
      <c r="S3192">
        <v>1016782</v>
      </c>
    </row>
    <row r="3193" spans="16:19" x14ac:dyDescent="0.3">
      <c r="P3193">
        <v>3192</v>
      </c>
      <c r="Q3193">
        <v>598381</v>
      </c>
      <c r="S3193">
        <v>-388987</v>
      </c>
    </row>
    <row r="3194" spans="16:19" x14ac:dyDescent="0.3">
      <c r="P3194">
        <v>3193</v>
      </c>
      <c r="Q3194">
        <v>-291327</v>
      </c>
      <c r="S3194">
        <v>-72578</v>
      </c>
    </row>
    <row r="3195" spans="16:19" x14ac:dyDescent="0.3">
      <c r="P3195">
        <v>3194</v>
      </c>
      <c r="Q3195">
        <v>-5305</v>
      </c>
      <c r="S3195">
        <v>615256</v>
      </c>
    </row>
    <row r="3196" spans="16:19" x14ac:dyDescent="0.3">
      <c r="P3196">
        <v>3195</v>
      </c>
      <c r="Q3196">
        <v>377524</v>
      </c>
      <c r="S3196">
        <v>689617</v>
      </c>
    </row>
    <row r="3197" spans="16:19" x14ac:dyDescent="0.3">
      <c r="P3197">
        <v>3196</v>
      </c>
      <c r="Q3197">
        <v>736183</v>
      </c>
      <c r="S3197">
        <v>256652</v>
      </c>
    </row>
    <row r="3198" spans="16:19" x14ac:dyDescent="0.3">
      <c r="P3198">
        <v>3197</v>
      </c>
      <c r="Q3198">
        <v>848650</v>
      </c>
      <c r="S3198">
        <v>682063</v>
      </c>
    </row>
    <row r="3199" spans="16:19" x14ac:dyDescent="0.3">
      <c r="P3199">
        <v>3198</v>
      </c>
      <c r="Q3199">
        <v>9623</v>
      </c>
      <c r="S3199">
        <v>397190</v>
      </c>
    </row>
    <row r="3200" spans="16:19" x14ac:dyDescent="0.3">
      <c r="P3200">
        <v>3199</v>
      </c>
      <c r="Q3200">
        <v>-336207</v>
      </c>
      <c r="S3200">
        <v>-113742</v>
      </c>
    </row>
    <row r="3201" spans="16:19" x14ac:dyDescent="0.3">
      <c r="P3201">
        <v>3200</v>
      </c>
      <c r="Q3201">
        <v>-405472</v>
      </c>
      <c r="S3201">
        <v>776518</v>
      </c>
    </row>
    <row r="3202" spans="16:19" x14ac:dyDescent="0.3">
      <c r="P3202">
        <v>3201</v>
      </c>
      <c r="Q3202">
        <v>421103</v>
      </c>
      <c r="S3202">
        <v>-211938</v>
      </c>
    </row>
    <row r="3203" spans="16:19" x14ac:dyDescent="0.3">
      <c r="P3203">
        <v>3202</v>
      </c>
      <c r="Q3203">
        <v>-403742</v>
      </c>
      <c r="S3203">
        <v>495517</v>
      </c>
    </row>
    <row r="3204" spans="16:19" x14ac:dyDescent="0.3">
      <c r="P3204">
        <v>3203</v>
      </c>
      <c r="Q3204">
        <v>71144</v>
      </c>
      <c r="S3204">
        <v>-330651</v>
      </c>
    </row>
    <row r="3205" spans="16:19" x14ac:dyDescent="0.3">
      <c r="P3205">
        <v>3204</v>
      </c>
      <c r="Q3205">
        <v>-881015</v>
      </c>
      <c r="S3205">
        <v>829499</v>
      </c>
    </row>
    <row r="3206" spans="16:19" x14ac:dyDescent="0.3">
      <c r="P3206">
        <v>3205</v>
      </c>
      <c r="Q3206">
        <v>799696</v>
      </c>
      <c r="S3206">
        <v>-471171</v>
      </c>
    </row>
    <row r="3207" spans="16:19" x14ac:dyDescent="0.3">
      <c r="P3207">
        <v>3206</v>
      </c>
      <c r="Q3207">
        <v>-289403</v>
      </c>
      <c r="S3207">
        <v>996642</v>
      </c>
    </row>
    <row r="3208" spans="16:19" x14ac:dyDescent="0.3">
      <c r="P3208">
        <v>3207</v>
      </c>
      <c r="Q3208">
        <v>232431</v>
      </c>
      <c r="S3208">
        <v>801904</v>
      </c>
    </row>
    <row r="3209" spans="16:19" x14ac:dyDescent="0.3">
      <c r="P3209">
        <v>3208</v>
      </c>
      <c r="Q3209">
        <v>-202973</v>
      </c>
      <c r="S3209">
        <v>244602</v>
      </c>
    </row>
    <row r="3210" spans="16:19" x14ac:dyDescent="0.3">
      <c r="P3210">
        <v>3209</v>
      </c>
      <c r="Q3210">
        <v>17428</v>
      </c>
      <c r="S3210">
        <v>-650624</v>
      </c>
    </row>
    <row r="3211" spans="16:19" x14ac:dyDescent="0.3">
      <c r="P3211">
        <v>3210</v>
      </c>
      <c r="Q3211">
        <v>-370520</v>
      </c>
      <c r="S3211">
        <v>-201083</v>
      </c>
    </row>
    <row r="3212" spans="16:19" x14ac:dyDescent="0.3">
      <c r="P3212">
        <v>3211</v>
      </c>
      <c r="Q3212">
        <v>-827138</v>
      </c>
      <c r="S3212">
        <v>-133422</v>
      </c>
    </row>
    <row r="3213" spans="16:19" x14ac:dyDescent="0.3">
      <c r="P3213">
        <v>3212</v>
      </c>
      <c r="Q3213">
        <v>259092</v>
      </c>
      <c r="S3213">
        <v>-40782</v>
      </c>
    </row>
    <row r="3214" spans="16:19" x14ac:dyDescent="0.3">
      <c r="P3214">
        <v>3213</v>
      </c>
      <c r="Q3214">
        <v>-576454</v>
      </c>
      <c r="S3214">
        <v>880342</v>
      </c>
    </row>
    <row r="3215" spans="16:19" x14ac:dyDescent="0.3">
      <c r="P3215">
        <v>3214</v>
      </c>
      <c r="Q3215">
        <v>166259</v>
      </c>
      <c r="S3215">
        <v>-433743</v>
      </c>
    </row>
    <row r="3216" spans="16:19" x14ac:dyDescent="0.3">
      <c r="P3216">
        <v>3215</v>
      </c>
      <c r="Q3216">
        <v>699473</v>
      </c>
      <c r="S3216">
        <v>191846</v>
      </c>
    </row>
    <row r="3217" spans="16:19" x14ac:dyDescent="0.3">
      <c r="P3217">
        <v>3216</v>
      </c>
      <c r="Q3217">
        <v>598102</v>
      </c>
      <c r="S3217">
        <v>-540424</v>
      </c>
    </row>
    <row r="3218" spans="16:19" x14ac:dyDescent="0.3">
      <c r="P3218">
        <v>3217</v>
      </c>
      <c r="Q3218">
        <v>877634</v>
      </c>
      <c r="S3218">
        <v>-140720</v>
      </c>
    </row>
    <row r="3219" spans="16:19" x14ac:dyDescent="0.3">
      <c r="P3219">
        <v>3218</v>
      </c>
      <c r="Q3219">
        <v>897652</v>
      </c>
      <c r="S3219">
        <v>-94421</v>
      </c>
    </row>
    <row r="3220" spans="16:19" x14ac:dyDescent="0.3">
      <c r="P3220">
        <v>3219</v>
      </c>
      <c r="Q3220">
        <v>-393554</v>
      </c>
      <c r="S3220">
        <v>442703</v>
      </c>
    </row>
    <row r="3221" spans="16:19" x14ac:dyDescent="0.3">
      <c r="P3221">
        <v>3220</v>
      </c>
      <c r="Q3221">
        <v>-658029</v>
      </c>
      <c r="S3221">
        <v>391620</v>
      </c>
    </row>
    <row r="3222" spans="16:19" x14ac:dyDescent="0.3">
      <c r="P3222">
        <v>3221</v>
      </c>
      <c r="Q3222">
        <v>678022</v>
      </c>
      <c r="S3222">
        <v>796899</v>
      </c>
    </row>
    <row r="3223" spans="16:19" x14ac:dyDescent="0.3">
      <c r="P3223">
        <v>3222</v>
      </c>
      <c r="Q3223">
        <v>-167910</v>
      </c>
      <c r="S3223">
        <v>-450436</v>
      </c>
    </row>
    <row r="3224" spans="16:19" x14ac:dyDescent="0.3">
      <c r="P3224">
        <v>3223</v>
      </c>
      <c r="Q3224">
        <v>-804724</v>
      </c>
      <c r="S3224">
        <v>544769</v>
      </c>
    </row>
    <row r="3225" spans="16:19" x14ac:dyDescent="0.3">
      <c r="P3225">
        <v>3224</v>
      </c>
      <c r="Q3225">
        <v>-286411</v>
      </c>
      <c r="S3225">
        <v>-96001</v>
      </c>
    </row>
    <row r="3226" spans="16:19" x14ac:dyDescent="0.3">
      <c r="P3226">
        <v>3225</v>
      </c>
      <c r="Q3226">
        <v>286021</v>
      </c>
      <c r="S3226">
        <v>-535053</v>
      </c>
    </row>
    <row r="3227" spans="16:19" x14ac:dyDescent="0.3">
      <c r="P3227">
        <v>3226</v>
      </c>
      <c r="Q3227">
        <v>929630</v>
      </c>
      <c r="S3227">
        <v>-744630</v>
      </c>
    </row>
    <row r="3228" spans="16:19" x14ac:dyDescent="0.3">
      <c r="P3228">
        <v>3227</v>
      </c>
      <c r="Q3228">
        <v>921244</v>
      </c>
      <c r="S3228">
        <v>-1049</v>
      </c>
    </row>
    <row r="3229" spans="16:19" x14ac:dyDescent="0.3">
      <c r="P3229">
        <v>3228</v>
      </c>
      <c r="Q3229">
        <v>-473413</v>
      </c>
      <c r="S3229">
        <v>-172397</v>
      </c>
    </row>
    <row r="3230" spans="16:19" x14ac:dyDescent="0.3">
      <c r="P3230">
        <v>3229</v>
      </c>
      <c r="Q3230">
        <v>418155</v>
      </c>
      <c r="S3230">
        <v>184023</v>
      </c>
    </row>
    <row r="3231" spans="16:19" x14ac:dyDescent="0.3">
      <c r="P3231">
        <v>3230</v>
      </c>
      <c r="Q3231">
        <v>341297</v>
      </c>
      <c r="S3231">
        <v>143844</v>
      </c>
    </row>
    <row r="3232" spans="16:19" x14ac:dyDescent="0.3">
      <c r="P3232">
        <v>3231</v>
      </c>
      <c r="Q3232">
        <v>395037</v>
      </c>
      <c r="S3232">
        <v>-346471</v>
      </c>
    </row>
    <row r="3233" spans="16:19" x14ac:dyDescent="0.3">
      <c r="P3233">
        <v>3232</v>
      </c>
      <c r="Q3233">
        <v>135760</v>
      </c>
      <c r="S3233">
        <v>252738</v>
      </c>
    </row>
    <row r="3234" spans="16:19" x14ac:dyDescent="0.3">
      <c r="P3234">
        <v>3233</v>
      </c>
      <c r="Q3234">
        <v>-333114</v>
      </c>
      <c r="S3234">
        <v>-357707</v>
      </c>
    </row>
    <row r="3235" spans="16:19" x14ac:dyDescent="0.3">
      <c r="P3235">
        <v>3234</v>
      </c>
      <c r="Q3235">
        <v>-415721</v>
      </c>
      <c r="S3235">
        <v>-20405</v>
      </c>
    </row>
    <row r="3236" spans="16:19" x14ac:dyDescent="0.3">
      <c r="P3236">
        <v>3235</v>
      </c>
      <c r="Q3236">
        <v>131391</v>
      </c>
      <c r="S3236">
        <v>346904</v>
      </c>
    </row>
    <row r="3237" spans="16:19" x14ac:dyDescent="0.3">
      <c r="P3237">
        <v>3236</v>
      </c>
      <c r="Q3237">
        <v>-599183</v>
      </c>
      <c r="S3237">
        <v>-94208</v>
      </c>
    </row>
    <row r="3238" spans="16:19" x14ac:dyDescent="0.3">
      <c r="P3238">
        <v>3237</v>
      </c>
      <c r="Q3238">
        <v>-237119</v>
      </c>
      <c r="S3238">
        <v>-318833</v>
      </c>
    </row>
    <row r="3239" spans="16:19" x14ac:dyDescent="0.3">
      <c r="P3239">
        <v>3238</v>
      </c>
      <c r="Q3239">
        <v>-136128</v>
      </c>
      <c r="S3239">
        <v>-721668</v>
      </c>
    </row>
    <row r="3240" spans="16:19" x14ac:dyDescent="0.3">
      <c r="P3240">
        <v>3239</v>
      </c>
      <c r="Q3240">
        <v>-524576</v>
      </c>
      <c r="S3240">
        <v>500548</v>
      </c>
    </row>
    <row r="3241" spans="16:19" x14ac:dyDescent="0.3">
      <c r="P3241">
        <v>3240</v>
      </c>
      <c r="Q3241">
        <v>-557339</v>
      </c>
      <c r="S3241">
        <v>-104741</v>
      </c>
    </row>
    <row r="3242" spans="16:19" x14ac:dyDescent="0.3">
      <c r="P3242">
        <v>3241</v>
      </c>
      <c r="Q3242">
        <v>-205365</v>
      </c>
      <c r="S3242">
        <v>839244</v>
      </c>
    </row>
    <row r="3243" spans="16:19" x14ac:dyDescent="0.3">
      <c r="P3243">
        <v>3242</v>
      </c>
      <c r="Q3243">
        <v>-110438</v>
      </c>
      <c r="S3243">
        <v>74807</v>
      </c>
    </row>
    <row r="3244" spans="16:19" x14ac:dyDescent="0.3">
      <c r="P3244">
        <v>3243</v>
      </c>
      <c r="Q3244">
        <v>-216745</v>
      </c>
      <c r="S3244">
        <v>-588749</v>
      </c>
    </row>
    <row r="3245" spans="16:19" x14ac:dyDescent="0.3">
      <c r="P3245">
        <v>3244</v>
      </c>
      <c r="Q3245">
        <v>295405</v>
      </c>
      <c r="S3245">
        <v>409494</v>
      </c>
    </row>
    <row r="3246" spans="16:19" x14ac:dyDescent="0.3">
      <c r="P3246">
        <v>3245</v>
      </c>
      <c r="Q3246">
        <v>-443245</v>
      </c>
      <c r="S3246">
        <v>193427</v>
      </c>
    </row>
    <row r="3247" spans="16:19" x14ac:dyDescent="0.3">
      <c r="P3247">
        <v>3246</v>
      </c>
      <c r="Q3247">
        <v>-384212</v>
      </c>
      <c r="S3247">
        <v>-759203</v>
      </c>
    </row>
    <row r="3248" spans="16:19" x14ac:dyDescent="0.3">
      <c r="P3248">
        <v>3247</v>
      </c>
      <c r="Q3248">
        <v>386143</v>
      </c>
      <c r="S3248">
        <v>-512287</v>
      </c>
    </row>
    <row r="3249" spans="16:19" x14ac:dyDescent="0.3">
      <c r="P3249">
        <v>3248</v>
      </c>
      <c r="Q3249">
        <v>95664</v>
      </c>
      <c r="S3249">
        <v>-427817</v>
      </c>
    </row>
    <row r="3250" spans="16:19" x14ac:dyDescent="0.3">
      <c r="P3250">
        <v>3249</v>
      </c>
      <c r="Q3250">
        <v>870008</v>
      </c>
      <c r="S3250">
        <v>-813293</v>
      </c>
    </row>
    <row r="3251" spans="16:19" x14ac:dyDescent="0.3">
      <c r="P3251">
        <v>3250</v>
      </c>
      <c r="Q3251">
        <v>-275535</v>
      </c>
      <c r="S3251">
        <v>95058</v>
      </c>
    </row>
    <row r="3252" spans="16:19" x14ac:dyDescent="0.3">
      <c r="P3252">
        <v>3251</v>
      </c>
      <c r="Q3252">
        <v>-199590</v>
      </c>
      <c r="S3252">
        <v>248178</v>
      </c>
    </row>
    <row r="3253" spans="16:19" x14ac:dyDescent="0.3">
      <c r="P3253">
        <v>3252</v>
      </c>
      <c r="Q3253">
        <v>318024</v>
      </c>
      <c r="S3253">
        <v>353979</v>
      </c>
    </row>
    <row r="3254" spans="16:19" x14ac:dyDescent="0.3">
      <c r="P3254">
        <v>3253</v>
      </c>
      <c r="Q3254">
        <v>-255644</v>
      </c>
      <c r="S3254">
        <v>-261304</v>
      </c>
    </row>
    <row r="3255" spans="16:19" x14ac:dyDescent="0.3">
      <c r="P3255">
        <v>3254</v>
      </c>
      <c r="Q3255">
        <v>-455337</v>
      </c>
      <c r="S3255">
        <v>-612628</v>
      </c>
    </row>
    <row r="3256" spans="16:19" x14ac:dyDescent="0.3">
      <c r="P3256">
        <v>3255</v>
      </c>
      <c r="Q3256">
        <v>-307484</v>
      </c>
      <c r="S3256">
        <v>37634</v>
      </c>
    </row>
    <row r="3257" spans="16:19" x14ac:dyDescent="0.3">
      <c r="P3257">
        <v>3256</v>
      </c>
      <c r="Q3257">
        <v>397649</v>
      </c>
      <c r="S3257">
        <v>195413</v>
      </c>
    </row>
    <row r="3258" spans="16:19" x14ac:dyDescent="0.3">
      <c r="P3258">
        <v>3257</v>
      </c>
      <c r="Q3258">
        <v>-71675</v>
      </c>
      <c r="S3258">
        <v>-374138</v>
      </c>
    </row>
    <row r="3259" spans="16:19" x14ac:dyDescent="0.3">
      <c r="P3259">
        <v>3258</v>
      </c>
      <c r="Q3259">
        <v>-266275</v>
      </c>
      <c r="S3259">
        <v>144647</v>
      </c>
    </row>
    <row r="3260" spans="16:19" x14ac:dyDescent="0.3">
      <c r="P3260">
        <v>3259</v>
      </c>
      <c r="Q3260">
        <v>431179</v>
      </c>
      <c r="S3260">
        <v>-242812</v>
      </c>
    </row>
    <row r="3261" spans="16:19" x14ac:dyDescent="0.3">
      <c r="P3261">
        <v>3260</v>
      </c>
      <c r="Q3261">
        <v>386170</v>
      </c>
      <c r="S3261">
        <v>-300857</v>
      </c>
    </row>
    <row r="3262" spans="16:19" x14ac:dyDescent="0.3">
      <c r="P3262">
        <v>3261</v>
      </c>
      <c r="Q3262">
        <v>291320</v>
      </c>
      <c r="S3262">
        <v>393973</v>
      </c>
    </row>
    <row r="3263" spans="16:19" x14ac:dyDescent="0.3">
      <c r="P3263">
        <v>3262</v>
      </c>
      <c r="Q3263">
        <v>-540823</v>
      </c>
      <c r="S3263">
        <v>723593</v>
      </c>
    </row>
    <row r="3264" spans="16:19" x14ac:dyDescent="0.3">
      <c r="P3264">
        <v>3263</v>
      </c>
      <c r="Q3264">
        <v>327945</v>
      </c>
      <c r="S3264">
        <v>169509</v>
      </c>
    </row>
    <row r="3265" spans="16:19" x14ac:dyDescent="0.3">
      <c r="P3265">
        <v>3264</v>
      </c>
      <c r="Q3265">
        <v>333637</v>
      </c>
      <c r="S3265">
        <v>-390448</v>
      </c>
    </row>
    <row r="3266" spans="16:19" x14ac:dyDescent="0.3">
      <c r="P3266">
        <v>3265</v>
      </c>
      <c r="Q3266">
        <v>-408774</v>
      </c>
      <c r="S3266">
        <v>524284</v>
      </c>
    </row>
    <row r="3267" spans="16:19" x14ac:dyDescent="0.3">
      <c r="P3267">
        <v>3266</v>
      </c>
      <c r="Q3267">
        <v>-789385</v>
      </c>
      <c r="S3267">
        <v>250148</v>
      </c>
    </row>
    <row r="3268" spans="16:19" x14ac:dyDescent="0.3">
      <c r="P3268">
        <v>3267</v>
      </c>
      <c r="Q3268">
        <v>50294</v>
      </c>
      <c r="S3268">
        <v>588909</v>
      </c>
    </row>
    <row r="3269" spans="16:19" x14ac:dyDescent="0.3">
      <c r="P3269">
        <v>3268</v>
      </c>
      <c r="Q3269">
        <v>717061</v>
      </c>
      <c r="S3269">
        <v>457950</v>
      </c>
    </row>
    <row r="3270" spans="16:19" x14ac:dyDescent="0.3">
      <c r="P3270">
        <v>3269</v>
      </c>
      <c r="Q3270">
        <v>-144839</v>
      </c>
      <c r="S3270">
        <v>8055</v>
      </c>
    </row>
    <row r="3271" spans="16:19" x14ac:dyDescent="0.3">
      <c r="P3271">
        <v>3270</v>
      </c>
      <c r="Q3271">
        <v>-588968</v>
      </c>
      <c r="S3271">
        <v>-767304</v>
      </c>
    </row>
    <row r="3272" spans="16:19" x14ac:dyDescent="0.3">
      <c r="P3272">
        <v>3271</v>
      </c>
      <c r="Q3272">
        <v>207065</v>
      </c>
      <c r="S3272">
        <v>-291444</v>
      </c>
    </row>
    <row r="3273" spans="16:19" x14ac:dyDescent="0.3">
      <c r="P3273">
        <v>3272</v>
      </c>
      <c r="Q3273">
        <v>-123853</v>
      </c>
      <c r="S3273">
        <v>152471</v>
      </c>
    </row>
    <row r="3274" spans="16:19" x14ac:dyDescent="0.3">
      <c r="P3274">
        <v>3273</v>
      </c>
      <c r="Q3274">
        <v>394386</v>
      </c>
      <c r="S3274">
        <v>-571142</v>
      </c>
    </row>
    <row r="3275" spans="16:19" x14ac:dyDescent="0.3">
      <c r="P3275">
        <v>3274</v>
      </c>
      <c r="Q3275">
        <v>-296305</v>
      </c>
      <c r="S3275">
        <v>198812</v>
      </c>
    </row>
    <row r="3276" spans="16:19" x14ac:dyDescent="0.3">
      <c r="P3276">
        <v>3275</v>
      </c>
      <c r="Q3276">
        <v>-273386</v>
      </c>
      <c r="S3276">
        <v>20238</v>
      </c>
    </row>
    <row r="3277" spans="16:19" x14ac:dyDescent="0.3">
      <c r="P3277">
        <v>3276</v>
      </c>
      <c r="Q3277">
        <v>-251986</v>
      </c>
      <c r="S3277">
        <v>634458</v>
      </c>
    </row>
    <row r="3278" spans="16:19" x14ac:dyDescent="0.3">
      <c r="P3278">
        <v>3277</v>
      </c>
      <c r="Q3278">
        <v>-636271</v>
      </c>
      <c r="S3278">
        <v>-346876</v>
      </c>
    </row>
    <row r="3279" spans="16:19" x14ac:dyDescent="0.3">
      <c r="P3279">
        <v>3278</v>
      </c>
      <c r="Q3279">
        <v>-190392</v>
      </c>
      <c r="S3279">
        <v>75972</v>
      </c>
    </row>
    <row r="3280" spans="16:19" x14ac:dyDescent="0.3">
      <c r="P3280">
        <v>3279</v>
      </c>
      <c r="Q3280">
        <v>487248</v>
      </c>
      <c r="S3280">
        <v>117359</v>
      </c>
    </row>
    <row r="3281" spans="16:19" x14ac:dyDescent="0.3">
      <c r="P3281">
        <v>3280</v>
      </c>
      <c r="Q3281">
        <v>359567</v>
      </c>
      <c r="S3281">
        <v>295899</v>
      </c>
    </row>
    <row r="3282" spans="16:19" x14ac:dyDescent="0.3">
      <c r="P3282">
        <v>3281</v>
      </c>
      <c r="Q3282">
        <v>190837</v>
      </c>
      <c r="S3282">
        <v>591898</v>
      </c>
    </row>
    <row r="3283" spans="16:19" x14ac:dyDescent="0.3">
      <c r="P3283">
        <v>3282</v>
      </c>
      <c r="Q3283">
        <v>-166094</v>
      </c>
      <c r="S3283">
        <v>-263849</v>
      </c>
    </row>
    <row r="3284" spans="16:19" x14ac:dyDescent="0.3">
      <c r="P3284">
        <v>3283</v>
      </c>
      <c r="Q3284">
        <v>-79997</v>
      </c>
      <c r="S3284">
        <v>331615</v>
      </c>
    </row>
    <row r="3285" spans="16:19" x14ac:dyDescent="0.3">
      <c r="P3285">
        <v>3284</v>
      </c>
      <c r="Q3285">
        <v>-159930</v>
      </c>
      <c r="S3285">
        <v>-299784</v>
      </c>
    </row>
    <row r="3286" spans="16:19" x14ac:dyDescent="0.3">
      <c r="P3286">
        <v>3285</v>
      </c>
      <c r="Q3286">
        <v>265210</v>
      </c>
      <c r="S3286">
        <v>-100703</v>
      </c>
    </row>
    <row r="3287" spans="16:19" x14ac:dyDescent="0.3">
      <c r="P3287">
        <v>3286</v>
      </c>
      <c r="Q3287">
        <v>920062</v>
      </c>
      <c r="S3287">
        <v>667597</v>
      </c>
    </row>
    <row r="3288" spans="16:19" x14ac:dyDescent="0.3">
      <c r="P3288">
        <v>3287</v>
      </c>
      <c r="Q3288">
        <v>-406503</v>
      </c>
      <c r="S3288">
        <v>-71037</v>
      </c>
    </row>
    <row r="3289" spans="16:19" x14ac:dyDescent="0.3">
      <c r="P3289">
        <v>3288</v>
      </c>
      <c r="Q3289">
        <v>177338</v>
      </c>
      <c r="S3289">
        <v>319341</v>
      </c>
    </row>
    <row r="3290" spans="16:19" x14ac:dyDescent="0.3">
      <c r="P3290">
        <v>3289</v>
      </c>
      <c r="Q3290">
        <v>165178</v>
      </c>
      <c r="S3290">
        <v>-299976</v>
      </c>
    </row>
    <row r="3291" spans="16:19" x14ac:dyDescent="0.3">
      <c r="P3291">
        <v>3290</v>
      </c>
      <c r="Q3291">
        <v>710841</v>
      </c>
      <c r="S3291">
        <v>-113320</v>
      </c>
    </row>
    <row r="3292" spans="16:19" x14ac:dyDescent="0.3">
      <c r="P3292">
        <v>3291</v>
      </c>
      <c r="Q3292">
        <v>58199</v>
      </c>
      <c r="S3292">
        <v>-363404</v>
      </c>
    </row>
    <row r="3293" spans="16:19" x14ac:dyDescent="0.3">
      <c r="P3293">
        <v>3292</v>
      </c>
      <c r="Q3293">
        <v>384746</v>
      </c>
      <c r="S3293">
        <v>-211702</v>
      </c>
    </row>
    <row r="3294" spans="16:19" x14ac:dyDescent="0.3">
      <c r="P3294">
        <v>3293</v>
      </c>
      <c r="Q3294">
        <v>856892</v>
      </c>
      <c r="S3294">
        <v>317325</v>
      </c>
    </row>
    <row r="3295" spans="16:19" x14ac:dyDescent="0.3">
      <c r="P3295">
        <v>3294</v>
      </c>
      <c r="Q3295">
        <v>-518529</v>
      </c>
      <c r="S3295">
        <v>870919</v>
      </c>
    </row>
    <row r="3296" spans="16:19" x14ac:dyDescent="0.3">
      <c r="P3296">
        <v>3295</v>
      </c>
      <c r="Q3296">
        <v>35733</v>
      </c>
      <c r="S3296">
        <v>-100028</v>
      </c>
    </row>
    <row r="3297" spans="16:19" x14ac:dyDescent="0.3">
      <c r="P3297">
        <v>3296</v>
      </c>
      <c r="Q3297">
        <v>89581</v>
      </c>
      <c r="S3297">
        <v>-37074</v>
      </c>
    </row>
    <row r="3298" spans="16:19" x14ac:dyDescent="0.3">
      <c r="P3298">
        <v>3297</v>
      </c>
      <c r="Q3298">
        <v>58356</v>
      </c>
      <c r="S3298">
        <v>743593</v>
      </c>
    </row>
    <row r="3299" spans="16:19" x14ac:dyDescent="0.3">
      <c r="P3299">
        <v>3298</v>
      </c>
      <c r="Q3299">
        <v>348889</v>
      </c>
      <c r="S3299">
        <v>563338</v>
      </c>
    </row>
    <row r="3300" spans="16:19" x14ac:dyDescent="0.3">
      <c r="P3300">
        <v>3299</v>
      </c>
      <c r="Q3300">
        <v>-286861</v>
      </c>
      <c r="S3300">
        <v>160470</v>
      </c>
    </row>
    <row r="3301" spans="16:19" x14ac:dyDescent="0.3">
      <c r="P3301">
        <v>3300</v>
      </c>
      <c r="Q3301">
        <v>652996</v>
      </c>
      <c r="S3301">
        <v>433435</v>
      </c>
    </row>
    <row r="3302" spans="16:19" x14ac:dyDescent="0.3">
      <c r="P3302">
        <v>3301</v>
      </c>
      <c r="Q3302">
        <v>455917</v>
      </c>
      <c r="S3302">
        <v>848790</v>
      </c>
    </row>
    <row r="3303" spans="16:19" x14ac:dyDescent="0.3">
      <c r="P3303">
        <v>3302</v>
      </c>
      <c r="Q3303">
        <v>6676</v>
      </c>
      <c r="S3303">
        <v>-23003</v>
      </c>
    </row>
    <row r="3304" spans="16:19" x14ac:dyDescent="0.3">
      <c r="P3304">
        <v>3303</v>
      </c>
      <c r="Q3304">
        <v>-538383</v>
      </c>
      <c r="S3304">
        <v>-88654</v>
      </c>
    </row>
    <row r="3305" spans="16:19" x14ac:dyDescent="0.3">
      <c r="P3305">
        <v>3304</v>
      </c>
      <c r="Q3305">
        <v>64256</v>
      </c>
      <c r="S3305">
        <v>-78453</v>
      </c>
    </row>
    <row r="3306" spans="16:19" x14ac:dyDescent="0.3">
      <c r="P3306">
        <v>3305</v>
      </c>
      <c r="Q3306">
        <v>-136802</v>
      </c>
      <c r="S3306">
        <v>161616</v>
      </c>
    </row>
    <row r="3307" spans="16:19" x14ac:dyDescent="0.3">
      <c r="P3307">
        <v>3306</v>
      </c>
      <c r="Q3307">
        <v>-134570</v>
      </c>
      <c r="S3307">
        <v>894046</v>
      </c>
    </row>
    <row r="3308" spans="16:19" x14ac:dyDescent="0.3">
      <c r="P3308">
        <v>3307</v>
      </c>
      <c r="Q3308">
        <v>-323702</v>
      </c>
      <c r="S3308">
        <v>-470653</v>
      </c>
    </row>
    <row r="3309" spans="16:19" x14ac:dyDescent="0.3">
      <c r="P3309">
        <v>3308</v>
      </c>
      <c r="Q3309">
        <v>-514569</v>
      </c>
      <c r="S3309">
        <v>614714</v>
      </c>
    </row>
    <row r="3310" spans="16:19" x14ac:dyDescent="0.3">
      <c r="P3310">
        <v>3309</v>
      </c>
      <c r="Q3310">
        <v>304081</v>
      </c>
      <c r="S3310">
        <v>-205583</v>
      </c>
    </row>
    <row r="3311" spans="16:19" x14ac:dyDescent="0.3">
      <c r="P3311">
        <v>3310</v>
      </c>
      <c r="Q3311">
        <v>50018</v>
      </c>
      <c r="S3311">
        <v>640868</v>
      </c>
    </row>
    <row r="3312" spans="16:19" x14ac:dyDescent="0.3">
      <c r="P3312">
        <v>3311</v>
      </c>
      <c r="Q3312">
        <v>-21147</v>
      </c>
      <c r="S3312">
        <v>-240714</v>
      </c>
    </row>
    <row r="3313" spans="16:19" x14ac:dyDescent="0.3">
      <c r="P3313">
        <v>3312</v>
      </c>
      <c r="Q3313">
        <v>-575784</v>
      </c>
      <c r="S3313">
        <v>-714327</v>
      </c>
    </row>
    <row r="3314" spans="16:19" x14ac:dyDescent="0.3">
      <c r="P3314">
        <v>3313</v>
      </c>
      <c r="Q3314">
        <v>609145</v>
      </c>
      <c r="S3314">
        <v>518532</v>
      </c>
    </row>
    <row r="3315" spans="16:19" x14ac:dyDescent="0.3">
      <c r="P3315">
        <v>3314</v>
      </c>
      <c r="Q3315">
        <v>420542</v>
      </c>
      <c r="S3315">
        <v>-85482</v>
      </c>
    </row>
    <row r="3316" spans="16:19" x14ac:dyDescent="0.3">
      <c r="P3316">
        <v>3315</v>
      </c>
      <c r="Q3316">
        <v>530224</v>
      </c>
      <c r="S3316">
        <v>106800</v>
      </c>
    </row>
    <row r="3317" spans="16:19" x14ac:dyDescent="0.3">
      <c r="P3317">
        <v>3316</v>
      </c>
      <c r="Q3317">
        <v>128695</v>
      </c>
      <c r="S3317">
        <v>198960</v>
      </c>
    </row>
    <row r="3318" spans="16:19" x14ac:dyDescent="0.3">
      <c r="P3318">
        <v>3317</v>
      </c>
      <c r="Q3318">
        <v>277352</v>
      </c>
      <c r="S3318">
        <v>512987</v>
      </c>
    </row>
    <row r="3319" spans="16:19" x14ac:dyDescent="0.3">
      <c r="P3319">
        <v>3318</v>
      </c>
      <c r="Q3319">
        <v>427724</v>
      </c>
      <c r="S3319">
        <v>-218981</v>
      </c>
    </row>
    <row r="3320" spans="16:19" x14ac:dyDescent="0.3">
      <c r="P3320">
        <v>3319</v>
      </c>
      <c r="Q3320">
        <v>-14507</v>
      </c>
      <c r="S3320">
        <v>115115</v>
      </c>
    </row>
    <row r="3321" spans="16:19" x14ac:dyDescent="0.3">
      <c r="P3321">
        <v>3320</v>
      </c>
      <c r="Q3321">
        <v>378124</v>
      </c>
      <c r="S3321">
        <v>446036</v>
      </c>
    </row>
    <row r="3322" spans="16:19" x14ac:dyDescent="0.3">
      <c r="P3322">
        <v>3321</v>
      </c>
      <c r="Q3322">
        <v>165073</v>
      </c>
      <c r="S3322">
        <v>-217009</v>
      </c>
    </row>
    <row r="3323" spans="16:19" x14ac:dyDescent="0.3">
      <c r="P3323">
        <v>3322</v>
      </c>
      <c r="Q3323">
        <v>523956</v>
      </c>
      <c r="S3323">
        <v>557342</v>
      </c>
    </row>
    <row r="3324" spans="16:19" x14ac:dyDescent="0.3">
      <c r="P3324">
        <v>3323</v>
      </c>
      <c r="Q3324">
        <v>182646</v>
      </c>
      <c r="S3324">
        <v>-169374</v>
      </c>
    </row>
    <row r="3325" spans="16:19" x14ac:dyDescent="0.3">
      <c r="P3325">
        <v>3324</v>
      </c>
      <c r="Q3325">
        <v>-201398</v>
      </c>
      <c r="S3325">
        <v>366611</v>
      </c>
    </row>
    <row r="3326" spans="16:19" x14ac:dyDescent="0.3">
      <c r="P3326">
        <v>3325</v>
      </c>
      <c r="Q3326">
        <v>54051</v>
      </c>
      <c r="S3326">
        <v>221046</v>
      </c>
    </row>
    <row r="3327" spans="16:19" x14ac:dyDescent="0.3">
      <c r="P3327">
        <v>3326</v>
      </c>
      <c r="Q3327">
        <v>-487682</v>
      </c>
      <c r="S3327">
        <v>-407937</v>
      </c>
    </row>
    <row r="3328" spans="16:19" x14ac:dyDescent="0.3">
      <c r="P3328">
        <v>3327</v>
      </c>
      <c r="Q3328">
        <v>-224583</v>
      </c>
      <c r="S3328">
        <v>-467632</v>
      </c>
    </row>
    <row r="3329" spans="16:19" x14ac:dyDescent="0.3">
      <c r="P3329">
        <v>3328</v>
      </c>
      <c r="Q3329">
        <v>-342055</v>
      </c>
      <c r="S3329">
        <v>524095</v>
      </c>
    </row>
    <row r="3330" spans="16:19" x14ac:dyDescent="0.3">
      <c r="P3330">
        <v>3329</v>
      </c>
      <c r="Q3330">
        <v>223828</v>
      </c>
      <c r="S3330">
        <v>798591</v>
      </c>
    </row>
    <row r="3331" spans="16:19" x14ac:dyDescent="0.3">
      <c r="P3331">
        <v>3330</v>
      </c>
      <c r="Q3331">
        <v>281900</v>
      </c>
      <c r="S3331">
        <v>568907</v>
      </c>
    </row>
    <row r="3332" spans="16:19" x14ac:dyDescent="0.3">
      <c r="P3332">
        <v>3331</v>
      </c>
      <c r="Q3332">
        <v>702712</v>
      </c>
      <c r="S3332">
        <v>284933</v>
      </c>
    </row>
    <row r="3333" spans="16:19" x14ac:dyDescent="0.3">
      <c r="P3333">
        <v>3332</v>
      </c>
      <c r="Q3333">
        <v>-348603</v>
      </c>
      <c r="S3333">
        <v>627617</v>
      </c>
    </row>
    <row r="3334" spans="16:19" x14ac:dyDescent="0.3">
      <c r="P3334">
        <v>3333</v>
      </c>
      <c r="Q3334">
        <v>139180</v>
      </c>
      <c r="S3334">
        <v>-235698</v>
      </c>
    </row>
    <row r="3335" spans="16:19" x14ac:dyDescent="0.3">
      <c r="P3335">
        <v>3334</v>
      </c>
      <c r="Q3335">
        <v>344182</v>
      </c>
      <c r="S3335">
        <v>601174</v>
      </c>
    </row>
    <row r="3336" spans="16:19" x14ac:dyDescent="0.3">
      <c r="P3336">
        <v>3335</v>
      </c>
      <c r="Q3336">
        <v>-450181</v>
      </c>
      <c r="S3336">
        <v>322602</v>
      </c>
    </row>
    <row r="3337" spans="16:19" x14ac:dyDescent="0.3">
      <c r="P3337">
        <v>3336</v>
      </c>
      <c r="Q3337">
        <v>638389</v>
      </c>
      <c r="S3337">
        <v>318609</v>
      </c>
    </row>
    <row r="3338" spans="16:19" x14ac:dyDescent="0.3">
      <c r="P3338">
        <v>3337</v>
      </c>
      <c r="Q3338">
        <v>-190661</v>
      </c>
      <c r="S3338">
        <v>-474483</v>
      </c>
    </row>
    <row r="3339" spans="16:19" x14ac:dyDescent="0.3">
      <c r="P3339">
        <v>3338</v>
      </c>
      <c r="Q3339">
        <v>-611672</v>
      </c>
      <c r="S3339">
        <v>-537676</v>
      </c>
    </row>
    <row r="3340" spans="16:19" x14ac:dyDescent="0.3">
      <c r="P3340">
        <v>3339</v>
      </c>
      <c r="Q3340">
        <v>-311797</v>
      </c>
      <c r="S3340">
        <v>615102</v>
      </c>
    </row>
    <row r="3341" spans="16:19" x14ac:dyDescent="0.3">
      <c r="P3341">
        <v>3340</v>
      </c>
      <c r="Q3341">
        <v>-354295</v>
      </c>
      <c r="S3341">
        <v>347634</v>
      </c>
    </row>
    <row r="3342" spans="16:19" x14ac:dyDescent="0.3">
      <c r="P3342">
        <v>3341</v>
      </c>
      <c r="Q3342">
        <v>390902</v>
      </c>
      <c r="S3342">
        <v>80289</v>
      </c>
    </row>
    <row r="3343" spans="16:19" x14ac:dyDescent="0.3">
      <c r="P3343">
        <v>3342</v>
      </c>
      <c r="Q3343">
        <v>50701</v>
      </c>
      <c r="S3343">
        <v>540315</v>
      </c>
    </row>
    <row r="3344" spans="16:19" x14ac:dyDescent="0.3">
      <c r="P3344">
        <v>3343</v>
      </c>
      <c r="Q3344">
        <v>103535</v>
      </c>
      <c r="S3344">
        <v>-640667</v>
      </c>
    </row>
    <row r="3345" spans="16:19" x14ac:dyDescent="0.3">
      <c r="P3345">
        <v>3344</v>
      </c>
      <c r="Q3345">
        <v>-112085</v>
      </c>
      <c r="S3345">
        <v>-257321</v>
      </c>
    </row>
    <row r="3346" spans="16:19" x14ac:dyDescent="0.3">
      <c r="P3346">
        <v>3345</v>
      </c>
      <c r="Q3346">
        <v>-842366</v>
      </c>
      <c r="S3346">
        <v>347370</v>
      </c>
    </row>
    <row r="3347" spans="16:19" x14ac:dyDescent="0.3">
      <c r="P3347">
        <v>3346</v>
      </c>
      <c r="Q3347">
        <v>253652</v>
      </c>
      <c r="S3347">
        <v>307792</v>
      </c>
    </row>
    <row r="3348" spans="16:19" x14ac:dyDescent="0.3">
      <c r="P3348">
        <v>3347</v>
      </c>
      <c r="Q3348">
        <v>-35788</v>
      </c>
      <c r="S3348">
        <v>-612519</v>
      </c>
    </row>
    <row r="3349" spans="16:19" x14ac:dyDescent="0.3">
      <c r="P3349">
        <v>3348</v>
      </c>
      <c r="Q3349">
        <v>648214</v>
      </c>
      <c r="S3349">
        <v>487336</v>
      </c>
    </row>
    <row r="3350" spans="16:19" x14ac:dyDescent="0.3">
      <c r="P3350">
        <v>3349</v>
      </c>
      <c r="Q3350">
        <v>61353</v>
      </c>
      <c r="S3350">
        <v>370162</v>
      </c>
    </row>
    <row r="3351" spans="16:19" x14ac:dyDescent="0.3">
      <c r="P3351">
        <v>3350</v>
      </c>
      <c r="Q3351">
        <v>-232057</v>
      </c>
      <c r="S3351">
        <v>655991</v>
      </c>
    </row>
    <row r="3352" spans="16:19" x14ac:dyDescent="0.3">
      <c r="P3352">
        <v>3351</v>
      </c>
      <c r="Q3352">
        <v>-490194</v>
      </c>
      <c r="S3352">
        <v>317539</v>
      </c>
    </row>
    <row r="3353" spans="16:19" x14ac:dyDescent="0.3">
      <c r="P3353">
        <v>3352</v>
      </c>
      <c r="Q3353">
        <v>628131</v>
      </c>
      <c r="S3353">
        <v>-360723</v>
      </c>
    </row>
    <row r="3354" spans="16:19" x14ac:dyDescent="0.3">
      <c r="P3354">
        <v>3353</v>
      </c>
      <c r="Q3354">
        <v>-542191</v>
      </c>
      <c r="S3354">
        <v>-459734</v>
      </c>
    </row>
    <row r="3355" spans="16:19" x14ac:dyDescent="0.3">
      <c r="P3355">
        <v>3354</v>
      </c>
      <c r="Q3355">
        <v>-590811</v>
      </c>
      <c r="S3355">
        <v>118738</v>
      </c>
    </row>
    <row r="3356" spans="16:19" x14ac:dyDescent="0.3">
      <c r="P3356">
        <v>3355</v>
      </c>
      <c r="Q3356">
        <v>-710313</v>
      </c>
      <c r="S3356">
        <v>-505187</v>
      </c>
    </row>
    <row r="3357" spans="16:19" x14ac:dyDescent="0.3">
      <c r="P3357">
        <v>3356</v>
      </c>
      <c r="Q3357">
        <v>79190</v>
      </c>
      <c r="S3357">
        <v>67177</v>
      </c>
    </row>
    <row r="3358" spans="16:19" x14ac:dyDescent="0.3">
      <c r="P3358">
        <v>3357</v>
      </c>
      <c r="Q3358">
        <v>-313781</v>
      </c>
      <c r="S3358">
        <v>212593</v>
      </c>
    </row>
    <row r="3359" spans="16:19" x14ac:dyDescent="0.3">
      <c r="P3359">
        <v>3358</v>
      </c>
      <c r="Q3359">
        <v>438223</v>
      </c>
      <c r="S3359">
        <v>-250457</v>
      </c>
    </row>
    <row r="3360" spans="16:19" x14ac:dyDescent="0.3">
      <c r="P3360">
        <v>3359</v>
      </c>
      <c r="Q3360">
        <v>350781</v>
      </c>
      <c r="S3360">
        <v>297404</v>
      </c>
    </row>
    <row r="3361" spans="16:19" x14ac:dyDescent="0.3">
      <c r="P3361">
        <v>3360</v>
      </c>
      <c r="Q3361">
        <v>194914</v>
      </c>
      <c r="S3361">
        <v>704047</v>
      </c>
    </row>
    <row r="3362" spans="16:19" x14ac:dyDescent="0.3">
      <c r="P3362">
        <v>3361</v>
      </c>
      <c r="Q3362">
        <v>-88674</v>
      </c>
      <c r="S3362">
        <v>131524</v>
      </c>
    </row>
    <row r="3363" spans="16:19" x14ac:dyDescent="0.3">
      <c r="P3363">
        <v>3362</v>
      </c>
      <c r="Q3363">
        <v>241123</v>
      </c>
      <c r="S3363">
        <v>-339505</v>
      </c>
    </row>
    <row r="3364" spans="16:19" x14ac:dyDescent="0.3">
      <c r="P3364">
        <v>3363</v>
      </c>
      <c r="Q3364">
        <v>493512</v>
      </c>
      <c r="S3364">
        <v>513492</v>
      </c>
    </row>
    <row r="3365" spans="16:19" x14ac:dyDescent="0.3">
      <c r="P3365">
        <v>3364</v>
      </c>
      <c r="Q3365">
        <v>230189</v>
      </c>
      <c r="S3365">
        <v>-17812</v>
      </c>
    </row>
    <row r="3366" spans="16:19" x14ac:dyDescent="0.3">
      <c r="P3366">
        <v>3365</v>
      </c>
      <c r="Q3366">
        <v>-27701</v>
      </c>
      <c r="S3366">
        <v>-680538</v>
      </c>
    </row>
    <row r="3367" spans="16:19" x14ac:dyDescent="0.3">
      <c r="P3367">
        <v>3366</v>
      </c>
      <c r="Q3367">
        <v>846862</v>
      </c>
      <c r="S3367">
        <v>-186751</v>
      </c>
    </row>
    <row r="3368" spans="16:19" x14ac:dyDescent="0.3">
      <c r="P3368">
        <v>3367</v>
      </c>
      <c r="Q3368">
        <v>-599967</v>
      </c>
      <c r="S3368">
        <v>917206</v>
      </c>
    </row>
    <row r="3369" spans="16:19" x14ac:dyDescent="0.3">
      <c r="P3369">
        <v>3368</v>
      </c>
      <c r="Q3369">
        <v>195866</v>
      </c>
      <c r="S3369">
        <v>-130736</v>
      </c>
    </row>
    <row r="3370" spans="16:19" x14ac:dyDescent="0.3">
      <c r="P3370">
        <v>3369</v>
      </c>
      <c r="Q3370">
        <v>-476289</v>
      </c>
      <c r="S3370">
        <v>370390</v>
      </c>
    </row>
    <row r="3371" spans="16:19" x14ac:dyDescent="0.3">
      <c r="P3371">
        <v>3370</v>
      </c>
      <c r="Q3371">
        <v>-434051</v>
      </c>
      <c r="S3371">
        <v>-42006</v>
      </c>
    </row>
    <row r="3372" spans="16:19" x14ac:dyDescent="0.3">
      <c r="P3372">
        <v>3371</v>
      </c>
      <c r="Q3372">
        <v>-878876</v>
      </c>
      <c r="S3372">
        <v>286999</v>
      </c>
    </row>
    <row r="3373" spans="16:19" x14ac:dyDescent="0.3">
      <c r="P3373">
        <v>3372</v>
      </c>
      <c r="Q3373">
        <v>344371</v>
      </c>
      <c r="S3373">
        <v>-258531</v>
      </c>
    </row>
    <row r="3374" spans="16:19" x14ac:dyDescent="0.3">
      <c r="P3374">
        <v>3373</v>
      </c>
      <c r="Q3374">
        <v>-169864</v>
      </c>
      <c r="S3374">
        <v>138108</v>
      </c>
    </row>
    <row r="3375" spans="16:19" x14ac:dyDescent="0.3">
      <c r="P3375">
        <v>3374</v>
      </c>
      <c r="Q3375">
        <v>-80475</v>
      </c>
      <c r="S3375">
        <v>839961</v>
      </c>
    </row>
    <row r="3376" spans="16:19" x14ac:dyDescent="0.3">
      <c r="P3376">
        <v>3375</v>
      </c>
      <c r="Q3376">
        <v>481623</v>
      </c>
      <c r="S3376">
        <v>-197769</v>
      </c>
    </row>
    <row r="3377" spans="16:19" x14ac:dyDescent="0.3">
      <c r="P3377">
        <v>3376</v>
      </c>
      <c r="Q3377">
        <v>-167353</v>
      </c>
      <c r="S3377">
        <v>198322</v>
      </c>
    </row>
    <row r="3378" spans="16:19" x14ac:dyDescent="0.3">
      <c r="P3378">
        <v>3377</v>
      </c>
      <c r="Q3378">
        <v>478433</v>
      </c>
      <c r="S3378">
        <v>455389</v>
      </c>
    </row>
    <row r="3379" spans="16:19" x14ac:dyDescent="0.3">
      <c r="P3379">
        <v>3378</v>
      </c>
      <c r="Q3379">
        <v>520788</v>
      </c>
      <c r="S3379">
        <v>-172819</v>
      </c>
    </row>
    <row r="3380" spans="16:19" x14ac:dyDescent="0.3">
      <c r="P3380">
        <v>3379</v>
      </c>
      <c r="Q3380">
        <v>376304</v>
      </c>
      <c r="S3380">
        <v>142236</v>
      </c>
    </row>
    <row r="3381" spans="16:19" x14ac:dyDescent="0.3">
      <c r="P3381">
        <v>3380</v>
      </c>
      <c r="Q3381">
        <v>311503</v>
      </c>
      <c r="S3381">
        <v>336408</v>
      </c>
    </row>
    <row r="3382" spans="16:19" x14ac:dyDescent="0.3">
      <c r="P3382">
        <v>3381</v>
      </c>
      <c r="Q3382">
        <v>703637</v>
      </c>
      <c r="S3382">
        <v>-172198</v>
      </c>
    </row>
    <row r="3383" spans="16:19" x14ac:dyDescent="0.3">
      <c r="P3383">
        <v>3382</v>
      </c>
      <c r="Q3383">
        <v>-582212</v>
      </c>
      <c r="S3383">
        <v>-387274</v>
      </c>
    </row>
    <row r="3384" spans="16:19" x14ac:dyDescent="0.3">
      <c r="P3384">
        <v>3383</v>
      </c>
      <c r="Q3384">
        <v>-477645</v>
      </c>
      <c r="S3384">
        <v>206710</v>
      </c>
    </row>
    <row r="3385" spans="16:19" x14ac:dyDescent="0.3">
      <c r="P3385">
        <v>3384</v>
      </c>
      <c r="Q3385">
        <v>128563</v>
      </c>
      <c r="S3385">
        <v>-745335</v>
      </c>
    </row>
    <row r="3386" spans="16:19" x14ac:dyDescent="0.3">
      <c r="P3386">
        <v>3385</v>
      </c>
      <c r="Q3386">
        <v>342141</v>
      </c>
      <c r="S3386">
        <v>331368</v>
      </c>
    </row>
    <row r="3387" spans="16:19" x14ac:dyDescent="0.3">
      <c r="P3387">
        <v>3386</v>
      </c>
      <c r="Q3387">
        <v>-629997</v>
      </c>
      <c r="S3387">
        <v>272050</v>
      </c>
    </row>
    <row r="3388" spans="16:19" x14ac:dyDescent="0.3">
      <c r="P3388">
        <v>3387</v>
      </c>
      <c r="Q3388">
        <v>402598</v>
      </c>
      <c r="S3388">
        <v>25585</v>
      </c>
    </row>
    <row r="3389" spans="16:19" x14ac:dyDescent="0.3">
      <c r="P3389">
        <v>3388</v>
      </c>
      <c r="Q3389">
        <v>-332396</v>
      </c>
      <c r="S3389">
        <v>340959</v>
      </c>
    </row>
    <row r="3390" spans="16:19" x14ac:dyDescent="0.3">
      <c r="P3390">
        <v>3389</v>
      </c>
      <c r="Q3390">
        <v>-74271</v>
      </c>
      <c r="S3390">
        <v>-266182</v>
      </c>
    </row>
    <row r="3391" spans="16:19" x14ac:dyDescent="0.3">
      <c r="P3391">
        <v>3390</v>
      </c>
      <c r="Q3391">
        <v>133369</v>
      </c>
      <c r="S3391">
        <v>162887</v>
      </c>
    </row>
    <row r="3392" spans="16:19" x14ac:dyDescent="0.3">
      <c r="P3392">
        <v>3391</v>
      </c>
      <c r="Q3392">
        <v>345960</v>
      </c>
      <c r="S3392">
        <v>42494</v>
      </c>
    </row>
    <row r="3393" spans="16:19" x14ac:dyDescent="0.3">
      <c r="P3393">
        <v>3392</v>
      </c>
      <c r="Q3393">
        <v>732738</v>
      </c>
      <c r="S3393">
        <v>67299</v>
      </c>
    </row>
    <row r="3394" spans="16:19" x14ac:dyDescent="0.3">
      <c r="P3394">
        <v>3393</v>
      </c>
      <c r="Q3394">
        <v>702221</v>
      </c>
      <c r="S3394">
        <v>-85085</v>
      </c>
    </row>
    <row r="3395" spans="16:19" x14ac:dyDescent="0.3">
      <c r="P3395">
        <v>3394</v>
      </c>
      <c r="Q3395">
        <v>-367453</v>
      </c>
      <c r="S3395">
        <v>-269783</v>
      </c>
    </row>
    <row r="3396" spans="16:19" x14ac:dyDescent="0.3">
      <c r="P3396">
        <v>3395</v>
      </c>
      <c r="Q3396">
        <v>-106943</v>
      </c>
      <c r="S3396">
        <v>602095</v>
      </c>
    </row>
    <row r="3397" spans="16:19" x14ac:dyDescent="0.3">
      <c r="P3397">
        <v>3396</v>
      </c>
      <c r="Q3397">
        <v>-374187</v>
      </c>
      <c r="S3397">
        <v>-242857</v>
      </c>
    </row>
    <row r="3398" spans="16:19" x14ac:dyDescent="0.3">
      <c r="P3398">
        <v>3397</v>
      </c>
      <c r="Q3398">
        <v>474353</v>
      </c>
      <c r="S3398">
        <v>-86853</v>
      </c>
    </row>
    <row r="3399" spans="16:19" x14ac:dyDescent="0.3">
      <c r="P3399">
        <v>3398</v>
      </c>
      <c r="Q3399">
        <v>293971</v>
      </c>
      <c r="S3399">
        <v>369599</v>
      </c>
    </row>
    <row r="3400" spans="16:19" x14ac:dyDescent="0.3">
      <c r="P3400">
        <v>3399</v>
      </c>
      <c r="Q3400">
        <v>276930</v>
      </c>
      <c r="S3400">
        <v>443923</v>
      </c>
    </row>
    <row r="3401" spans="16:19" x14ac:dyDescent="0.3">
      <c r="P3401">
        <v>3400</v>
      </c>
      <c r="Q3401">
        <v>-314327</v>
      </c>
      <c r="S3401">
        <v>-203121</v>
      </c>
    </row>
    <row r="3402" spans="16:19" x14ac:dyDescent="0.3">
      <c r="P3402">
        <v>3401</v>
      </c>
      <c r="Q3402">
        <v>620779</v>
      </c>
      <c r="S3402">
        <v>-55849</v>
      </c>
    </row>
    <row r="3403" spans="16:19" x14ac:dyDescent="0.3">
      <c r="P3403">
        <v>3402</v>
      </c>
      <c r="Q3403">
        <v>12492</v>
      </c>
      <c r="S3403">
        <v>764723</v>
      </c>
    </row>
    <row r="3404" spans="16:19" x14ac:dyDescent="0.3">
      <c r="P3404">
        <v>3403</v>
      </c>
      <c r="Q3404">
        <v>727353</v>
      </c>
      <c r="S3404">
        <v>-447515</v>
      </c>
    </row>
    <row r="3405" spans="16:19" x14ac:dyDescent="0.3">
      <c r="P3405">
        <v>3404</v>
      </c>
      <c r="Q3405">
        <v>-163748</v>
      </c>
      <c r="S3405">
        <v>-363163</v>
      </c>
    </row>
    <row r="3406" spans="16:19" x14ac:dyDescent="0.3">
      <c r="P3406">
        <v>3405</v>
      </c>
      <c r="Q3406">
        <v>-381224</v>
      </c>
      <c r="S3406">
        <v>341260</v>
      </c>
    </row>
    <row r="3407" spans="16:19" x14ac:dyDescent="0.3">
      <c r="P3407">
        <v>3406</v>
      </c>
      <c r="Q3407">
        <v>-493088</v>
      </c>
      <c r="S3407">
        <v>360039</v>
      </c>
    </row>
    <row r="3408" spans="16:19" x14ac:dyDescent="0.3">
      <c r="P3408">
        <v>3407</v>
      </c>
      <c r="Q3408">
        <v>-384914</v>
      </c>
      <c r="S3408">
        <v>463086</v>
      </c>
    </row>
    <row r="3409" spans="16:19" x14ac:dyDescent="0.3">
      <c r="P3409">
        <v>3408</v>
      </c>
      <c r="Q3409">
        <v>136179</v>
      </c>
      <c r="S3409">
        <v>468468</v>
      </c>
    </row>
    <row r="3410" spans="16:19" x14ac:dyDescent="0.3">
      <c r="P3410">
        <v>3409</v>
      </c>
      <c r="Q3410">
        <v>-2917</v>
      </c>
      <c r="S3410">
        <v>40024</v>
      </c>
    </row>
    <row r="3411" spans="16:19" x14ac:dyDescent="0.3">
      <c r="P3411">
        <v>3410</v>
      </c>
      <c r="Q3411">
        <v>-28951</v>
      </c>
      <c r="S3411">
        <v>-57757</v>
      </c>
    </row>
    <row r="3412" spans="16:19" x14ac:dyDescent="0.3">
      <c r="P3412">
        <v>3411</v>
      </c>
      <c r="Q3412">
        <v>312670</v>
      </c>
      <c r="S3412">
        <v>-239929</v>
      </c>
    </row>
    <row r="3413" spans="16:19" x14ac:dyDescent="0.3">
      <c r="P3413">
        <v>3412</v>
      </c>
      <c r="Q3413">
        <v>201865</v>
      </c>
      <c r="S3413">
        <v>544284</v>
      </c>
    </row>
    <row r="3414" spans="16:19" x14ac:dyDescent="0.3">
      <c r="P3414">
        <v>3413</v>
      </c>
      <c r="Q3414">
        <v>944752</v>
      </c>
      <c r="S3414">
        <v>-720724</v>
      </c>
    </row>
    <row r="3415" spans="16:19" x14ac:dyDescent="0.3">
      <c r="P3415">
        <v>3414</v>
      </c>
      <c r="Q3415">
        <v>-460019</v>
      </c>
      <c r="S3415">
        <v>157121</v>
      </c>
    </row>
    <row r="3416" spans="16:19" x14ac:dyDescent="0.3">
      <c r="P3416">
        <v>3415</v>
      </c>
      <c r="Q3416">
        <v>322438</v>
      </c>
      <c r="S3416">
        <v>-359250</v>
      </c>
    </row>
    <row r="3417" spans="16:19" x14ac:dyDescent="0.3">
      <c r="P3417">
        <v>3416</v>
      </c>
      <c r="Q3417">
        <v>424602</v>
      </c>
      <c r="S3417">
        <v>-671560</v>
      </c>
    </row>
    <row r="3418" spans="16:19" x14ac:dyDescent="0.3">
      <c r="P3418">
        <v>3417</v>
      </c>
      <c r="Q3418">
        <v>-363864</v>
      </c>
      <c r="S3418">
        <v>342289</v>
      </c>
    </row>
    <row r="3419" spans="16:19" x14ac:dyDescent="0.3">
      <c r="P3419">
        <v>3418</v>
      </c>
      <c r="Q3419">
        <v>228298</v>
      </c>
      <c r="S3419">
        <v>-508420</v>
      </c>
    </row>
    <row r="3420" spans="16:19" x14ac:dyDescent="0.3">
      <c r="P3420">
        <v>3419</v>
      </c>
      <c r="Q3420">
        <v>-31568</v>
      </c>
      <c r="S3420">
        <v>348167</v>
      </c>
    </row>
    <row r="3421" spans="16:19" x14ac:dyDescent="0.3">
      <c r="P3421">
        <v>3420</v>
      </c>
      <c r="Q3421">
        <v>-406430</v>
      </c>
      <c r="S3421">
        <v>-415087</v>
      </c>
    </row>
    <row r="3422" spans="16:19" x14ac:dyDescent="0.3">
      <c r="P3422">
        <v>3421</v>
      </c>
      <c r="Q3422">
        <v>184864</v>
      </c>
      <c r="S3422">
        <v>-131566</v>
      </c>
    </row>
    <row r="3423" spans="16:19" x14ac:dyDescent="0.3">
      <c r="P3423">
        <v>3422</v>
      </c>
      <c r="Q3423">
        <v>-693406</v>
      </c>
      <c r="S3423">
        <v>-537819</v>
      </c>
    </row>
    <row r="3424" spans="16:19" x14ac:dyDescent="0.3">
      <c r="P3424">
        <v>3423</v>
      </c>
      <c r="Q3424">
        <v>666453</v>
      </c>
      <c r="S3424">
        <v>-200409</v>
      </c>
    </row>
    <row r="3425" spans="16:19" x14ac:dyDescent="0.3">
      <c r="P3425">
        <v>3424</v>
      </c>
      <c r="Q3425">
        <v>819062</v>
      </c>
      <c r="S3425">
        <v>-501045</v>
      </c>
    </row>
    <row r="3426" spans="16:19" x14ac:dyDescent="0.3">
      <c r="P3426">
        <v>3425</v>
      </c>
      <c r="Q3426">
        <v>437499</v>
      </c>
      <c r="S3426">
        <v>138883</v>
      </c>
    </row>
    <row r="3427" spans="16:19" x14ac:dyDescent="0.3">
      <c r="P3427">
        <v>3426</v>
      </c>
      <c r="Q3427">
        <v>57632</v>
      </c>
      <c r="S3427">
        <v>325681</v>
      </c>
    </row>
    <row r="3428" spans="16:19" x14ac:dyDescent="0.3">
      <c r="P3428">
        <v>3427</v>
      </c>
      <c r="Q3428">
        <v>1046386</v>
      </c>
      <c r="S3428">
        <v>72456</v>
      </c>
    </row>
    <row r="3429" spans="16:19" x14ac:dyDescent="0.3">
      <c r="P3429">
        <v>3428</v>
      </c>
      <c r="Q3429">
        <v>-585232</v>
      </c>
      <c r="S3429">
        <v>-360687</v>
      </c>
    </row>
    <row r="3430" spans="16:19" x14ac:dyDescent="0.3">
      <c r="P3430">
        <v>3429</v>
      </c>
      <c r="Q3430">
        <v>-373935</v>
      </c>
      <c r="S3430">
        <v>-614764</v>
      </c>
    </row>
    <row r="3431" spans="16:19" x14ac:dyDescent="0.3">
      <c r="P3431">
        <v>3430</v>
      </c>
      <c r="Q3431">
        <v>-263595</v>
      </c>
      <c r="S3431">
        <v>-645135</v>
      </c>
    </row>
    <row r="3432" spans="16:19" x14ac:dyDescent="0.3">
      <c r="P3432">
        <v>3431</v>
      </c>
      <c r="Q3432">
        <v>239087</v>
      </c>
      <c r="S3432">
        <v>-350129</v>
      </c>
    </row>
    <row r="3433" spans="16:19" x14ac:dyDescent="0.3">
      <c r="P3433">
        <v>3432</v>
      </c>
      <c r="Q3433">
        <v>-173315</v>
      </c>
      <c r="S3433">
        <v>-464546</v>
      </c>
    </row>
    <row r="3434" spans="16:19" x14ac:dyDescent="0.3">
      <c r="P3434">
        <v>3433</v>
      </c>
      <c r="Q3434">
        <v>-226629</v>
      </c>
      <c r="S3434">
        <v>836590</v>
      </c>
    </row>
    <row r="3435" spans="16:19" x14ac:dyDescent="0.3">
      <c r="P3435">
        <v>3434</v>
      </c>
      <c r="Q3435">
        <v>-295029</v>
      </c>
      <c r="S3435">
        <v>193399</v>
      </c>
    </row>
    <row r="3436" spans="16:19" x14ac:dyDescent="0.3">
      <c r="P3436">
        <v>3435</v>
      </c>
      <c r="Q3436">
        <v>399746</v>
      </c>
      <c r="S3436">
        <v>92867</v>
      </c>
    </row>
    <row r="3437" spans="16:19" x14ac:dyDescent="0.3">
      <c r="P3437">
        <v>3436</v>
      </c>
      <c r="Q3437">
        <v>-582548</v>
      </c>
      <c r="S3437">
        <v>618865</v>
      </c>
    </row>
    <row r="3438" spans="16:19" x14ac:dyDescent="0.3">
      <c r="P3438">
        <v>3437</v>
      </c>
      <c r="Q3438">
        <v>375416</v>
      </c>
      <c r="S3438">
        <v>-438976</v>
      </c>
    </row>
    <row r="3439" spans="16:19" x14ac:dyDescent="0.3">
      <c r="P3439">
        <v>3438</v>
      </c>
      <c r="Q3439">
        <v>311023</v>
      </c>
      <c r="S3439">
        <v>390553</v>
      </c>
    </row>
    <row r="3440" spans="16:19" x14ac:dyDescent="0.3">
      <c r="P3440">
        <v>3439</v>
      </c>
      <c r="Q3440">
        <v>67799</v>
      </c>
      <c r="S3440">
        <v>231764</v>
      </c>
    </row>
    <row r="3441" spans="16:19" x14ac:dyDescent="0.3">
      <c r="P3441">
        <v>3440</v>
      </c>
      <c r="Q3441">
        <v>356334</v>
      </c>
      <c r="S3441">
        <v>-386035</v>
      </c>
    </row>
    <row r="3442" spans="16:19" x14ac:dyDescent="0.3">
      <c r="P3442">
        <v>3441</v>
      </c>
      <c r="Q3442">
        <v>-408754</v>
      </c>
      <c r="S3442">
        <v>-312829</v>
      </c>
    </row>
    <row r="3443" spans="16:19" x14ac:dyDescent="0.3">
      <c r="P3443">
        <v>3442</v>
      </c>
      <c r="Q3443">
        <v>-136607</v>
      </c>
      <c r="S3443">
        <v>147958</v>
      </c>
    </row>
    <row r="3444" spans="16:19" x14ac:dyDescent="0.3">
      <c r="P3444">
        <v>3443</v>
      </c>
      <c r="Q3444">
        <v>-714306</v>
      </c>
      <c r="S3444">
        <v>-127035</v>
      </c>
    </row>
    <row r="3445" spans="16:19" x14ac:dyDescent="0.3">
      <c r="P3445">
        <v>3444</v>
      </c>
      <c r="Q3445">
        <v>-766631</v>
      </c>
      <c r="S3445">
        <v>836862</v>
      </c>
    </row>
    <row r="3446" spans="16:19" x14ac:dyDescent="0.3">
      <c r="P3446">
        <v>3445</v>
      </c>
      <c r="Q3446">
        <v>-289681</v>
      </c>
      <c r="S3446">
        <v>480022</v>
      </c>
    </row>
    <row r="3447" spans="16:19" x14ac:dyDescent="0.3">
      <c r="P3447">
        <v>3446</v>
      </c>
      <c r="Q3447">
        <v>-774554</v>
      </c>
      <c r="S3447">
        <v>-455963</v>
      </c>
    </row>
    <row r="3448" spans="16:19" x14ac:dyDescent="0.3">
      <c r="P3448">
        <v>3447</v>
      </c>
      <c r="Q3448">
        <v>644743</v>
      </c>
      <c r="S3448">
        <v>-277330</v>
      </c>
    </row>
    <row r="3449" spans="16:19" x14ac:dyDescent="0.3">
      <c r="P3449">
        <v>3448</v>
      </c>
      <c r="Q3449">
        <v>-29789</v>
      </c>
      <c r="S3449">
        <v>-199124</v>
      </c>
    </row>
    <row r="3450" spans="16:19" x14ac:dyDescent="0.3">
      <c r="P3450">
        <v>3449</v>
      </c>
      <c r="Q3450">
        <v>14952</v>
      </c>
      <c r="S3450">
        <v>782112</v>
      </c>
    </row>
    <row r="3451" spans="16:19" x14ac:dyDescent="0.3">
      <c r="P3451">
        <v>3450</v>
      </c>
      <c r="Q3451">
        <v>-586156</v>
      </c>
      <c r="S3451">
        <v>-390544</v>
      </c>
    </row>
    <row r="3452" spans="16:19" x14ac:dyDescent="0.3">
      <c r="P3452">
        <v>3451</v>
      </c>
      <c r="Q3452">
        <v>430717</v>
      </c>
      <c r="S3452">
        <v>452069</v>
      </c>
    </row>
    <row r="3453" spans="16:19" x14ac:dyDescent="0.3">
      <c r="P3453">
        <v>3452</v>
      </c>
      <c r="Q3453">
        <v>-235252</v>
      </c>
      <c r="S3453">
        <v>408330</v>
      </c>
    </row>
    <row r="3454" spans="16:19" x14ac:dyDescent="0.3">
      <c r="P3454">
        <v>3453</v>
      </c>
      <c r="Q3454">
        <v>-344840</v>
      </c>
      <c r="S3454">
        <v>-377493</v>
      </c>
    </row>
    <row r="3455" spans="16:19" x14ac:dyDescent="0.3">
      <c r="P3455">
        <v>3454</v>
      </c>
      <c r="Q3455">
        <v>-300047</v>
      </c>
      <c r="S3455">
        <v>315260</v>
      </c>
    </row>
    <row r="3456" spans="16:19" x14ac:dyDescent="0.3">
      <c r="P3456">
        <v>3455</v>
      </c>
      <c r="Q3456">
        <v>-467474</v>
      </c>
      <c r="S3456">
        <v>440493</v>
      </c>
    </row>
    <row r="3457" spans="16:19" x14ac:dyDescent="0.3">
      <c r="P3457">
        <v>3456</v>
      </c>
      <c r="Q3457">
        <v>313255</v>
      </c>
      <c r="S3457">
        <v>-425318</v>
      </c>
    </row>
    <row r="3458" spans="16:19" x14ac:dyDescent="0.3">
      <c r="P3458">
        <v>3457</v>
      </c>
      <c r="Q3458">
        <v>-234311</v>
      </c>
      <c r="S3458">
        <v>-229712</v>
      </c>
    </row>
    <row r="3459" spans="16:19" x14ac:dyDescent="0.3">
      <c r="P3459">
        <v>3458</v>
      </c>
      <c r="Q3459">
        <v>-648131</v>
      </c>
      <c r="S3459">
        <v>-178778</v>
      </c>
    </row>
    <row r="3460" spans="16:19" x14ac:dyDescent="0.3">
      <c r="P3460">
        <v>3459</v>
      </c>
      <c r="Q3460">
        <v>-189915</v>
      </c>
      <c r="S3460">
        <v>-496219</v>
      </c>
    </row>
    <row r="3461" spans="16:19" x14ac:dyDescent="0.3">
      <c r="P3461">
        <v>3460</v>
      </c>
      <c r="Q3461">
        <v>-245228</v>
      </c>
      <c r="S3461">
        <v>-401001</v>
      </c>
    </row>
    <row r="3462" spans="16:19" x14ac:dyDescent="0.3">
      <c r="P3462">
        <v>3461</v>
      </c>
      <c r="Q3462">
        <v>328343</v>
      </c>
      <c r="S3462">
        <v>-144342</v>
      </c>
    </row>
    <row r="3463" spans="16:19" x14ac:dyDescent="0.3">
      <c r="P3463">
        <v>3462</v>
      </c>
      <c r="Q3463">
        <v>-694640</v>
      </c>
      <c r="S3463">
        <v>821649</v>
      </c>
    </row>
    <row r="3464" spans="16:19" x14ac:dyDescent="0.3">
      <c r="P3464">
        <v>3463</v>
      </c>
      <c r="Q3464">
        <v>-98245</v>
      </c>
      <c r="S3464">
        <v>562991</v>
      </c>
    </row>
    <row r="3465" spans="16:19" x14ac:dyDescent="0.3">
      <c r="P3465">
        <v>3464</v>
      </c>
      <c r="Q3465">
        <v>-140226</v>
      </c>
      <c r="S3465">
        <v>-210318</v>
      </c>
    </row>
    <row r="3466" spans="16:19" x14ac:dyDescent="0.3">
      <c r="P3466">
        <v>3465</v>
      </c>
      <c r="Q3466">
        <v>975243</v>
      </c>
      <c r="S3466">
        <v>254976</v>
      </c>
    </row>
    <row r="3467" spans="16:19" x14ac:dyDescent="0.3">
      <c r="P3467">
        <v>3466</v>
      </c>
      <c r="Q3467">
        <v>208457</v>
      </c>
      <c r="S3467">
        <v>-29857</v>
      </c>
    </row>
    <row r="3468" spans="16:19" x14ac:dyDescent="0.3">
      <c r="P3468">
        <v>3467</v>
      </c>
      <c r="Q3468">
        <v>74376</v>
      </c>
      <c r="S3468">
        <v>-323514</v>
      </c>
    </row>
    <row r="3469" spans="16:19" x14ac:dyDescent="0.3">
      <c r="P3469">
        <v>3468</v>
      </c>
      <c r="Q3469">
        <v>1207802</v>
      </c>
      <c r="S3469">
        <v>-437993</v>
      </c>
    </row>
    <row r="3470" spans="16:19" x14ac:dyDescent="0.3">
      <c r="P3470">
        <v>3469</v>
      </c>
      <c r="Q3470">
        <v>392708</v>
      </c>
      <c r="S3470">
        <v>585201</v>
      </c>
    </row>
    <row r="3471" spans="16:19" x14ac:dyDescent="0.3">
      <c r="P3471">
        <v>3470</v>
      </c>
      <c r="Q3471">
        <v>312582</v>
      </c>
      <c r="S3471">
        <v>352541</v>
      </c>
    </row>
    <row r="3472" spans="16:19" x14ac:dyDescent="0.3">
      <c r="P3472">
        <v>3471</v>
      </c>
      <c r="Q3472">
        <v>85140</v>
      </c>
      <c r="S3472">
        <v>157907</v>
      </c>
    </row>
    <row r="3473" spans="16:19" x14ac:dyDescent="0.3">
      <c r="P3473">
        <v>3472</v>
      </c>
      <c r="Q3473">
        <v>-92785</v>
      </c>
      <c r="S3473">
        <v>619440</v>
      </c>
    </row>
    <row r="3474" spans="16:19" x14ac:dyDescent="0.3">
      <c r="P3474">
        <v>3473</v>
      </c>
      <c r="Q3474">
        <v>724008</v>
      </c>
      <c r="S3474">
        <v>-293226</v>
      </c>
    </row>
    <row r="3475" spans="16:19" x14ac:dyDescent="0.3">
      <c r="P3475">
        <v>3474</v>
      </c>
      <c r="Q3475">
        <v>-306500</v>
      </c>
      <c r="S3475">
        <v>524275</v>
      </c>
    </row>
    <row r="3476" spans="16:19" x14ac:dyDescent="0.3">
      <c r="P3476">
        <v>3475</v>
      </c>
      <c r="Q3476">
        <v>389435</v>
      </c>
      <c r="S3476">
        <v>53560</v>
      </c>
    </row>
    <row r="3477" spans="16:19" x14ac:dyDescent="0.3">
      <c r="P3477">
        <v>3476</v>
      </c>
      <c r="Q3477">
        <v>-370744</v>
      </c>
      <c r="S3477">
        <v>-118529</v>
      </c>
    </row>
    <row r="3478" spans="16:19" x14ac:dyDescent="0.3">
      <c r="P3478">
        <v>3477</v>
      </c>
      <c r="Q3478">
        <v>431979</v>
      </c>
      <c r="S3478">
        <v>121487</v>
      </c>
    </row>
    <row r="3479" spans="16:19" x14ac:dyDescent="0.3">
      <c r="P3479">
        <v>3478</v>
      </c>
      <c r="Q3479">
        <v>-244826</v>
      </c>
      <c r="S3479">
        <v>-301194</v>
      </c>
    </row>
    <row r="3480" spans="16:19" x14ac:dyDescent="0.3">
      <c r="P3480">
        <v>3479</v>
      </c>
      <c r="Q3480">
        <v>367143</v>
      </c>
      <c r="S3480">
        <v>-637930</v>
      </c>
    </row>
    <row r="3481" spans="16:19" x14ac:dyDescent="0.3">
      <c r="P3481">
        <v>3480</v>
      </c>
      <c r="Q3481">
        <v>-481436</v>
      </c>
      <c r="S3481">
        <v>818059</v>
      </c>
    </row>
    <row r="3482" spans="16:19" x14ac:dyDescent="0.3">
      <c r="P3482">
        <v>3481</v>
      </c>
      <c r="Q3482">
        <v>22030</v>
      </c>
      <c r="S3482">
        <v>171409</v>
      </c>
    </row>
    <row r="3483" spans="16:19" x14ac:dyDescent="0.3">
      <c r="P3483">
        <v>3482</v>
      </c>
      <c r="Q3483">
        <v>-205014</v>
      </c>
      <c r="S3483">
        <v>-194879</v>
      </c>
    </row>
    <row r="3484" spans="16:19" x14ac:dyDescent="0.3">
      <c r="P3484">
        <v>3483</v>
      </c>
      <c r="Q3484">
        <v>436174</v>
      </c>
      <c r="S3484">
        <v>391848</v>
      </c>
    </row>
    <row r="3485" spans="16:19" x14ac:dyDescent="0.3">
      <c r="P3485">
        <v>3484</v>
      </c>
      <c r="Q3485">
        <v>368146</v>
      </c>
      <c r="S3485">
        <v>-374386</v>
      </c>
    </row>
    <row r="3486" spans="16:19" x14ac:dyDescent="0.3">
      <c r="P3486">
        <v>3485</v>
      </c>
      <c r="Q3486">
        <v>-141314</v>
      </c>
      <c r="S3486">
        <v>67738</v>
      </c>
    </row>
    <row r="3487" spans="16:19" x14ac:dyDescent="0.3">
      <c r="P3487">
        <v>3486</v>
      </c>
      <c r="Q3487">
        <v>-140440</v>
      </c>
      <c r="S3487">
        <v>-362343</v>
      </c>
    </row>
    <row r="3488" spans="16:19" x14ac:dyDescent="0.3">
      <c r="P3488">
        <v>3487</v>
      </c>
      <c r="Q3488">
        <v>-93851</v>
      </c>
      <c r="S3488">
        <v>-365874</v>
      </c>
    </row>
    <row r="3489" spans="16:19" x14ac:dyDescent="0.3">
      <c r="P3489">
        <v>3488</v>
      </c>
      <c r="Q3489">
        <v>-18158</v>
      </c>
      <c r="S3489">
        <v>-529937</v>
      </c>
    </row>
    <row r="3490" spans="16:19" x14ac:dyDescent="0.3">
      <c r="P3490">
        <v>3489</v>
      </c>
      <c r="Q3490">
        <v>-660606</v>
      </c>
      <c r="S3490">
        <v>-74412</v>
      </c>
    </row>
    <row r="3491" spans="16:19" x14ac:dyDescent="0.3">
      <c r="P3491">
        <v>3490</v>
      </c>
      <c r="Q3491">
        <v>-319996</v>
      </c>
      <c r="S3491">
        <v>-243213</v>
      </c>
    </row>
    <row r="3492" spans="16:19" x14ac:dyDescent="0.3">
      <c r="P3492">
        <v>3491</v>
      </c>
      <c r="Q3492">
        <v>-534582</v>
      </c>
      <c r="S3492">
        <v>575329</v>
      </c>
    </row>
    <row r="3493" spans="16:19" x14ac:dyDescent="0.3">
      <c r="P3493">
        <v>3492</v>
      </c>
      <c r="Q3493">
        <v>505521</v>
      </c>
      <c r="S3493">
        <v>556751</v>
      </c>
    </row>
    <row r="3494" spans="16:19" x14ac:dyDescent="0.3">
      <c r="P3494">
        <v>3493</v>
      </c>
      <c r="Q3494">
        <v>-440623</v>
      </c>
      <c r="S3494">
        <v>583360</v>
      </c>
    </row>
    <row r="3495" spans="16:19" x14ac:dyDescent="0.3">
      <c r="P3495">
        <v>3494</v>
      </c>
      <c r="Q3495">
        <v>-309045</v>
      </c>
      <c r="S3495">
        <v>-519420</v>
      </c>
    </row>
    <row r="3496" spans="16:19" x14ac:dyDescent="0.3">
      <c r="P3496">
        <v>3495</v>
      </c>
      <c r="Q3496">
        <v>571151</v>
      </c>
      <c r="S3496">
        <v>567272</v>
      </c>
    </row>
    <row r="3497" spans="16:19" x14ac:dyDescent="0.3">
      <c r="P3497">
        <v>3496</v>
      </c>
      <c r="Q3497">
        <v>-568421</v>
      </c>
      <c r="S3497">
        <v>-153934</v>
      </c>
    </row>
    <row r="3498" spans="16:19" x14ac:dyDescent="0.3">
      <c r="P3498">
        <v>3497</v>
      </c>
      <c r="Q3498">
        <v>-292419</v>
      </c>
      <c r="S3498">
        <v>-125642</v>
      </c>
    </row>
    <row r="3499" spans="16:19" x14ac:dyDescent="0.3">
      <c r="P3499">
        <v>3498</v>
      </c>
      <c r="Q3499">
        <v>-36943</v>
      </c>
      <c r="S3499">
        <v>-157493</v>
      </c>
    </row>
    <row r="3500" spans="16:19" x14ac:dyDescent="0.3">
      <c r="P3500">
        <v>3499</v>
      </c>
      <c r="Q3500">
        <v>160019</v>
      </c>
      <c r="S3500">
        <v>-344600</v>
      </c>
    </row>
    <row r="3501" spans="16:19" x14ac:dyDescent="0.3">
      <c r="P3501">
        <v>3500</v>
      </c>
      <c r="Q3501">
        <v>663264</v>
      </c>
      <c r="S3501">
        <v>150778</v>
      </c>
    </row>
    <row r="3502" spans="16:19" x14ac:dyDescent="0.3">
      <c r="P3502">
        <v>3501</v>
      </c>
      <c r="Q3502">
        <v>-229727</v>
      </c>
      <c r="S3502">
        <v>-403139</v>
      </c>
    </row>
    <row r="3503" spans="16:19" x14ac:dyDescent="0.3">
      <c r="P3503">
        <v>3502</v>
      </c>
      <c r="Q3503">
        <v>-230516</v>
      </c>
      <c r="S3503">
        <v>-353931</v>
      </c>
    </row>
    <row r="3504" spans="16:19" x14ac:dyDescent="0.3">
      <c r="P3504">
        <v>3503</v>
      </c>
      <c r="Q3504">
        <v>-49924</v>
      </c>
      <c r="S3504">
        <v>337766</v>
      </c>
    </row>
    <row r="3505" spans="16:19" x14ac:dyDescent="0.3">
      <c r="P3505">
        <v>3504</v>
      </c>
      <c r="Q3505">
        <v>-599964</v>
      </c>
      <c r="S3505">
        <v>-287312</v>
      </c>
    </row>
    <row r="3506" spans="16:19" x14ac:dyDescent="0.3">
      <c r="P3506">
        <v>3505</v>
      </c>
      <c r="Q3506">
        <v>175881</v>
      </c>
      <c r="S3506">
        <v>197667</v>
      </c>
    </row>
    <row r="3507" spans="16:19" x14ac:dyDescent="0.3">
      <c r="P3507">
        <v>3506</v>
      </c>
      <c r="Q3507">
        <v>-520269</v>
      </c>
      <c r="S3507">
        <v>-512325</v>
      </c>
    </row>
    <row r="3508" spans="16:19" x14ac:dyDescent="0.3">
      <c r="P3508">
        <v>3507</v>
      </c>
      <c r="Q3508">
        <v>514722</v>
      </c>
      <c r="S3508">
        <v>-22033</v>
      </c>
    </row>
    <row r="3509" spans="16:19" x14ac:dyDescent="0.3">
      <c r="P3509">
        <v>3508</v>
      </c>
      <c r="Q3509">
        <v>74778</v>
      </c>
      <c r="S3509">
        <v>275184</v>
      </c>
    </row>
    <row r="3510" spans="16:19" x14ac:dyDescent="0.3">
      <c r="P3510">
        <v>3509</v>
      </c>
      <c r="Q3510">
        <v>630114</v>
      </c>
      <c r="S3510">
        <v>48251</v>
      </c>
    </row>
    <row r="3511" spans="16:19" x14ac:dyDescent="0.3">
      <c r="P3511">
        <v>3510</v>
      </c>
      <c r="Q3511">
        <v>255840</v>
      </c>
      <c r="S3511">
        <v>-431701</v>
      </c>
    </row>
    <row r="3512" spans="16:19" x14ac:dyDescent="0.3">
      <c r="P3512">
        <v>3511</v>
      </c>
      <c r="Q3512">
        <v>33812</v>
      </c>
      <c r="S3512">
        <v>-220641</v>
      </c>
    </row>
    <row r="3513" spans="16:19" x14ac:dyDescent="0.3">
      <c r="P3513">
        <v>3512</v>
      </c>
      <c r="Q3513">
        <v>725930</v>
      </c>
      <c r="S3513">
        <v>-88811</v>
      </c>
    </row>
    <row r="3514" spans="16:19" x14ac:dyDescent="0.3">
      <c r="P3514">
        <v>3513</v>
      </c>
      <c r="Q3514">
        <v>-496868</v>
      </c>
      <c r="S3514">
        <v>-646193</v>
      </c>
    </row>
    <row r="3515" spans="16:19" x14ac:dyDescent="0.3">
      <c r="P3515">
        <v>3514</v>
      </c>
      <c r="Q3515">
        <v>661013</v>
      </c>
      <c r="S3515">
        <v>-47729</v>
      </c>
    </row>
    <row r="3516" spans="16:19" x14ac:dyDescent="0.3">
      <c r="P3516">
        <v>3515</v>
      </c>
      <c r="Q3516">
        <v>118885</v>
      </c>
      <c r="S3516">
        <v>201986</v>
      </c>
    </row>
    <row r="3517" spans="16:19" x14ac:dyDescent="0.3">
      <c r="P3517">
        <v>3516</v>
      </c>
      <c r="Q3517">
        <v>373655</v>
      </c>
      <c r="S3517">
        <v>601782</v>
      </c>
    </row>
    <row r="3518" spans="16:19" x14ac:dyDescent="0.3">
      <c r="P3518">
        <v>3517</v>
      </c>
      <c r="Q3518">
        <v>669978</v>
      </c>
      <c r="S3518">
        <v>55676</v>
      </c>
    </row>
    <row r="3519" spans="16:19" x14ac:dyDescent="0.3">
      <c r="P3519">
        <v>3518</v>
      </c>
      <c r="Q3519">
        <v>350078</v>
      </c>
      <c r="S3519">
        <v>213322</v>
      </c>
    </row>
    <row r="3520" spans="16:19" x14ac:dyDescent="0.3">
      <c r="P3520">
        <v>3519</v>
      </c>
      <c r="Q3520">
        <v>-785030</v>
      </c>
      <c r="S3520">
        <v>-202310</v>
      </c>
    </row>
    <row r="3521" spans="16:19" x14ac:dyDescent="0.3">
      <c r="P3521">
        <v>3520</v>
      </c>
      <c r="Q3521">
        <v>131535</v>
      </c>
      <c r="S3521">
        <v>517634</v>
      </c>
    </row>
    <row r="3522" spans="16:19" x14ac:dyDescent="0.3">
      <c r="P3522">
        <v>3521</v>
      </c>
      <c r="Q3522">
        <v>771372</v>
      </c>
      <c r="S3522">
        <v>-244716</v>
      </c>
    </row>
    <row r="3523" spans="16:19" x14ac:dyDescent="0.3">
      <c r="P3523">
        <v>3522</v>
      </c>
      <c r="Q3523">
        <v>-479463</v>
      </c>
      <c r="S3523">
        <v>-485309</v>
      </c>
    </row>
    <row r="3524" spans="16:19" x14ac:dyDescent="0.3">
      <c r="P3524">
        <v>3523</v>
      </c>
      <c r="Q3524">
        <v>-109690</v>
      </c>
      <c r="S3524">
        <v>695580</v>
      </c>
    </row>
    <row r="3525" spans="16:19" x14ac:dyDescent="0.3">
      <c r="P3525">
        <v>3524</v>
      </c>
      <c r="Q3525">
        <v>361821</v>
      </c>
      <c r="S3525">
        <v>214214</v>
      </c>
    </row>
    <row r="3526" spans="16:19" x14ac:dyDescent="0.3">
      <c r="P3526">
        <v>3525</v>
      </c>
      <c r="Q3526">
        <v>282923</v>
      </c>
      <c r="S3526">
        <v>-317747</v>
      </c>
    </row>
    <row r="3527" spans="16:19" x14ac:dyDescent="0.3">
      <c r="P3527">
        <v>3526</v>
      </c>
      <c r="Q3527">
        <v>-211237</v>
      </c>
      <c r="S3527">
        <v>112212</v>
      </c>
    </row>
    <row r="3528" spans="16:19" x14ac:dyDescent="0.3">
      <c r="P3528">
        <v>3527</v>
      </c>
      <c r="Q3528">
        <v>-520337</v>
      </c>
      <c r="S3528">
        <v>-666202</v>
      </c>
    </row>
    <row r="3529" spans="16:19" x14ac:dyDescent="0.3">
      <c r="P3529">
        <v>3528</v>
      </c>
      <c r="Q3529">
        <v>-754223</v>
      </c>
      <c r="S3529">
        <v>-523979</v>
      </c>
    </row>
    <row r="3530" spans="16:19" x14ac:dyDescent="0.3">
      <c r="P3530">
        <v>3529</v>
      </c>
      <c r="Q3530">
        <v>614407</v>
      </c>
      <c r="S3530">
        <v>379912</v>
      </c>
    </row>
    <row r="3531" spans="16:19" x14ac:dyDescent="0.3">
      <c r="P3531">
        <v>3530</v>
      </c>
      <c r="Q3531">
        <v>510731</v>
      </c>
      <c r="S3531">
        <v>-256253</v>
      </c>
    </row>
    <row r="3532" spans="16:19" x14ac:dyDescent="0.3">
      <c r="P3532">
        <v>3531</v>
      </c>
      <c r="Q3532">
        <v>45795</v>
      </c>
      <c r="S3532">
        <v>5384</v>
      </c>
    </row>
    <row r="3533" spans="16:19" x14ac:dyDescent="0.3">
      <c r="P3533">
        <v>3532</v>
      </c>
      <c r="Q3533">
        <v>-10869</v>
      </c>
      <c r="S3533">
        <v>-334676</v>
      </c>
    </row>
    <row r="3534" spans="16:19" x14ac:dyDescent="0.3">
      <c r="P3534">
        <v>3533</v>
      </c>
      <c r="Q3534">
        <v>-404325</v>
      </c>
      <c r="S3534">
        <v>-531835</v>
      </c>
    </row>
    <row r="3535" spans="16:19" x14ac:dyDescent="0.3">
      <c r="P3535">
        <v>3534</v>
      </c>
      <c r="Q3535">
        <v>10241</v>
      </c>
      <c r="S3535">
        <v>-179553</v>
      </c>
    </row>
    <row r="3536" spans="16:19" x14ac:dyDescent="0.3">
      <c r="P3536">
        <v>3535</v>
      </c>
      <c r="Q3536">
        <v>426126</v>
      </c>
      <c r="S3536">
        <v>365675</v>
      </c>
    </row>
    <row r="3537" spans="16:19" x14ac:dyDescent="0.3">
      <c r="P3537">
        <v>3536</v>
      </c>
      <c r="Q3537">
        <v>-399355</v>
      </c>
      <c r="S3537">
        <v>-125509</v>
      </c>
    </row>
    <row r="3538" spans="16:19" x14ac:dyDescent="0.3">
      <c r="P3538">
        <v>3537</v>
      </c>
      <c r="Q3538">
        <v>229271</v>
      </c>
      <c r="S3538">
        <v>-190742</v>
      </c>
    </row>
    <row r="3539" spans="16:19" x14ac:dyDescent="0.3">
      <c r="P3539">
        <v>3538</v>
      </c>
      <c r="Q3539">
        <v>-171538</v>
      </c>
      <c r="S3539">
        <v>-307998</v>
      </c>
    </row>
    <row r="3540" spans="16:19" x14ac:dyDescent="0.3">
      <c r="P3540">
        <v>3539</v>
      </c>
      <c r="Q3540">
        <v>-327012</v>
      </c>
      <c r="S3540">
        <v>-152514</v>
      </c>
    </row>
    <row r="3541" spans="16:19" x14ac:dyDescent="0.3">
      <c r="P3541">
        <v>3540</v>
      </c>
      <c r="Q3541">
        <v>-195070</v>
      </c>
      <c r="S3541">
        <v>-559921</v>
      </c>
    </row>
    <row r="3542" spans="16:19" x14ac:dyDescent="0.3">
      <c r="P3542">
        <v>3541</v>
      </c>
      <c r="Q3542">
        <v>-643016</v>
      </c>
      <c r="S3542">
        <v>-72456</v>
      </c>
    </row>
    <row r="3543" spans="16:19" x14ac:dyDescent="0.3">
      <c r="P3543">
        <v>3542</v>
      </c>
      <c r="Q3543">
        <v>47875</v>
      </c>
      <c r="S3543">
        <v>362006</v>
      </c>
    </row>
    <row r="3544" spans="16:19" x14ac:dyDescent="0.3">
      <c r="P3544">
        <v>3543</v>
      </c>
      <c r="Q3544">
        <v>159534</v>
      </c>
      <c r="S3544">
        <v>-463385</v>
      </c>
    </row>
    <row r="3545" spans="16:19" x14ac:dyDescent="0.3">
      <c r="P3545">
        <v>3544</v>
      </c>
      <c r="Q3545">
        <v>-209517</v>
      </c>
      <c r="S3545">
        <v>-564894</v>
      </c>
    </row>
    <row r="3546" spans="16:19" x14ac:dyDescent="0.3">
      <c r="P3546">
        <v>3545</v>
      </c>
      <c r="Q3546">
        <v>-511846</v>
      </c>
      <c r="S3546">
        <v>348800</v>
      </c>
    </row>
    <row r="3547" spans="16:19" x14ac:dyDescent="0.3">
      <c r="P3547">
        <v>3546</v>
      </c>
      <c r="Q3547">
        <v>-633360</v>
      </c>
      <c r="S3547">
        <v>252810</v>
      </c>
    </row>
    <row r="3548" spans="16:19" x14ac:dyDescent="0.3">
      <c r="P3548">
        <v>3547</v>
      </c>
      <c r="Q3548">
        <v>-141225</v>
      </c>
      <c r="S3548">
        <v>-567926</v>
      </c>
    </row>
    <row r="3549" spans="16:19" x14ac:dyDescent="0.3">
      <c r="P3549">
        <v>3548</v>
      </c>
      <c r="Q3549">
        <v>161826</v>
      </c>
      <c r="S3549">
        <v>435321</v>
      </c>
    </row>
    <row r="3550" spans="16:19" x14ac:dyDescent="0.3">
      <c r="P3550">
        <v>3549</v>
      </c>
      <c r="Q3550">
        <v>-202942</v>
      </c>
      <c r="S3550">
        <v>-705094</v>
      </c>
    </row>
    <row r="3551" spans="16:19" x14ac:dyDescent="0.3">
      <c r="P3551">
        <v>3550</v>
      </c>
      <c r="Q3551">
        <v>40134</v>
      </c>
      <c r="S3551">
        <v>-372351</v>
      </c>
    </row>
    <row r="3552" spans="16:19" x14ac:dyDescent="0.3">
      <c r="P3552">
        <v>3551</v>
      </c>
      <c r="Q3552">
        <v>250028</v>
      </c>
      <c r="S3552">
        <v>-383788</v>
      </c>
    </row>
    <row r="3553" spans="16:19" x14ac:dyDescent="0.3">
      <c r="P3553">
        <v>3552</v>
      </c>
      <c r="Q3553">
        <v>251389</v>
      </c>
      <c r="S3553">
        <v>553184</v>
      </c>
    </row>
    <row r="3554" spans="16:19" x14ac:dyDescent="0.3">
      <c r="P3554">
        <v>3553</v>
      </c>
      <c r="Q3554">
        <v>-266388</v>
      </c>
      <c r="S3554">
        <v>-106996</v>
      </c>
    </row>
    <row r="3555" spans="16:19" x14ac:dyDescent="0.3">
      <c r="P3555">
        <v>3554</v>
      </c>
      <c r="Q3555">
        <v>354535</v>
      </c>
      <c r="S3555">
        <v>816235</v>
      </c>
    </row>
    <row r="3556" spans="16:19" x14ac:dyDescent="0.3">
      <c r="P3556">
        <v>3555</v>
      </c>
      <c r="Q3556">
        <v>-689074</v>
      </c>
      <c r="S3556">
        <v>71493</v>
      </c>
    </row>
    <row r="3557" spans="16:19" x14ac:dyDescent="0.3">
      <c r="P3557">
        <v>3556</v>
      </c>
      <c r="Q3557">
        <v>375963</v>
      </c>
      <c r="S3557">
        <v>-600597</v>
      </c>
    </row>
    <row r="3558" spans="16:19" x14ac:dyDescent="0.3">
      <c r="P3558">
        <v>3557</v>
      </c>
      <c r="Q3558">
        <v>603131</v>
      </c>
      <c r="S3558">
        <v>191272</v>
      </c>
    </row>
    <row r="3559" spans="16:19" x14ac:dyDescent="0.3">
      <c r="P3559">
        <v>3558</v>
      </c>
      <c r="Q3559">
        <v>-512393</v>
      </c>
      <c r="S3559">
        <v>-485854</v>
      </c>
    </row>
    <row r="3560" spans="16:19" x14ac:dyDescent="0.3">
      <c r="P3560">
        <v>3559</v>
      </c>
      <c r="Q3560">
        <v>327515</v>
      </c>
      <c r="S3560">
        <v>1031691</v>
      </c>
    </row>
    <row r="3561" spans="16:19" x14ac:dyDescent="0.3">
      <c r="P3561">
        <v>3560</v>
      </c>
      <c r="Q3561">
        <v>-201404</v>
      </c>
      <c r="S3561">
        <v>716475</v>
      </c>
    </row>
    <row r="3562" spans="16:19" x14ac:dyDescent="0.3">
      <c r="P3562">
        <v>3561</v>
      </c>
      <c r="Q3562">
        <v>83853</v>
      </c>
      <c r="S3562">
        <v>-686898</v>
      </c>
    </row>
    <row r="3563" spans="16:19" x14ac:dyDescent="0.3">
      <c r="P3563">
        <v>3562</v>
      </c>
      <c r="Q3563">
        <v>162450</v>
      </c>
      <c r="S3563">
        <v>149355</v>
      </c>
    </row>
    <row r="3564" spans="16:19" x14ac:dyDescent="0.3">
      <c r="P3564">
        <v>3563</v>
      </c>
      <c r="Q3564">
        <v>301948</v>
      </c>
      <c r="S3564">
        <v>-244226</v>
      </c>
    </row>
    <row r="3565" spans="16:19" x14ac:dyDescent="0.3">
      <c r="P3565">
        <v>3564</v>
      </c>
      <c r="Q3565">
        <v>551550</v>
      </c>
      <c r="S3565">
        <v>-518131</v>
      </c>
    </row>
    <row r="3566" spans="16:19" x14ac:dyDescent="0.3">
      <c r="P3566">
        <v>3565</v>
      </c>
      <c r="Q3566">
        <v>277151</v>
      </c>
      <c r="S3566">
        <v>-644051</v>
      </c>
    </row>
    <row r="3567" spans="16:19" x14ac:dyDescent="0.3">
      <c r="P3567">
        <v>3566</v>
      </c>
      <c r="Q3567">
        <v>462958</v>
      </c>
      <c r="S3567">
        <v>138023</v>
      </c>
    </row>
    <row r="3568" spans="16:19" x14ac:dyDescent="0.3">
      <c r="P3568">
        <v>3567</v>
      </c>
      <c r="Q3568">
        <v>-655413</v>
      </c>
      <c r="S3568">
        <v>498854</v>
      </c>
    </row>
    <row r="3569" spans="16:19" x14ac:dyDescent="0.3">
      <c r="P3569">
        <v>3568</v>
      </c>
      <c r="Q3569">
        <v>210243</v>
      </c>
      <c r="S3569">
        <v>-550925</v>
      </c>
    </row>
    <row r="3570" spans="16:19" x14ac:dyDescent="0.3">
      <c r="P3570">
        <v>3569</v>
      </c>
      <c r="Q3570">
        <v>-213234</v>
      </c>
      <c r="S3570">
        <v>-467186</v>
      </c>
    </row>
    <row r="3571" spans="16:19" x14ac:dyDescent="0.3">
      <c r="P3571">
        <v>3570</v>
      </c>
      <c r="Q3571">
        <v>110874</v>
      </c>
      <c r="S3571">
        <v>118759</v>
      </c>
    </row>
    <row r="3572" spans="16:19" x14ac:dyDescent="0.3">
      <c r="P3572">
        <v>3571</v>
      </c>
      <c r="Q3572">
        <v>-353848</v>
      </c>
      <c r="S3572">
        <v>326501</v>
      </c>
    </row>
    <row r="3573" spans="16:19" x14ac:dyDescent="0.3">
      <c r="P3573">
        <v>3572</v>
      </c>
      <c r="Q3573">
        <v>357088</v>
      </c>
      <c r="S3573">
        <v>-64016</v>
      </c>
    </row>
    <row r="3574" spans="16:19" x14ac:dyDescent="0.3">
      <c r="P3574">
        <v>3573</v>
      </c>
      <c r="Q3574">
        <v>-287795</v>
      </c>
      <c r="S3574">
        <v>678460</v>
      </c>
    </row>
    <row r="3575" spans="16:19" x14ac:dyDescent="0.3">
      <c r="P3575">
        <v>3574</v>
      </c>
      <c r="Q3575">
        <v>485636</v>
      </c>
      <c r="S3575">
        <v>202495</v>
      </c>
    </row>
    <row r="3576" spans="16:19" x14ac:dyDescent="0.3">
      <c r="P3576">
        <v>3575</v>
      </c>
      <c r="Q3576">
        <v>311322</v>
      </c>
      <c r="S3576">
        <v>-591401</v>
      </c>
    </row>
    <row r="3577" spans="16:19" x14ac:dyDescent="0.3">
      <c r="P3577">
        <v>3576</v>
      </c>
      <c r="Q3577">
        <v>-284916</v>
      </c>
      <c r="S3577">
        <v>258156</v>
      </c>
    </row>
    <row r="3578" spans="16:19" x14ac:dyDescent="0.3">
      <c r="P3578">
        <v>3577</v>
      </c>
      <c r="Q3578">
        <v>60235</v>
      </c>
      <c r="S3578">
        <v>319116</v>
      </c>
    </row>
    <row r="3579" spans="16:19" x14ac:dyDescent="0.3">
      <c r="P3579">
        <v>3578</v>
      </c>
      <c r="Q3579">
        <v>7588</v>
      </c>
      <c r="S3579">
        <v>-648555</v>
      </c>
    </row>
    <row r="3580" spans="16:19" x14ac:dyDescent="0.3">
      <c r="P3580">
        <v>3579</v>
      </c>
      <c r="Q3580">
        <v>11711</v>
      </c>
      <c r="S3580">
        <v>-452762</v>
      </c>
    </row>
    <row r="3581" spans="16:19" x14ac:dyDescent="0.3">
      <c r="P3581">
        <v>3580</v>
      </c>
      <c r="Q3581">
        <v>-327484</v>
      </c>
      <c r="S3581">
        <v>-206528</v>
      </c>
    </row>
    <row r="3582" spans="16:19" x14ac:dyDescent="0.3">
      <c r="P3582">
        <v>3581</v>
      </c>
      <c r="Q3582">
        <v>432781</v>
      </c>
      <c r="S3582">
        <v>-403897</v>
      </c>
    </row>
    <row r="3583" spans="16:19" x14ac:dyDescent="0.3">
      <c r="P3583">
        <v>3582</v>
      </c>
      <c r="Q3583">
        <v>373662</v>
      </c>
      <c r="S3583">
        <v>240076</v>
      </c>
    </row>
    <row r="3584" spans="16:19" x14ac:dyDescent="0.3">
      <c r="P3584">
        <v>3583</v>
      </c>
      <c r="Q3584">
        <v>578706</v>
      </c>
      <c r="S3584">
        <v>705824</v>
      </c>
    </row>
    <row r="3585" spans="16:19" x14ac:dyDescent="0.3">
      <c r="P3585">
        <v>3584</v>
      </c>
      <c r="Q3585">
        <v>-173979</v>
      </c>
      <c r="S3585">
        <v>120087</v>
      </c>
    </row>
    <row r="3586" spans="16:19" x14ac:dyDescent="0.3">
      <c r="P3586">
        <v>3585</v>
      </c>
      <c r="Q3586">
        <v>130901</v>
      </c>
      <c r="S3586">
        <v>347191</v>
      </c>
    </row>
    <row r="3587" spans="16:19" x14ac:dyDescent="0.3">
      <c r="P3587">
        <v>3586</v>
      </c>
      <c r="Q3587">
        <v>-537398</v>
      </c>
      <c r="S3587">
        <v>-506495</v>
      </c>
    </row>
    <row r="3588" spans="16:19" x14ac:dyDescent="0.3">
      <c r="P3588">
        <v>3587</v>
      </c>
      <c r="Q3588">
        <v>363833</v>
      </c>
      <c r="S3588">
        <v>157768</v>
      </c>
    </row>
    <row r="3589" spans="16:19" x14ac:dyDescent="0.3">
      <c r="P3589">
        <v>3588</v>
      </c>
      <c r="Q3589">
        <v>-484599</v>
      </c>
      <c r="S3589">
        <v>183591</v>
      </c>
    </row>
    <row r="3590" spans="16:19" x14ac:dyDescent="0.3">
      <c r="P3590">
        <v>3589</v>
      </c>
      <c r="Q3590">
        <v>477786</v>
      </c>
      <c r="S3590">
        <v>92848</v>
      </c>
    </row>
    <row r="3591" spans="16:19" x14ac:dyDescent="0.3">
      <c r="P3591">
        <v>3590</v>
      </c>
      <c r="Q3591">
        <v>225402</v>
      </c>
      <c r="S3591">
        <v>-678057</v>
      </c>
    </row>
    <row r="3592" spans="16:19" x14ac:dyDescent="0.3">
      <c r="P3592">
        <v>3591</v>
      </c>
      <c r="Q3592">
        <v>-128132</v>
      </c>
      <c r="S3592">
        <v>-264535</v>
      </c>
    </row>
    <row r="3593" spans="16:19" x14ac:dyDescent="0.3">
      <c r="P3593">
        <v>3592</v>
      </c>
      <c r="Q3593">
        <v>-179818</v>
      </c>
      <c r="S3593">
        <v>-379724</v>
      </c>
    </row>
    <row r="3594" spans="16:19" x14ac:dyDescent="0.3">
      <c r="P3594">
        <v>3593</v>
      </c>
      <c r="Q3594">
        <v>-394019</v>
      </c>
      <c r="S3594">
        <v>-41266</v>
      </c>
    </row>
    <row r="3595" spans="16:19" x14ac:dyDescent="0.3">
      <c r="P3595">
        <v>3594</v>
      </c>
      <c r="Q3595">
        <v>-169796</v>
      </c>
      <c r="S3595">
        <v>-92262</v>
      </c>
    </row>
    <row r="3596" spans="16:19" x14ac:dyDescent="0.3">
      <c r="P3596">
        <v>3595</v>
      </c>
      <c r="Q3596">
        <v>312216</v>
      </c>
      <c r="S3596">
        <v>430624</v>
      </c>
    </row>
    <row r="3597" spans="16:19" x14ac:dyDescent="0.3">
      <c r="P3597">
        <v>3596</v>
      </c>
      <c r="Q3597">
        <v>251224</v>
      </c>
      <c r="S3597">
        <v>-480573</v>
      </c>
    </row>
    <row r="3598" spans="16:19" x14ac:dyDescent="0.3">
      <c r="P3598">
        <v>3597</v>
      </c>
      <c r="Q3598">
        <v>647303</v>
      </c>
      <c r="S3598">
        <v>583934</v>
      </c>
    </row>
    <row r="3599" spans="16:19" x14ac:dyDescent="0.3">
      <c r="P3599">
        <v>3598</v>
      </c>
      <c r="Q3599">
        <v>-274407</v>
      </c>
      <c r="S3599">
        <v>247071</v>
      </c>
    </row>
    <row r="3600" spans="16:19" x14ac:dyDescent="0.3">
      <c r="P3600">
        <v>3599</v>
      </c>
      <c r="Q3600">
        <v>75615</v>
      </c>
      <c r="S3600">
        <v>-225536</v>
      </c>
    </row>
    <row r="3601" spans="16:19" x14ac:dyDescent="0.3">
      <c r="P3601">
        <v>3600</v>
      </c>
      <c r="Q3601">
        <v>539117</v>
      </c>
      <c r="S3601">
        <v>433178</v>
      </c>
    </row>
    <row r="3602" spans="16:19" x14ac:dyDescent="0.3">
      <c r="P3602">
        <v>3601</v>
      </c>
      <c r="Q3602">
        <v>-287944</v>
      </c>
      <c r="S3602">
        <v>-404536</v>
      </c>
    </row>
    <row r="3603" spans="16:19" x14ac:dyDescent="0.3">
      <c r="P3603">
        <v>3602</v>
      </c>
      <c r="Q3603">
        <v>811169</v>
      </c>
      <c r="S3603">
        <v>933021</v>
      </c>
    </row>
    <row r="3604" spans="16:19" x14ac:dyDescent="0.3">
      <c r="P3604">
        <v>3603</v>
      </c>
      <c r="Q3604">
        <v>-213860</v>
      </c>
      <c r="S3604">
        <v>-368544</v>
      </c>
    </row>
    <row r="3605" spans="16:19" x14ac:dyDescent="0.3">
      <c r="P3605">
        <v>3604</v>
      </c>
      <c r="Q3605">
        <v>758651</v>
      </c>
      <c r="S3605">
        <v>-622961</v>
      </c>
    </row>
    <row r="3606" spans="16:19" x14ac:dyDescent="0.3">
      <c r="P3606">
        <v>3605</v>
      </c>
      <c r="Q3606">
        <v>-583425</v>
      </c>
      <c r="S3606">
        <v>486784</v>
      </c>
    </row>
    <row r="3607" spans="16:19" x14ac:dyDescent="0.3">
      <c r="P3607">
        <v>3606</v>
      </c>
      <c r="Q3607">
        <v>-578608</v>
      </c>
      <c r="S3607">
        <v>359373</v>
      </c>
    </row>
    <row r="3608" spans="16:19" x14ac:dyDescent="0.3">
      <c r="P3608">
        <v>3607</v>
      </c>
      <c r="Q3608">
        <v>-134778</v>
      </c>
      <c r="S3608">
        <v>700078</v>
      </c>
    </row>
    <row r="3609" spans="16:19" x14ac:dyDescent="0.3">
      <c r="P3609">
        <v>3608</v>
      </c>
      <c r="Q3609">
        <v>413665</v>
      </c>
      <c r="S3609">
        <v>-453789</v>
      </c>
    </row>
    <row r="3610" spans="16:19" x14ac:dyDescent="0.3">
      <c r="P3610">
        <v>3609</v>
      </c>
      <c r="Q3610">
        <v>588571</v>
      </c>
      <c r="S3610">
        <v>-591779</v>
      </c>
    </row>
    <row r="3611" spans="16:19" x14ac:dyDescent="0.3">
      <c r="P3611">
        <v>3610</v>
      </c>
      <c r="Q3611">
        <v>152746</v>
      </c>
      <c r="S3611">
        <v>321572</v>
      </c>
    </row>
    <row r="3612" spans="16:19" x14ac:dyDescent="0.3">
      <c r="P3612">
        <v>3611</v>
      </c>
      <c r="Q3612">
        <v>-855302</v>
      </c>
      <c r="S3612">
        <v>530907</v>
      </c>
    </row>
    <row r="3613" spans="16:19" x14ac:dyDescent="0.3">
      <c r="P3613">
        <v>3612</v>
      </c>
      <c r="Q3613">
        <v>-24945</v>
      </c>
      <c r="S3613">
        <v>-467073</v>
      </c>
    </row>
    <row r="3614" spans="16:19" x14ac:dyDescent="0.3">
      <c r="P3614">
        <v>3613</v>
      </c>
      <c r="Q3614">
        <v>166118</v>
      </c>
      <c r="S3614">
        <v>-291203</v>
      </c>
    </row>
    <row r="3615" spans="16:19" x14ac:dyDescent="0.3">
      <c r="P3615">
        <v>3614</v>
      </c>
      <c r="Q3615">
        <v>297802</v>
      </c>
      <c r="S3615">
        <v>-145271</v>
      </c>
    </row>
    <row r="3616" spans="16:19" x14ac:dyDescent="0.3">
      <c r="P3616">
        <v>3615</v>
      </c>
      <c r="Q3616">
        <v>226560</v>
      </c>
      <c r="S3616">
        <v>619888</v>
      </c>
    </row>
    <row r="3617" spans="16:19" x14ac:dyDescent="0.3">
      <c r="P3617">
        <v>3616</v>
      </c>
      <c r="Q3617">
        <v>-147397</v>
      </c>
      <c r="S3617">
        <v>-610215</v>
      </c>
    </row>
    <row r="3618" spans="16:19" x14ac:dyDescent="0.3">
      <c r="P3618">
        <v>3617</v>
      </c>
      <c r="Q3618">
        <v>-710020</v>
      </c>
      <c r="S3618">
        <v>195287</v>
      </c>
    </row>
    <row r="3619" spans="16:19" x14ac:dyDescent="0.3">
      <c r="P3619">
        <v>3618</v>
      </c>
      <c r="Q3619">
        <v>823283</v>
      </c>
      <c r="S3619">
        <v>-354746</v>
      </c>
    </row>
    <row r="3620" spans="16:19" x14ac:dyDescent="0.3">
      <c r="P3620">
        <v>3619</v>
      </c>
      <c r="Q3620">
        <v>-505849</v>
      </c>
      <c r="S3620">
        <v>387301</v>
      </c>
    </row>
    <row r="3621" spans="16:19" x14ac:dyDescent="0.3">
      <c r="P3621">
        <v>3620</v>
      </c>
      <c r="Q3621">
        <v>403155</v>
      </c>
      <c r="S3621">
        <v>-277129</v>
      </c>
    </row>
    <row r="3622" spans="16:19" x14ac:dyDescent="0.3">
      <c r="P3622">
        <v>3621</v>
      </c>
      <c r="Q3622">
        <v>536626</v>
      </c>
      <c r="S3622">
        <v>-471545</v>
      </c>
    </row>
    <row r="3623" spans="16:19" x14ac:dyDescent="0.3">
      <c r="P3623">
        <v>3622</v>
      </c>
      <c r="Q3623">
        <v>-163336</v>
      </c>
      <c r="S3623">
        <v>245496</v>
      </c>
    </row>
    <row r="3624" spans="16:19" x14ac:dyDescent="0.3">
      <c r="P3624">
        <v>3623</v>
      </c>
      <c r="Q3624">
        <v>230957</v>
      </c>
      <c r="S3624">
        <v>363667</v>
      </c>
    </row>
    <row r="3625" spans="16:19" x14ac:dyDescent="0.3">
      <c r="P3625">
        <v>3624</v>
      </c>
      <c r="Q3625">
        <v>798975</v>
      </c>
      <c r="S3625">
        <v>-398624</v>
      </c>
    </row>
    <row r="3626" spans="16:19" x14ac:dyDescent="0.3">
      <c r="P3626">
        <v>3625</v>
      </c>
      <c r="Q3626">
        <v>390846</v>
      </c>
      <c r="S3626">
        <v>59914</v>
      </c>
    </row>
    <row r="3627" spans="16:19" x14ac:dyDescent="0.3">
      <c r="P3627">
        <v>3626</v>
      </c>
      <c r="Q3627">
        <v>-526766</v>
      </c>
      <c r="S3627">
        <v>-376053</v>
      </c>
    </row>
    <row r="3628" spans="16:19" x14ac:dyDescent="0.3">
      <c r="P3628">
        <v>3627</v>
      </c>
      <c r="Q3628">
        <v>466137</v>
      </c>
      <c r="S3628">
        <v>384095</v>
      </c>
    </row>
    <row r="3629" spans="16:19" x14ac:dyDescent="0.3">
      <c r="P3629">
        <v>3628</v>
      </c>
      <c r="Q3629">
        <v>-239771</v>
      </c>
      <c r="S3629">
        <v>37905</v>
      </c>
    </row>
    <row r="3630" spans="16:19" x14ac:dyDescent="0.3">
      <c r="P3630">
        <v>3629</v>
      </c>
      <c r="Q3630">
        <v>636973</v>
      </c>
      <c r="S3630">
        <v>-48074</v>
      </c>
    </row>
    <row r="3631" spans="16:19" x14ac:dyDescent="0.3">
      <c r="P3631">
        <v>3630</v>
      </c>
      <c r="Q3631">
        <v>-224840</v>
      </c>
      <c r="S3631">
        <v>473296</v>
      </c>
    </row>
    <row r="3632" spans="16:19" x14ac:dyDescent="0.3">
      <c r="P3632">
        <v>3631</v>
      </c>
      <c r="Q3632">
        <v>-290039</v>
      </c>
      <c r="S3632">
        <v>446340</v>
      </c>
    </row>
    <row r="3633" spans="16:19" x14ac:dyDescent="0.3">
      <c r="P3633">
        <v>3632</v>
      </c>
      <c r="Q3633">
        <v>-439988</v>
      </c>
      <c r="S3633">
        <v>-36721</v>
      </c>
    </row>
    <row r="3634" spans="16:19" x14ac:dyDescent="0.3">
      <c r="P3634">
        <v>3633</v>
      </c>
      <c r="Q3634">
        <v>-69680</v>
      </c>
      <c r="S3634">
        <v>659161</v>
      </c>
    </row>
    <row r="3635" spans="16:19" x14ac:dyDescent="0.3">
      <c r="P3635">
        <v>3634</v>
      </c>
      <c r="Q3635">
        <v>226205</v>
      </c>
      <c r="S3635">
        <v>-239933</v>
      </c>
    </row>
    <row r="3636" spans="16:19" x14ac:dyDescent="0.3">
      <c r="P3636">
        <v>3635</v>
      </c>
      <c r="Q3636">
        <v>-209791</v>
      </c>
      <c r="S3636">
        <v>-786841</v>
      </c>
    </row>
    <row r="3637" spans="16:19" x14ac:dyDescent="0.3">
      <c r="P3637">
        <v>3636</v>
      </c>
      <c r="Q3637">
        <v>-121862</v>
      </c>
      <c r="S3637">
        <v>656994</v>
      </c>
    </row>
    <row r="3638" spans="16:19" x14ac:dyDescent="0.3">
      <c r="P3638">
        <v>3637</v>
      </c>
      <c r="Q3638">
        <v>-495695</v>
      </c>
      <c r="S3638">
        <v>340430</v>
      </c>
    </row>
    <row r="3639" spans="16:19" x14ac:dyDescent="0.3">
      <c r="P3639">
        <v>3638</v>
      </c>
      <c r="Q3639">
        <v>-136853</v>
      </c>
      <c r="S3639">
        <v>-155018</v>
      </c>
    </row>
    <row r="3640" spans="16:19" x14ac:dyDescent="0.3">
      <c r="P3640">
        <v>3639</v>
      </c>
      <c r="Q3640">
        <v>-542924</v>
      </c>
      <c r="S3640">
        <v>603100</v>
      </c>
    </row>
    <row r="3641" spans="16:19" x14ac:dyDescent="0.3">
      <c r="P3641">
        <v>3640</v>
      </c>
      <c r="Q3641">
        <v>-451425</v>
      </c>
      <c r="S3641">
        <v>283292</v>
      </c>
    </row>
    <row r="3642" spans="16:19" x14ac:dyDescent="0.3">
      <c r="P3642">
        <v>3641</v>
      </c>
      <c r="Q3642">
        <v>108070</v>
      </c>
      <c r="S3642">
        <v>-431471</v>
      </c>
    </row>
    <row r="3643" spans="16:19" x14ac:dyDescent="0.3">
      <c r="P3643">
        <v>3642</v>
      </c>
      <c r="Q3643">
        <v>-17855</v>
      </c>
      <c r="S3643">
        <v>93907</v>
      </c>
    </row>
    <row r="3644" spans="16:19" x14ac:dyDescent="0.3">
      <c r="P3644">
        <v>3643</v>
      </c>
      <c r="Q3644">
        <v>788533</v>
      </c>
      <c r="S3644">
        <v>423006</v>
      </c>
    </row>
    <row r="3645" spans="16:19" x14ac:dyDescent="0.3">
      <c r="P3645">
        <v>3644</v>
      </c>
      <c r="Q3645">
        <v>-767700</v>
      </c>
      <c r="S3645">
        <v>-38682</v>
      </c>
    </row>
    <row r="3646" spans="16:19" x14ac:dyDescent="0.3">
      <c r="P3646">
        <v>3645</v>
      </c>
      <c r="Q3646">
        <v>652474</v>
      </c>
      <c r="S3646">
        <v>51163</v>
      </c>
    </row>
    <row r="3647" spans="16:19" x14ac:dyDescent="0.3">
      <c r="P3647">
        <v>3646</v>
      </c>
      <c r="Q3647">
        <v>679069</v>
      </c>
      <c r="S3647">
        <v>-66962</v>
      </c>
    </row>
    <row r="3648" spans="16:19" x14ac:dyDescent="0.3">
      <c r="P3648">
        <v>3647</v>
      </c>
      <c r="Q3648">
        <v>-208622</v>
      </c>
      <c r="S3648">
        <v>220514</v>
      </c>
    </row>
    <row r="3649" spans="16:19" x14ac:dyDescent="0.3">
      <c r="P3649">
        <v>3648</v>
      </c>
      <c r="Q3649">
        <v>-329653</v>
      </c>
      <c r="S3649">
        <v>192397</v>
      </c>
    </row>
    <row r="3650" spans="16:19" x14ac:dyDescent="0.3">
      <c r="P3650">
        <v>3649</v>
      </c>
      <c r="Q3650">
        <v>-405963</v>
      </c>
      <c r="S3650">
        <v>254275</v>
      </c>
    </row>
    <row r="3651" spans="16:19" x14ac:dyDescent="0.3">
      <c r="P3651">
        <v>3650</v>
      </c>
      <c r="Q3651">
        <v>-603899</v>
      </c>
      <c r="S3651">
        <v>-220457</v>
      </c>
    </row>
    <row r="3652" spans="16:19" x14ac:dyDescent="0.3">
      <c r="P3652">
        <v>3651</v>
      </c>
      <c r="Q3652">
        <v>-748063</v>
      </c>
      <c r="S3652">
        <v>364189</v>
      </c>
    </row>
    <row r="3653" spans="16:19" x14ac:dyDescent="0.3">
      <c r="P3653">
        <v>3652</v>
      </c>
      <c r="Q3653">
        <v>111360</v>
      </c>
      <c r="S3653">
        <v>-365692</v>
      </c>
    </row>
    <row r="3654" spans="16:19" x14ac:dyDescent="0.3">
      <c r="P3654">
        <v>3653</v>
      </c>
      <c r="Q3654">
        <v>-556483</v>
      </c>
      <c r="S3654">
        <v>-280716</v>
      </c>
    </row>
    <row r="3655" spans="16:19" x14ac:dyDescent="0.3">
      <c r="P3655">
        <v>3654</v>
      </c>
      <c r="Q3655">
        <v>-470631</v>
      </c>
      <c r="S3655">
        <v>-718883</v>
      </c>
    </row>
    <row r="3656" spans="16:19" x14ac:dyDescent="0.3">
      <c r="P3656">
        <v>3655</v>
      </c>
      <c r="Q3656">
        <v>351607</v>
      </c>
      <c r="S3656">
        <v>789982</v>
      </c>
    </row>
    <row r="3657" spans="16:19" x14ac:dyDescent="0.3">
      <c r="P3657">
        <v>3656</v>
      </c>
      <c r="Q3657">
        <v>-183486</v>
      </c>
      <c r="S3657">
        <v>28039</v>
      </c>
    </row>
    <row r="3658" spans="16:19" x14ac:dyDescent="0.3">
      <c r="P3658">
        <v>3657</v>
      </c>
      <c r="Q3658">
        <v>-672238</v>
      </c>
      <c r="S3658">
        <v>322190</v>
      </c>
    </row>
    <row r="3659" spans="16:19" x14ac:dyDescent="0.3">
      <c r="P3659">
        <v>3658</v>
      </c>
      <c r="Q3659">
        <v>-706182</v>
      </c>
      <c r="S3659">
        <v>218427</v>
      </c>
    </row>
    <row r="3660" spans="16:19" x14ac:dyDescent="0.3">
      <c r="P3660">
        <v>3659</v>
      </c>
      <c r="Q3660">
        <v>132614</v>
      </c>
      <c r="S3660">
        <v>-675870</v>
      </c>
    </row>
    <row r="3661" spans="16:19" x14ac:dyDescent="0.3">
      <c r="P3661">
        <v>3660</v>
      </c>
      <c r="Q3661">
        <v>456088</v>
      </c>
      <c r="S3661">
        <v>-569141</v>
      </c>
    </row>
    <row r="3662" spans="16:19" x14ac:dyDescent="0.3">
      <c r="P3662">
        <v>3661</v>
      </c>
      <c r="Q3662">
        <v>193155</v>
      </c>
      <c r="S3662">
        <v>617697</v>
      </c>
    </row>
    <row r="3663" spans="16:19" x14ac:dyDescent="0.3">
      <c r="P3663">
        <v>3662</v>
      </c>
      <c r="Q3663">
        <v>281211</v>
      </c>
      <c r="S3663">
        <v>-689113</v>
      </c>
    </row>
    <row r="3664" spans="16:19" x14ac:dyDescent="0.3">
      <c r="P3664">
        <v>3663</v>
      </c>
      <c r="Q3664">
        <v>-622103</v>
      </c>
      <c r="S3664">
        <v>-535354</v>
      </c>
    </row>
    <row r="3665" spans="16:19" x14ac:dyDescent="0.3">
      <c r="P3665">
        <v>3664</v>
      </c>
      <c r="Q3665">
        <v>418758</v>
      </c>
      <c r="S3665">
        <v>115064</v>
      </c>
    </row>
    <row r="3666" spans="16:19" x14ac:dyDescent="0.3">
      <c r="P3666">
        <v>3665</v>
      </c>
      <c r="Q3666">
        <v>801572</v>
      </c>
      <c r="S3666">
        <v>333971</v>
      </c>
    </row>
    <row r="3667" spans="16:19" x14ac:dyDescent="0.3">
      <c r="P3667">
        <v>3666</v>
      </c>
      <c r="Q3667">
        <v>270940</v>
      </c>
      <c r="S3667">
        <v>-326418</v>
      </c>
    </row>
    <row r="3668" spans="16:19" x14ac:dyDescent="0.3">
      <c r="P3668">
        <v>3667</v>
      </c>
      <c r="Q3668">
        <v>117597</v>
      </c>
      <c r="S3668">
        <v>727850</v>
      </c>
    </row>
    <row r="3669" spans="16:19" x14ac:dyDescent="0.3">
      <c r="P3669">
        <v>3668</v>
      </c>
      <c r="Q3669">
        <v>284681</v>
      </c>
      <c r="S3669">
        <v>-38082</v>
      </c>
    </row>
    <row r="3670" spans="16:19" x14ac:dyDescent="0.3">
      <c r="P3670">
        <v>3669</v>
      </c>
      <c r="Q3670">
        <v>355242</v>
      </c>
      <c r="S3670">
        <v>-404913</v>
      </c>
    </row>
    <row r="3671" spans="16:19" x14ac:dyDescent="0.3">
      <c r="P3671">
        <v>3670</v>
      </c>
      <c r="Q3671">
        <v>28916</v>
      </c>
      <c r="S3671">
        <v>-235941</v>
      </c>
    </row>
    <row r="3672" spans="16:19" x14ac:dyDescent="0.3">
      <c r="P3672">
        <v>3671</v>
      </c>
      <c r="Q3672">
        <v>27888</v>
      </c>
      <c r="S3672">
        <v>284166</v>
      </c>
    </row>
    <row r="3673" spans="16:19" x14ac:dyDescent="0.3">
      <c r="P3673">
        <v>3672</v>
      </c>
      <c r="Q3673">
        <v>481623</v>
      </c>
      <c r="S3673">
        <v>-235977</v>
      </c>
    </row>
    <row r="3674" spans="16:19" x14ac:dyDescent="0.3">
      <c r="P3674">
        <v>3673</v>
      </c>
      <c r="Q3674">
        <v>575656</v>
      </c>
      <c r="S3674">
        <v>-259658</v>
      </c>
    </row>
    <row r="3675" spans="16:19" x14ac:dyDescent="0.3">
      <c r="P3675">
        <v>3674</v>
      </c>
      <c r="Q3675">
        <v>-303063</v>
      </c>
      <c r="S3675">
        <v>350821</v>
      </c>
    </row>
    <row r="3676" spans="16:19" x14ac:dyDescent="0.3">
      <c r="P3676">
        <v>3675</v>
      </c>
      <c r="Q3676">
        <v>-56530</v>
      </c>
      <c r="S3676">
        <v>-304833</v>
      </c>
    </row>
    <row r="3677" spans="16:19" x14ac:dyDescent="0.3">
      <c r="P3677">
        <v>3676</v>
      </c>
      <c r="Q3677">
        <v>-625129</v>
      </c>
      <c r="S3677">
        <v>-287139</v>
      </c>
    </row>
    <row r="3678" spans="16:19" x14ac:dyDescent="0.3">
      <c r="P3678">
        <v>3677</v>
      </c>
      <c r="Q3678">
        <v>562234</v>
      </c>
      <c r="S3678">
        <v>749991</v>
      </c>
    </row>
    <row r="3679" spans="16:19" x14ac:dyDescent="0.3">
      <c r="P3679">
        <v>3678</v>
      </c>
      <c r="Q3679">
        <v>-351878</v>
      </c>
      <c r="S3679">
        <v>-47411</v>
      </c>
    </row>
    <row r="3680" spans="16:19" x14ac:dyDescent="0.3">
      <c r="P3680">
        <v>3679</v>
      </c>
      <c r="Q3680">
        <v>152256</v>
      </c>
      <c r="S3680">
        <v>146438</v>
      </c>
    </row>
    <row r="3681" spans="16:19" x14ac:dyDescent="0.3">
      <c r="P3681">
        <v>3680</v>
      </c>
      <c r="Q3681">
        <v>-158051</v>
      </c>
      <c r="S3681">
        <v>-356689</v>
      </c>
    </row>
    <row r="3682" spans="16:19" x14ac:dyDescent="0.3">
      <c r="P3682">
        <v>3681</v>
      </c>
      <c r="Q3682">
        <v>110145</v>
      </c>
      <c r="S3682">
        <v>239492</v>
      </c>
    </row>
    <row r="3683" spans="16:19" x14ac:dyDescent="0.3">
      <c r="P3683">
        <v>3682</v>
      </c>
      <c r="Q3683">
        <v>70749</v>
      </c>
      <c r="S3683">
        <v>324350</v>
      </c>
    </row>
    <row r="3684" spans="16:19" x14ac:dyDescent="0.3">
      <c r="P3684">
        <v>3683</v>
      </c>
      <c r="Q3684">
        <v>726563</v>
      </c>
      <c r="S3684">
        <v>-625215</v>
      </c>
    </row>
    <row r="3685" spans="16:19" x14ac:dyDescent="0.3">
      <c r="P3685">
        <v>3684</v>
      </c>
      <c r="Q3685">
        <v>-398899</v>
      </c>
      <c r="S3685">
        <v>-412359</v>
      </c>
    </row>
    <row r="3686" spans="16:19" x14ac:dyDescent="0.3">
      <c r="P3686">
        <v>3685</v>
      </c>
      <c r="Q3686">
        <v>458196</v>
      </c>
      <c r="S3686">
        <v>-412282</v>
      </c>
    </row>
    <row r="3687" spans="16:19" x14ac:dyDescent="0.3">
      <c r="P3687">
        <v>3686</v>
      </c>
      <c r="Q3687">
        <v>262938</v>
      </c>
      <c r="S3687">
        <v>73291</v>
      </c>
    </row>
    <row r="3688" spans="16:19" x14ac:dyDescent="0.3">
      <c r="P3688">
        <v>3687</v>
      </c>
      <c r="Q3688">
        <v>-37601</v>
      </c>
      <c r="S3688">
        <v>-489123</v>
      </c>
    </row>
    <row r="3689" spans="16:19" x14ac:dyDescent="0.3">
      <c r="P3689">
        <v>3688</v>
      </c>
      <c r="Q3689">
        <v>-29361</v>
      </c>
      <c r="S3689">
        <v>-67557</v>
      </c>
    </row>
    <row r="3690" spans="16:19" x14ac:dyDescent="0.3">
      <c r="P3690">
        <v>3689</v>
      </c>
      <c r="Q3690">
        <v>-262963</v>
      </c>
      <c r="S3690">
        <v>-365752</v>
      </c>
    </row>
    <row r="3691" spans="16:19" x14ac:dyDescent="0.3">
      <c r="P3691">
        <v>3690</v>
      </c>
      <c r="Q3691">
        <v>-68966</v>
      </c>
      <c r="S3691">
        <v>-580706</v>
      </c>
    </row>
    <row r="3692" spans="16:19" x14ac:dyDescent="0.3">
      <c r="P3692">
        <v>3691</v>
      </c>
      <c r="Q3692">
        <v>-277622</v>
      </c>
      <c r="S3692">
        <v>-370821</v>
      </c>
    </row>
    <row r="3693" spans="16:19" x14ac:dyDescent="0.3">
      <c r="P3693">
        <v>3692</v>
      </c>
      <c r="Q3693">
        <v>1017743</v>
      </c>
      <c r="S3693">
        <v>9699</v>
      </c>
    </row>
    <row r="3694" spans="16:19" x14ac:dyDescent="0.3">
      <c r="P3694">
        <v>3693</v>
      </c>
      <c r="Q3694">
        <v>136384</v>
      </c>
      <c r="S3694">
        <v>-404102</v>
      </c>
    </row>
    <row r="3695" spans="16:19" x14ac:dyDescent="0.3">
      <c r="P3695">
        <v>3694</v>
      </c>
      <c r="Q3695">
        <v>-242247</v>
      </c>
      <c r="S3695">
        <v>-21913</v>
      </c>
    </row>
    <row r="3696" spans="16:19" x14ac:dyDescent="0.3">
      <c r="P3696">
        <v>3695</v>
      </c>
      <c r="Q3696">
        <v>701600</v>
      </c>
      <c r="S3696">
        <v>-252154</v>
      </c>
    </row>
    <row r="3697" spans="16:19" x14ac:dyDescent="0.3">
      <c r="P3697">
        <v>3696</v>
      </c>
      <c r="Q3697">
        <v>-465674</v>
      </c>
      <c r="S3697">
        <v>-295335</v>
      </c>
    </row>
    <row r="3698" spans="16:19" x14ac:dyDescent="0.3">
      <c r="P3698">
        <v>3697</v>
      </c>
      <c r="Q3698">
        <v>123417</v>
      </c>
      <c r="S3698">
        <v>79883</v>
      </c>
    </row>
    <row r="3699" spans="16:19" x14ac:dyDescent="0.3">
      <c r="P3699">
        <v>3698</v>
      </c>
      <c r="Q3699">
        <v>426971</v>
      </c>
      <c r="S3699">
        <v>-478643</v>
      </c>
    </row>
    <row r="3700" spans="16:19" x14ac:dyDescent="0.3">
      <c r="P3700">
        <v>3699</v>
      </c>
      <c r="Q3700">
        <v>205150</v>
      </c>
      <c r="S3700">
        <v>-26047</v>
      </c>
    </row>
    <row r="3701" spans="16:19" x14ac:dyDescent="0.3">
      <c r="P3701">
        <v>3700</v>
      </c>
      <c r="Q3701">
        <v>-113921</v>
      </c>
      <c r="S3701">
        <v>-773454</v>
      </c>
    </row>
    <row r="3702" spans="16:19" x14ac:dyDescent="0.3">
      <c r="P3702">
        <v>3701</v>
      </c>
      <c r="Q3702">
        <v>-165378</v>
      </c>
      <c r="S3702">
        <v>-545057</v>
      </c>
    </row>
    <row r="3703" spans="16:19" x14ac:dyDescent="0.3">
      <c r="P3703">
        <v>3702</v>
      </c>
      <c r="Q3703">
        <v>304046</v>
      </c>
      <c r="S3703">
        <v>547797</v>
      </c>
    </row>
    <row r="3704" spans="16:19" x14ac:dyDescent="0.3">
      <c r="P3704">
        <v>3703</v>
      </c>
      <c r="Q3704">
        <v>127101</v>
      </c>
      <c r="S3704">
        <v>413086</v>
      </c>
    </row>
    <row r="3705" spans="16:19" x14ac:dyDescent="0.3">
      <c r="P3705">
        <v>3704</v>
      </c>
      <c r="Q3705">
        <v>-167867</v>
      </c>
      <c r="S3705">
        <v>-177578</v>
      </c>
    </row>
    <row r="3706" spans="16:19" x14ac:dyDescent="0.3">
      <c r="P3706">
        <v>3705</v>
      </c>
      <c r="Q3706">
        <v>4094</v>
      </c>
      <c r="S3706">
        <v>-429924</v>
      </c>
    </row>
    <row r="3707" spans="16:19" x14ac:dyDescent="0.3">
      <c r="P3707">
        <v>3706</v>
      </c>
      <c r="Q3707">
        <v>-309685</v>
      </c>
      <c r="S3707">
        <v>-179978</v>
      </c>
    </row>
    <row r="3708" spans="16:19" x14ac:dyDescent="0.3">
      <c r="P3708">
        <v>3707</v>
      </c>
      <c r="Q3708">
        <v>-275718</v>
      </c>
      <c r="S3708">
        <v>941911</v>
      </c>
    </row>
    <row r="3709" spans="16:19" x14ac:dyDescent="0.3">
      <c r="P3709">
        <v>3708</v>
      </c>
      <c r="Q3709">
        <v>373054</v>
      </c>
      <c r="S3709">
        <v>15056</v>
      </c>
    </row>
    <row r="3710" spans="16:19" x14ac:dyDescent="0.3">
      <c r="P3710">
        <v>3709</v>
      </c>
      <c r="Q3710">
        <v>-37789</v>
      </c>
      <c r="S3710">
        <v>-387617</v>
      </c>
    </row>
    <row r="3711" spans="16:19" x14ac:dyDescent="0.3">
      <c r="P3711">
        <v>3710</v>
      </c>
      <c r="Q3711">
        <v>-53981</v>
      </c>
      <c r="S3711">
        <v>765586</v>
      </c>
    </row>
    <row r="3712" spans="16:19" x14ac:dyDescent="0.3">
      <c r="P3712">
        <v>3711</v>
      </c>
      <c r="Q3712">
        <v>-60460</v>
      </c>
      <c r="S3712">
        <v>531873</v>
      </c>
    </row>
    <row r="3713" spans="16:19" x14ac:dyDescent="0.3">
      <c r="P3713">
        <v>3712</v>
      </c>
      <c r="Q3713">
        <v>-103818</v>
      </c>
      <c r="S3713">
        <v>597653</v>
      </c>
    </row>
    <row r="3714" spans="16:19" x14ac:dyDescent="0.3">
      <c r="P3714">
        <v>3713</v>
      </c>
      <c r="Q3714">
        <v>-510704</v>
      </c>
      <c r="S3714">
        <v>185965</v>
      </c>
    </row>
    <row r="3715" spans="16:19" x14ac:dyDescent="0.3">
      <c r="P3715">
        <v>3714</v>
      </c>
      <c r="Q3715">
        <v>-534269</v>
      </c>
      <c r="S3715">
        <v>443817</v>
      </c>
    </row>
    <row r="3716" spans="16:19" x14ac:dyDescent="0.3">
      <c r="P3716">
        <v>3715</v>
      </c>
      <c r="Q3716">
        <v>-356060</v>
      </c>
      <c r="S3716">
        <v>-118573</v>
      </c>
    </row>
    <row r="3717" spans="16:19" x14ac:dyDescent="0.3">
      <c r="P3717">
        <v>3716</v>
      </c>
      <c r="Q3717">
        <v>553642</v>
      </c>
      <c r="S3717">
        <v>738581</v>
      </c>
    </row>
    <row r="3718" spans="16:19" x14ac:dyDescent="0.3">
      <c r="P3718">
        <v>3717</v>
      </c>
      <c r="Q3718">
        <v>270100</v>
      </c>
      <c r="S3718">
        <v>-570565</v>
      </c>
    </row>
    <row r="3719" spans="16:19" x14ac:dyDescent="0.3">
      <c r="P3719">
        <v>3718</v>
      </c>
      <c r="Q3719">
        <v>580399</v>
      </c>
      <c r="S3719">
        <v>794102</v>
      </c>
    </row>
    <row r="3720" spans="16:19" x14ac:dyDescent="0.3">
      <c r="P3720">
        <v>3719</v>
      </c>
      <c r="Q3720">
        <v>-560527</v>
      </c>
      <c r="S3720">
        <v>215986</v>
      </c>
    </row>
    <row r="3721" spans="16:19" x14ac:dyDescent="0.3">
      <c r="P3721">
        <v>3720</v>
      </c>
      <c r="Q3721">
        <v>-746634</v>
      </c>
      <c r="S3721">
        <v>-317222</v>
      </c>
    </row>
    <row r="3722" spans="16:19" x14ac:dyDescent="0.3">
      <c r="P3722">
        <v>3721</v>
      </c>
      <c r="Q3722">
        <v>-370631</v>
      </c>
      <c r="S3722">
        <v>-123188</v>
      </c>
    </row>
    <row r="3723" spans="16:19" x14ac:dyDescent="0.3">
      <c r="P3723">
        <v>3722</v>
      </c>
      <c r="Q3723">
        <v>23017</v>
      </c>
      <c r="S3723">
        <v>-389921</v>
      </c>
    </row>
    <row r="3724" spans="16:19" x14ac:dyDescent="0.3">
      <c r="P3724">
        <v>3723</v>
      </c>
      <c r="Q3724">
        <v>273062</v>
      </c>
      <c r="S3724">
        <v>342404</v>
      </c>
    </row>
    <row r="3725" spans="16:19" x14ac:dyDescent="0.3">
      <c r="P3725">
        <v>3724</v>
      </c>
      <c r="Q3725">
        <v>-417263</v>
      </c>
      <c r="S3725">
        <v>-529534</v>
      </c>
    </row>
    <row r="3726" spans="16:19" x14ac:dyDescent="0.3">
      <c r="P3726">
        <v>3725</v>
      </c>
      <c r="Q3726">
        <v>-156658</v>
      </c>
      <c r="S3726">
        <v>-645651</v>
      </c>
    </row>
    <row r="3727" spans="16:19" x14ac:dyDescent="0.3">
      <c r="P3727">
        <v>3726</v>
      </c>
      <c r="Q3727">
        <v>155892</v>
      </c>
      <c r="S3727">
        <v>-671470</v>
      </c>
    </row>
    <row r="3728" spans="16:19" x14ac:dyDescent="0.3">
      <c r="P3728">
        <v>3727</v>
      </c>
      <c r="Q3728">
        <v>107077</v>
      </c>
      <c r="S3728">
        <v>-261371</v>
      </c>
    </row>
    <row r="3729" spans="16:19" x14ac:dyDescent="0.3">
      <c r="P3729">
        <v>3728</v>
      </c>
      <c r="Q3729">
        <v>-210570</v>
      </c>
      <c r="S3729">
        <v>-342822</v>
      </c>
    </row>
    <row r="3730" spans="16:19" x14ac:dyDescent="0.3">
      <c r="P3730">
        <v>3729</v>
      </c>
      <c r="Q3730">
        <v>-240376</v>
      </c>
      <c r="S3730">
        <v>-232467</v>
      </c>
    </row>
    <row r="3731" spans="16:19" x14ac:dyDescent="0.3">
      <c r="P3731">
        <v>3730</v>
      </c>
      <c r="Q3731">
        <v>360763</v>
      </c>
      <c r="S3731">
        <v>92455</v>
      </c>
    </row>
    <row r="3732" spans="16:19" x14ac:dyDescent="0.3">
      <c r="P3732">
        <v>3731</v>
      </c>
      <c r="Q3732">
        <v>-136235</v>
      </c>
      <c r="S3732">
        <v>221553</v>
      </c>
    </row>
    <row r="3733" spans="16:19" x14ac:dyDescent="0.3">
      <c r="P3733">
        <v>3732</v>
      </c>
      <c r="Q3733">
        <v>1031018</v>
      </c>
      <c r="S3733">
        <v>228025</v>
      </c>
    </row>
    <row r="3734" spans="16:19" x14ac:dyDescent="0.3">
      <c r="P3734">
        <v>3733</v>
      </c>
      <c r="Q3734">
        <v>1046434</v>
      </c>
      <c r="S3734">
        <v>-193396</v>
      </c>
    </row>
    <row r="3735" spans="16:19" x14ac:dyDescent="0.3">
      <c r="P3735">
        <v>3734</v>
      </c>
      <c r="Q3735">
        <v>-97801</v>
      </c>
      <c r="S3735">
        <v>-274092</v>
      </c>
    </row>
    <row r="3736" spans="16:19" x14ac:dyDescent="0.3">
      <c r="P3736">
        <v>3735</v>
      </c>
      <c r="Q3736">
        <v>-339795</v>
      </c>
      <c r="S3736">
        <v>295897</v>
      </c>
    </row>
    <row r="3737" spans="16:19" x14ac:dyDescent="0.3">
      <c r="P3737">
        <v>3736</v>
      </c>
      <c r="Q3737">
        <v>-172108</v>
      </c>
      <c r="S3737">
        <v>-308319</v>
      </c>
    </row>
    <row r="3738" spans="16:19" x14ac:dyDescent="0.3">
      <c r="P3738">
        <v>3737</v>
      </c>
      <c r="Q3738">
        <v>35155</v>
      </c>
      <c r="S3738">
        <v>-271520</v>
      </c>
    </row>
    <row r="3739" spans="16:19" x14ac:dyDescent="0.3">
      <c r="P3739">
        <v>3738</v>
      </c>
      <c r="Q3739">
        <v>-599860</v>
      </c>
      <c r="S3739">
        <v>6229</v>
      </c>
    </row>
    <row r="3740" spans="16:19" x14ac:dyDescent="0.3">
      <c r="P3740">
        <v>3739</v>
      </c>
      <c r="Q3740">
        <v>-129930</v>
      </c>
      <c r="S3740">
        <v>-9367</v>
      </c>
    </row>
    <row r="3741" spans="16:19" x14ac:dyDescent="0.3">
      <c r="P3741">
        <v>3740</v>
      </c>
      <c r="Q3741">
        <v>-210595</v>
      </c>
      <c r="S3741">
        <v>383614</v>
      </c>
    </row>
    <row r="3742" spans="16:19" x14ac:dyDescent="0.3">
      <c r="P3742">
        <v>3741</v>
      </c>
      <c r="Q3742">
        <v>131641</v>
      </c>
      <c r="S3742">
        <v>-402473</v>
      </c>
    </row>
    <row r="3743" spans="16:19" x14ac:dyDescent="0.3">
      <c r="P3743">
        <v>3742</v>
      </c>
      <c r="Q3743">
        <v>338623</v>
      </c>
      <c r="S3743">
        <v>318492</v>
      </c>
    </row>
    <row r="3744" spans="16:19" x14ac:dyDescent="0.3">
      <c r="P3744">
        <v>3743</v>
      </c>
      <c r="Q3744">
        <v>-591342</v>
      </c>
      <c r="S3744">
        <v>-734289</v>
      </c>
    </row>
    <row r="3745" spans="16:19" x14ac:dyDescent="0.3">
      <c r="P3745">
        <v>3744</v>
      </c>
      <c r="Q3745">
        <v>503009</v>
      </c>
      <c r="S3745">
        <v>-65051</v>
      </c>
    </row>
    <row r="3746" spans="16:19" x14ac:dyDescent="0.3">
      <c r="P3746">
        <v>3745</v>
      </c>
      <c r="Q3746">
        <v>-320867</v>
      </c>
      <c r="S3746">
        <v>843734</v>
      </c>
    </row>
    <row r="3747" spans="16:19" x14ac:dyDescent="0.3">
      <c r="P3747">
        <v>3746</v>
      </c>
      <c r="Q3747">
        <v>12205</v>
      </c>
      <c r="S3747">
        <v>86351</v>
      </c>
    </row>
    <row r="3748" spans="16:19" x14ac:dyDescent="0.3">
      <c r="P3748">
        <v>3747</v>
      </c>
      <c r="Q3748">
        <v>-483227</v>
      </c>
      <c r="S3748">
        <v>-331254</v>
      </c>
    </row>
    <row r="3749" spans="16:19" x14ac:dyDescent="0.3">
      <c r="P3749">
        <v>3748</v>
      </c>
      <c r="Q3749">
        <v>309772</v>
      </c>
      <c r="S3749">
        <v>386279</v>
      </c>
    </row>
    <row r="3750" spans="16:19" x14ac:dyDescent="0.3">
      <c r="P3750">
        <v>3749</v>
      </c>
      <c r="Q3750">
        <v>601109</v>
      </c>
      <c r="S3750">
        <v>188331</v>
      </c>
    </row>
    <row r="3751" spans="16:19" x14ac:dyDescent="0.3">
      <c r="P3751">
        <v>3750</v>
      </c>
      <c r="Q3751">
        <v>-608324</v>
      </c>
      <c r="S3751">
        <v>-528883</v>
      </c>
    </row>
    <row r="3752" spans="16:19" x14ac:dyDescent="0.3">
      <c r="P3752">
        <v>3751</v>
      </c>
      <c r="Q3752">
        <v>60543</v>
      </c>
      <c r="S3752">
        <v>-794231</v>
      </c>
    </row>
    <row r="3753" spans="16:19" x14ac:dyDescent="0.3">
      <c r="P3753">
        <v>3752</v>
      </c>
      <c r="Q3753">
        <v>-466855</v>
      </c>
      <c r="S3753">
        <v>384224</v>
      </c>
    </row>
    <row r="3754" spans="16:19" x14ac:dyDescent="0.3">
      <c r="P3754">
        <v>3753</v>
      </c>
      <c r="Q3754">
        <v>-158179</v>
      </c>
      <c r="S3754">
        <v>-230189</v>
      </c>
    </row>
    <row r="3755" spans="16:19" x14ac:dyDescent="0.3">
      <c r="P3755">
        <v>3754</v>
      </c>
      <c r="Q3755">
        <v>-56104</v>
      </c>
      <c r="S3755">
        <v>291145</v>
      </c>
    </row>
    <row r="3756" spans="16:19" x14ac:dyDescent="0.3">
      <c r="P3756">
        <v>3755</v>
      </c>
      <c r="Q3756">
        <v>-594004</v>
      </c>
      <c r="S3756">
        <v>551776</v>
      </c>
    </row>
    <row r="3757" spans="16:19" x14ac:dyDescent="0.3">
      <c r="P3757">
        <v>3756</v>
      </c>
      <c r="Q3757">
        <v>-190213</v>
      </c>
      <c r="S3757">
        <v>-252911</v>
      </c>
    </row>
    <row r="3758" spans="16:19" x14ac:dyDescent="0.3">
      <c r="P3758">
        <v>3757</v>
      </c>
      <c r="Q3758">
        <v>13430</v>
      </c>
      <c r="S3758">
        <v>-86362</v>
      </c>
    </row>
    <row r="3759" spans="16:19" x14ac:dyDescent="0.3">
      <c r="P3759">
        <v>3758</v>
      </c>
      <c r="Q3759">
        <v>-165852</v>
      </c>
      <c r="S3759">
        <v>-14126</v>
      </c>
    </row>
    <row r="3760" spans="16:19" x14ac:dyDescent="0.3">
      <c r="P3760">
        <v>3759</v>
      </c>
      <c r="Q3760">
        <v>-512399</v>
      </c>
      <c r="S3760">
        <v>215516</v>
      </c>
    </row>
    <row r="3761" spans="16:19" x14ac:dyDescent="0.3">
      <c r="P3761">
        <v>3760</v>
      </c>
      <c r="Q3761">
        <v>273846</v>
      </c>
      <c r="S3761">
        <v>86324</v>
      </c>
    </row>
    <row r="3762" spans="16:19" x14ac:dyDescent="0.3">
      <c r="P3762">
        <v>3761</v>
      </c>
      <c r="Q3762">
        <v>39164</v>
      </c>
      <c r="S3762">
        <v>339343</v>
      </c>
    </row>
    <row r="3763" spans="16:19" x14ac:dyDescent="0.3">
      <c r="P3763">
        <v>3762</v>
      </c>
      <c r="Q3763">
        <v>-379221</v>
      </c>
      <c r="S3763">
        <v>-517325</v>
      </c>
    </row>
    <row r="3764" spans="16:19" x14ac:dyDescent="0.3">
      <c r="P3764">
        <v>3763</v>
      </c>
      <c r="Q3764">
        <v>-514311</v>
      </c>
      <c r="S3764">
        <v>-210086</v>
      </c>
    </row>
    <row r="3765" spans="16:19" x14ac:dyDescent="0.3">
      <c r="P3765">
        <v>3764</v>
      </c>
      <c r="Q3765">
        <v>-687010</v>
      </c>
      <c r="S3765">
        <v>103114</v>
      </c>
    </row>
    <row r="3766" spans="16:19" x14ac:dyDescent="0.3">
      <c r="P3766">
        <v>3765</v>
      </c>
      <c r="Q3766">
        <v>-782786</v>
      </c>
      <c r="S3766">
        <v>-518588</v>
      </c>
    </row>
    <row r="3767" spans="16:19" x14ac:dyDescent="0.3">
      <c r="P3767">
        <v>3766</v>
      </c>
      <c r="Q3767">
        <v>519578</v>
      </c>
      <c r="S3767">
        <v>-605157</v>
      </c>
    </row>
    <row r="3768" spans="16:19" x14ac:dyDescent="0.3">
      <c r="P3768">
        <v>3767</v>
      </c>
      <c r="Q3768">
        <v>-182960</v>
      </c>
      <c r="S3768">
        <v>-488194</v>
      </c>
    </row>
    <row r="3769" spans="16:19" x14ac:dyDescent="0.3">
      <c r="P3769">
        <v>3768</v>
      </c>
      <c r="Q3769">
        <v>-162989</v>
      </c>
      <c r="S3769">
        <v>277544</v>
      </c>
    </row>
    <row r="3770" spans="16:19" x14ac:dyDescent="0.3">
      <c r="P3770">
        <v>3769</v>
      </c>
      <c r="Q3770">
        <v>236907</v>
      </c>
      <c r="S3770">
        <v>619430</v>
      </c>
    </row>
    <row r="3771" spans="16:19" x14ac:dyDescent="0.3">
      <c r="P3771">
        <v>3770</v>
      </c>
      <c r="Q3771">
        <v>-591808</v>
      </c>
      <c r="S3771">
        <v>-83111</v>
      </c>
    </row>
    <row r="3772" spans="16:19" x14ac:dyDescent="0.3">
      <c r="P3772">
        <v>3771</v>
      </c>
      <c r="Q3772">
        <v>438205</v>
      </c>
      <c r="S3772">
        <v>589120</v>
      </c>
    </row>
    <row r="3773" spans="16:19" x14ac:dyDescent="0.3">
      <c r="P3773">
        <v>3772</v>
      </c>
      <c r="Q3773">
        <v>-651879</v>
      </c>
      <c r="S3773">
        <v>484313</v>
      </c>
    </row>
    <row r="3774" spans="16:19" x14ac:dyDescent="0.3">
      <c r="P3774">
        <v>3773</v>
      </c>
      <c r="Q3774">
        <v>398020</v>
      </c>
      <c r="S3774">
        <v>299606</v>
      </c>
    </row>
    <row r="3775" spans="16:19" x14ac:dyDescent="0.3">
      <c r="P3775">
        <v>3774</v>
      </c>
      <c r="Q3775">
        <v>-669644</v>
      </c>
      <c r="S3775">
        <v>-179311</v>
      </c>
    </row>
    <row r="3776" spans="16:19" x14ac:dyDescent="0.3">
      <c r="P3776">
        <v>3775</v>
      </c>
      <c r="Q3776">
        <v>-389789</v>
      </c>
      <c r="S3776">
        <v>520894</v>
      </c>
    </row>
    <row r="3777" spans="16:19" x14ac:dyDescent="0.3">
      <c r="P3777">
        <v>3776</v>
      </c>
      <c r="Q3777">
        <v>-126050</v>
      </c>
      <c r="S3777">
        <v>56994</v>
      </c>
    </row>
    <row r="3778" spans="16:19" x14ac:dyDescent="0.3">
      <c r="P3778">
        <v>3777</v>
      </c>
      <c r="Q3778">
        <v>-273689</v>
      </c>
      <c r="S3778">
        <v>367750</v>
      </c>
    </row>
    <row r="3779" spans="16:19" x14ac:dyDescent="0.3">
      <c r="P3779">
        <v>3778</v>
      </c>
      <c r="Q3779">
        <v>-334861</v>
      </c>
      <c r="S3779">
        <v>-34832</v>
      </c>
    </row>
    <row r="3780" spans="16:19" x14ac:dyDescent="0.3">
      <c r="P3780">
        <v>3779</v>
      </c>
      <c r="Q3780">
        <v>-333067</v>
      </c>
      <c r="S3780">
        <v>-450296</v>
      </c>
    </row>
    <row r="3781" spans="16:19" x14ac:dyDescent="0.3">
      <c r="P3781">
        <v>3780</v>
      </c>
      <c r="Q3781">
        <v>771996</v>
      </c>
      <c r="S3781">
        <v>346658</v>
      </c>
    </row>
    <row r="3782" spans="16:19" x14ac:dyDescent="0.3">
      <c r="P3782">
        <v>3781</v>
      </c>
      <c r="Q3782">
        <v>119799</v>
      </c>
      <c r="S3782">
        <v>-10723</v>
      </c>
    </row>
    <row r="3783" spans="16:19" x14ac:dyDescent="0.3">
      <c r="P3783">
        <v>3782</v>
      </c>
      <c r="Q3783">
        <v>-28132</v>
      </c>
      <c r="S3783">
        <v>-491964</v>
      </c>
    </row>
    <row r="3784" spans="16:19" x14ac:dyDescent="0.3">
      <c r="P3784">
        <v>3783</v>
      </c>
      <c r="Q3784">
        <v>337035</v>
      </c>
      <c r="S3784">
        <v>-647603</v>
      </c>
    </row>
    <row r="3785" spans="16:19" x14ac:dyDescent="0.3">
      <c r="P3785">
        <v>3784</v>
      </c>
      <c r="Q3785">
        <v>431236</v>
      </c>
      <c r="S3785">
        <v>253500</v>
      </c>
    </row>
    <row r="3786" spans="16:19" x14ac:dyDescent="0.3">
      <c r="P3786">
        <v>3785</v>
      </c>
      <c r="Q3786">
        <v>-179737</v>
      </c>
      <c r="S3786">
        <v>106514</v>
      </c>
    </row>
    <row r="3787" spans="16:19" x14ac:dyDescent="0.3">
      <c r="P3787">
        <v>3786</v>
      </c>
      <c r="Q3787">
        <v>688945</v>
      </c>
      <c r="S3787">
        <v>1603</v>
      </c>
    </row>
    <row r="3788" spans="16:19" x14ac:dyDescent="0.3">
      <c r="P3788">
        <v>3787</v>
      </c>
      <c r="Q3788">
        <v>246028</v>
      </c>
      <c r="S3788">
        <v>319738</v>
      </c>
    </row>
    <row r="3789" spans="16:19" x14ac:dyDescent="0.3">
      <c r="P3789">
        <v>3788</v>
      </c>
      <c r="Q3789">
        <v>-204288</v>
      </c>
      <c r="S3789">
        <v>395388</v>
      </c>
    </row>
    <row r="3790" spans="16:19" x14ac:dyDescent="0.3">
      <c r="P3790">
        <v>3789</v>
      </c>
      <c r="Q3790">
        <v>339272</v>
      </c>
      <c r="S3790">
        <v>477452</v>
      </c>
    </row>
    <row r="3791" spans="16:19" x14ac:dyDescent="0.3">
      <c r="P3791">
        <v>3790</v>
      </c>
      <c r="Q3791">
        <v>-449432</v>
      </c>
      <c r="S3791">
        <v>-320036</v>
      </c>
    </row>
    <row r="3792" spans="16:19" x14ac:dyDescent="0.3">
      <c r="P3792">
        <v>3791</v>
      </c>
      <c r="Q3792">
        <v>999106</v>
      </c>
      <c r="S3792">
        <v>118752</v>
      </c>
    </row>
    <row r="3793" spans="16:19" x14ac:dyDescent="0.3">
      <c r="P3793">
        <v>3792</v>
      </c>
      <c r="Q3793">
        <v>-538352</v>
      </c>
      <c r="S3793">
        <v>-431367</v>
      </c>
    </row>
    <row r="3794" spans="16:19" x14ac:dyDescent="0.3">
      <c r="P3794">
        <v>3793</v>
      </c>
      <c r="Q3794">
        <v>478192</v>
      </c>
      <c r="S3794">
        <v>1063051</v>
      </c>
    </row>
    <row r="3795" spans="16:19" x14ac:dyDescent="0.3">
      <c r="P3795">
        <v>3794</v>
      </c>
      <c r="Q3795">
        <v>-577355</v>
      </c>
      <c r="S3795">
        <v>-204035</v>
      </c>
    </row>
    <row r="3796" spans="16:19" x14ac:dyDescent="0.3">
      <c r="P3796">
        <v>3795</v>
      </c>
      <c r="Q3796">
        <v>-473668</v>
      </c>
      <c r="S3796">
        <v>-497608</v>
      </c>
    </row>
    <row r="3797" spans="16:19" x14ac:dyDescent="0.3">
      <c r="P3797">
        <v>3796</v>
      </c>
      <c r="Q3797">
        <v>311501</v>
      </c>
      <c r="S3797">
        <v>-3754</v>
      </c>
    </row>
    <row r="3798" spans="16:19" x14ac:dyDescent="0.3">
      <c r="P3798">
        <v>3797</v>
      </c>
      <c r="Q3798">
        <v>-118334</v>
      </c>
      <c r="S3798">
        <v>53996</v>
      </c>
    </row>
    <row r="3799" spans="16:19" x14ac:dyDescent="0.3">
      <c r="P3799">
        <v>3798</v>
      </c>
      <c r="Q3799">
        <v>609770</v>
      </c>
      <c r="S3799">
        <v>149872</v>
      </c>
    </row>
    <row r="3800" spans="16:19" x14ac:dyDescent="0.3">
      <c r="P3800">
        <v>3799</v>
      </c>
      <c r="Q3800">
        <v>685385</v>
      </c>
      <c r="S3800">
        <v>-868692</v>
      </c>
    </row>
    <row r="3801" spans="16:19" x14ac:dyDescent="0.3">
      <c r="P3801">
        <v>3800</v>
      </c>
      <c r="Q3801">
        <v>808603</v>
      </c>
      <c r="S3801">
        <v>-539362</v>
      </c>
    </row>
    <row r="3802" spans="16:19" x14ac:dyDescent="0.3">
      <c r="P3802">
        <v>3801</v>
      </c>
      <c r="Q3802">
        <v>435886</v>
      </c>
      <c r="S3802">
        <v>-445710</v>
      </c>
    </row>
    <row r="3803" spans="16:19" x14ac:dyDescent="0.3">
      <c r="P3803">
        <v>3802</v>
      </c>
      <c r="Q3803">
        <v>37174</v>
      </c>
      <c r="S3803">
        <v>983773</v>
      </c>
    </row>
    <row r="3804" spans="16:19" x14ac:dyDescent="0.3">
      <c r="P3804">
        <v>3803</v>
      </c>
      <c r="Q3804">
        <v>-327174</v>
      </c>
      <c r="S3804">
        <v>38312</v>
      </c>
    </row>
    <row r="3805" spans="16:19" x14ac:dyDescent="0.3">
      <c r="P3805">
        <v>3804</v>
      </c>
      <c r="Q3805">
        <v>437791</v>
      </c>
      <c r="S3805">
        <v>120665</v>
      </c>
    </row>
    <row r="3806" spans="16:19" x14ac:dyDescent="0.3">
      <c r="P3806">
        <v>3805</v>
      </c>
      <c r="Q3806">
        <v>-338805</v>
      </c>
      <c r="S3806">
        <v>-653412</v>
      </c>
    </row>
    <row r="3807" spans="16:19" x14ac:dyDescent="0.3">
      <c r="P3807">
        <v>3806</v>
      </c>
      <c r="Q3807">
        <v>691717</v>
      </c>
      <c r="S3807">
        <v>140624</v>
      </c>
    </row>
    <row r="3808" spans="16:19" x14ac:dyDescent="0.3">
      <c r="P3808">
        <v>3807</v>
      </c>
      <c r="Q3808">
        <v>-162236</v>
      </c>
      <c r="S3808">
        <v>793749</v>
      </c>
    </row>
    <row r="3809" spans="16:19" x14ac:dyDescent="0.3">
      <c r="P3809">
        <v>3808</v>
      </c>
      <c r="Q3809">
        <v>72416</v>
      </c>
      <c r="S3809">
        <v>748891</v>
      </c>
    </row>
    <row r="3810" spans="16:19" x14ac:dyDescent="0.3">
      <c r="P3810">
        <v>3809</v>
      </c>
      <c r="Q3810">
        <v>-642016</v>
      </c>
      <c r="S3810">
        <v>-68120</v>
      </c>
    </row>
    <row r="3811" spans="16:19" x14ac:dyDescent="0.3">
      <c r="P3811">
        <v>3810</v>
      </c>
      <c r="Q3811">
        <v>-77628</v>
      </c>
      <c r="S3811">
        <v>633565</v>
      </c>
    </row>
    <row r="3812" spans="16:19" x14ac:dyDescent="0.3">
      <c r="P3812">
        <v>3811</v>
      </c>
      <c r="Q3812">
        <v>602730</v>
      </c>
      <c r="S3812">
        <v>402571</v>
      </c>
    </row>
    <row r="3813" spans="16:19" x14ac:dyDescent="0.3">
      <c r="P3813">
        <v>3812</v>
      </c>
      <c r="Q3813">
        <v>-235148</v>
      </c>
      <c r="S3813">
        <v>212622</v>
      </c>
    </row>
    <row r="3814" spans="16:19" x14ac:dyDescent="0.3">
      <c r="P3814">
        <v>3813</v>
      </c>
      <c r="Q3814">
        <v>-563225</v>
      </c>
      <c r="S3814">
        <v>93886</v>
      </c>
    </row>
    <row r="3815" spans="16:19" x14ac:dyDescent="0.3">
      <c r="P3815">
        <v>3814</v>
      </c>
      <c r="Q3815">
        <v>-43704</v>
      </c>
      <c r="S3815">
        <v>748896</v>
      </c>
    </row>
    <row r="3816" spans="16:19" x14ac:dyDescent="0.3">
      <c r="P3816">
        <v>3815</v>
      </c>
      <c r="Q3816">
        <v>584041</v>
      </c>
      <c r="S3816">
        <v>-428561</v>
      </c>
    </row>
    <row r="3817" spans="16:19" x14ac:dyDescent="0.3">
      <c r="P3817">
        <v>3816</v>
      </c>
      <c r="Q3817">
        <v>639390</v>
      </c>
      <c r="S3817">
        <v>171975</v>
      </c>
    </row>
    <row r="3818" spans="16:19" x14ac:dyDescent="0.3">
      <c r="P3818">
        <v>3817</v>
      </c>
      <c r="Q3818">
        <v>294241</v>
      </c>
      <c r="S3818">
        <v>-76532</v>
      </c>
    </row>
    <row r="3819" spans="16:19" x14ac:dyDescent="0.3">
      <c r="P3819">
        <v>3818</v>
      </c>
      <c r="Q3819">
        <v>-712911</v>
      </c>
      <c r="S3819">
        <v>-648652</v>
      </c>
    </row>
    <row r="3820" spans="16:19" x14ac:dyDescent="0.3">
      <c r="P3820">
        <v>3819</v>
      </c>
      <c r="Q3820">
        <v>510432</v>
      </c>
      <c r="S3820">
        <v>-310410</v>
      </c>
    </row>
    <row r="3821" spans="16:19" x14ac:dyDescent="0.3">
      <c r="P3821">
        <v>3820</v>
      </c>
      <c r="Q3821">
        <v>-550200</v>
      </c>
      <c r="S3821">
        <v>435876</v>
      </c>
    </row>
    <row r="3822" spans="16:19" x14ac:dyDescent="0.3">
      <c r="P3822">
        <v>3821</v>
      </c>
      <c r="Q3822">
        <v>187849</v>
      </c>
      <c r="S3822">
        <v>-387226</v>
      </c>
    </row>
    <row r="3823" spans="16:19" x14ac:dyDescent="0.3">
      <c r="P3823">
        <v>3822</v>
      </c>
      <c r="Q3823">
        <v>-483388</v>
      </c>
      <c r="S3823">
        <v>187527</v>
      </c>
    </row>
    <row r="3824" spans="16:19" x14ac:dyDescent="0.3">
      <c r="P3824">
        <v>3823</v>
      </c>
      <c r="Q3824">
        <v>38081</v>
      </c>
      <c r="S3824">
        <v>400944</v>
      </c>
    </row>
    <row r="3825" spans="16:19" x14ac:dyDescent="0.3">
      <c r="P3825">
        <v>3824</v>
      </c>
      <c r="Q3825">
        <v>371651</v>
      </c>
      <c r="S3825">
        <v>43829</v>
      </c>
    </row>
    <row r="3826" spans="16:19" x14ac:dyDescent="0.3">
      <c r="P3826">
        <v>3825</v>
      </c>
      <c r="Q3826">
        <v>568848</v>
      </c>
      <c r="S3826">
        <v>793292</v>
      </c>
    </row>
    <row r="3827" spans="16:19" x14ac:dyDescent="0.3">
      <c r="P3827">
        <v>3826</v>
      </c>
      <c r="Q3827">
        <v>-330747</v>
      </c>
      <c r="S3827">
        <v>164818</v>
      </c>
    </row>
    <row r="3828" spans="16:19" x14ac:dyDescent="0.3">
      <c r="P3828">
        <v>3827</v>
      </c>
      <c r="Q3828">
        <v>249665</v>
      </c>
      <c r="S3828">
        <v>-234707</v>
      </c>
    </row>
    <row r="3829" spans="16:19" x14ac:dyDescent="0.3">
      <c r="P3829">
        <v>3828</v>
      </c>
      <c r="Q3829">
        <v>-489768</v>
      </c>
      <c r="S3829">
        <v>-310599</v>
      </c>
    </row>
    <row r="3830" spans="16:19" x14ac:dyDescent="0.3">
      <c r="P3830">
        <v>3829</v>
      </c>
      <c r="Q3830">
        <v>-137821</v>
      </c>
      <c r="S3830">
        <v>61820</v>
      </c>
    </row>
    <row r="3831" spans="16:19" x14ac:dyDescent="0.3">
      <c r="P3831">
        <v>3830</v>
      </c>
      <c r="Q3831">
        <v>-314731</v>
      </c>
      <c r="S3831">
        <v>746409</v>
      </c>
    </row>
    <row r="3832" spans="16:19" x14ac:dyDescent="0.3">
      <c r="P3832">
        <v>3831</v>
      </c>
      <c r="Q3832">
        <v>28031</v>
      </c>
      <c r="S3832">
        <v>190320</v>
      </c>
    </row>
    <row r="3833" spans="16:19" x14ac:dyDescent="0.3">
      <c r="P3833">
        <v>3832</v>
      </c>
      <c r="Q3833">
        <v>-559875</v>
      </c>
      <c r="S3833">
        <v>-551131</v>
      </c>
    </row>
    <row r="3834" spans="16:19" x14ac:dyDescent="0.3">
      <c r="P3834">
        <v>3833</v>
      </c>
      <c r="Q3834">
        <v>504078</v>
      </c>
      <c r="S3834">
        <v>251714</v>
      </c>
    </row>
    <row r="3835" spans="16:19" x14ac:dyDescent="0.3">
      <c r="P3835">
        <v>3834</v>
      </c>
      <c r="Q3835">
        <v>-605350</v>
      </c>
      <c r="S3835">
        <v>272269</v>
      </c>
    </row>
    <row r="3836" spans="16:19" x14ac:dyDescent="0.3">
      <c r="P3836">
        <v>3835</v>
      </c>
      <c r="Q3836">
        <v>-225981</v>
      </c>
      <c r="S3836">
        <v>536525</v>
      </c>
    </row>
    <row r="3837" spans="16:19" x14ac:dyDescent="0.3">
      <c r="P3837">
        <v>3836</v>
      </c>
      <c r="Q3837">
        <v>-55255</v>
      </c>
      <c r="S3837">
        <v>-330312</v>
      </c>
    </row>
    <row r="3838" spans="16:19" x14ac:dyDescent="0.3">
      <c r="P3838">
        <v>3837</v>
      </c>
      <c r="Q3838">
        <v>-409349</v>
      </c>
      <c r="S3838">
        <v>234012</v>
      </c>
    </row>
    <row r="3839" spans="16:19" x14ac:dyDescent="0.3">
      <c r="P3839">
        <v>3838</v>
      </c>
      <c r="Q3839">
        <v>849154</v>
      </c>
      <c r="S3839">
        <v>-75387</v>
      </c>
    </row>
    <row r="3840" spans="16:19" x14ac:dyDescent="0.3">
      <c r="P3840">
        <v>3839</v>
      </c>
      <c r="Q3840">
        <v>48165</v>
      </c>
      <c r="S3840">
        <v>-517001</v>
      </c>
    </row>
    <row r="3841" spans="16:19" x14ac:dyDescent="0.3">
      <c r="P3841">
        <v>3840</v>
      </c>
      <c r="Q3841">
        <v>601294</v>
      </c>
      <c r="S3841">
        <v>571206</v>
      </c>
    </row>
    <row r="3842" spans="16:19" x14ac:dyDescent="0.3">
      <c r="P3842">
        <v>3841</v>
      </c>
      <c r="Q3842">
        <v>-499751</v>
      </c>
      <c r="S3842">
        <v>874220</v>
      </c>
    </row>
    <row r="3843" spans="16:19" x14ac:dyDescent="0.3">
      <c r="P3843">
        <v>3842</v>
      </c>
      <c r="Q3843">
        <v>-186505</v>
      </c>
      <c r="S3843">
        <v>-127753</v>
      </c>
    </row>
    <row r="3844" spans="16:19" x14ac:dyDescent="0.3">
      <c r="P3844">
        <v>3843</v>
      </c>
      <c r="Q3844">
        <v>-100808</v>
      </c>
      <c r="S3844">
        <v>185132</v>
      </c>
    </row>
    <row r="3845" spans="16:19" x14ac:dyDescent="0.3">
      <c r="P3845">
        <v>3844</v>
      </c>
      <c r="Q3845">
        <v>-506919</v>
      </c>
      <c r="S3845">
        <v>323258</v>
      </c>
    </row>
    <row r="3846" spans="16:19" x14ac:dyDescent="0.3">
      <c r="P3846">
        <v>3845</v>
      </c>
      <c r="Q3846">
        <v>-476231</v>
      </c>
      <c r="S3846">
        <v>367033</v>
      </c>
    </row>
    <row r="3847" spans="16:19" x14ac:dyDescent="0.3">
      <c r="P3847">
        <v>3846</v>
      </c>
      <c r="Q3847">
        <v>1002593</v>
      </c>
      <c r="S3847">
        <v>-719018</v>
      </c>
    </row>
    <row r="3848" spans="16:19" x14ac:dyDescent="0.3">
      <c r="P3848">
        <v>3847</v>
      </c>
      <c r="Q3848">
        <v>14486</v>
      </c>
      <c r="S3848">
        <v>-137005</v>
      </c>
    </row>
    <row r="3849" spans="16:19" x14ac:dyDescent="0.3">
      <c r="P3849">
        <v>3848</v>
      </c>
      <c r="Q3849">
        <v>-167705</v>
      </c>
      <c r="S3849">
        <v>-340747</v>
      </c>
    </row>
    <row r="3850" spans="16:19" x14ac:dyDescent="0.3">
      <c r="P3850">
        <v>3849</v>
      </c>
      <c r="Q3850">
        <v>869924</v>
      </c>
      <c r="S3850">
        <v>593615</v>
      </c>
    </row>
    <row r="3851" spans="16:19" x14ac:dyDescent="0.3">
      <c r="P3851">
        <v>3850</v>
      </c>
      <c r="Q3851">
        <v>916848</v>
      </c>
      <c r="S3851">
        <v>167447</v>
      </c>
    </row>
    <row r="3852" spans="16:19" x14ac:dyDescent="0.3">
      <c r="P3852">
        <v>3851</v>
      </c>
      <c r="Q3852">
        <v>390693</v>
      </c>
      <c r="S3852">
        <v>658392</v>
      </c>
    </row>
    <row r="3853" spans="16:19" x14ac:dyDescent="0.3">
      <c r="P3853">
        <v>3852</v>
      </c>
      <c r="Q3853">
        <v>-291157</v>
      </c>
      <c r="S3853">
        <v>-282082</v>
      </c>
    </row>
    <row r="3854" spans="16:19" x14ac:dyDescent="0.3">
      <c r="P3854">
        <v>3853</v>
      </c>
      <c r="Q3854">
        <v>-499931</v>
      </c>
      <c r="S3854">
        <v>-619866</v>
      </c>
    </row>
    <row r="3855" spans="16:19" x14ac:dyDescent="0.3">
      <c r="P3855">
        <v>3854</v>
      </c>
      <c r="Q3855">
        <v>169107</v>
      </c>
      <c r="S3855">
        <v>1082301</v>
      </c>
    </row>
    <row r="3856" spans="16:19" x14ac:dyDescent="0.3">
      <c r="P3856">
        <v>3855</v>
      </c>
      <c r="Q3856">
        <v>-506969</v>
      </c>
      <c r="S3856">
        <v>86119</v>
      </c>
    </row>
    <row r="3857" spans="16:19" x14ac:dyDescent="0.3">
      <c r="P3857">
        <v>3856</v>
      </c>
      <c r="Q3857">
        <v>557581</v>
      </c>
      <c r="S3857">
        <v>-659688</v>
      </c>
    </row>
    <row r="3858" spans="16:19" x14ac:dyDescent="0.3">
      <c r="P3858">
        <v>3857</v>
      </c>
      <c r="Q3858">
        <v>113736</v>
      </c>
      <c r="S3858">
        <v>-200389</v>
      </c>
    </row>
    <row r="3859" spans="16:19" x14ac:dyDescent="0.3">
      <c r="P3859">
        <v>3858</v>
      </c>
      <c r="Q3859">
        <v>898552</v>
      </c>
      <c r="S3859">
        <v>10311</v>
      </c>
    </row>
    <row r="3860" spans="16:19" x14ac:dyDescent="0.3">
      <c r="P3860">
        <v>3859</v>
      </c>
      <c r="Q3860">
        <v>-96011</v>
      </c>
      <c r="S3860">
        <v>-543502</v>
      </c>
    </row>
    <row r="3861" spans="16:19" x14ac:dyDescent="0.3">
      <c r="P3861">
        <v>3860</v>
      </c>
      <c r="Q3861">
        <v>-154198</v>
      </c>
      <c r="S3861">
        <v>-649374</v>
      </c>
    </row>
    <row r="3862" spans="16:19" x14ac:dyDescent="0.3">
      <c r="P3862">
        <v>3861</v>
      </c>
      <c r="Q3862">
        <v>27341</v>
      </c>
      <c r="S3862">
        <v>-843470</v>
      </c>
    </row>
    <row r="3863" spans="16:19" x14ac:dyDescent="0.3">
      <c r="P3863">
        <v>3862</v>
      </c>
      <c r="Q3863">
        <v>840542</v>
      </c>
      <c r="S3863">
        <v>8159</v>
      </c>
    </row>
    <row r="3864" spans="16:19" x14ac:dyDescent="0.3">
      <c r="P3864">
        <v>3863</v>
      </c>
      <c r="Q3864">
        <v>199834</v>
      </c>
      <c r="S3864">
        <v>196182</v>
      </c>
    </row>
    <row r="3865" spans="16:19" x14ac:dyDescent="0.3">
      <c r="P3865">
        <v>3864</v>
      </c>
      <c r="Q3865">
        <v>250483</v>
      </c>
      <c r="S3865">
        <v>-130175</v>
      </c>
    </row>
    <row r="3866" spans="16:19" x14ac:dyDescent="0.3">
      <c r="P3866">
        <v>3865</v>
      </c>
      <c r="Q3866">
        <v>402997</v>
      </c>
      <c r="S3866">
        <v>549755</v>
      </c>
    </row>
    <row r="3867" spans="16:19" x14ac:dyDescent="0.3">
      <c r="P3867">
        <v>3866</v>
      </c>
      <c r="Q3867">
        <v>-747427</v>
      </c>
      <c r="S3867">
        <v>18166</v>
      </c>
    </row>
    <row r="3868" spans="16:19" x14ac:dyDescent="0.3">
      <c r="P3868">
        <v>3867</v>
      </c>
      <c r="Q3868">
        <v>141333</v>
      </c>
      <c r="S3868">
        <v>142858</v>
      </c>
    </row>
    <row r="3869" spans="16:19" x14ac:dyDescent="0.3">
      <c r="P3869">
        <v>3868</v>
      </c>
      <c r="Q3869">
        <v>-54268</v>
      </c>
      <c r="S3869">
        <v>-542173</v>
      </c>
    </row>
    <row r="3870" spans="16:19" x14ac:dyDescent="0.3">
      <c r="P3870">
        <v>3869</v>
      </c>
      <c r="Q3870">
        <v>-639495</v>
      </c>
      <c r="S3870">
        <v>487649</v>
      </c>
    </row>
    <row r="3871" spans="16:19" x14ac:dyDescent="0.3">
      <c r="P3871">
        <v>3870</v>
      </c>
      <c r="Q3871">
        <v>170299</v>
      </c>
      <c r="S3871">
        <v>29183</v>
      </c>
    </row>
    <row r="3872" spans="16:19" x14ac:dyDescent="0.3">
      <c r="P3872">
        <v>3871</v>
      </c>
      <c r="Q3872">
        <v>321819</v>
      </c>
      <c r="S3872">
        <v>389788</v>
      </c>
    </row>
    <row r="3873" spans="16:19" x14ac:dyDescent="0.3">
      <c r="P3873">
        <v>3872</v>
      </c>
      <c r="Q3873">
        <v>-249566</v>
      </c>
      <c r="S3873">
        <v>265528</v>
      </c>
    </row>
    <row r="3874" spans="16:19" x14ac:dyDescent="0.3">
      <c r="P3874">
        <v>3873</v>
      </c>
      <c r="Q3874">
        <v>-34298</v>
      </c>
      <c r="S3874">
        <v>-119057</v>
      </c>
    </row>
    <row r="3875" spans="16:19" x14ac:dyDescent="0.3">
      <c r="P3875">
        <v>3874</v>
      </c>
      <c r="Q3875">
        <v>-514504</v>
      </c>
      <c r="S3875">
        <v>-137015</v>
      </c>
    </row>
    <row r="3876" spans="16:19" x14ac:dyDescent="0.3">
      <c r="P3876">
        <v>3875</v>
      </c>
      <c r="Q3876">
        <v>-394701</v>
      </c>
      <c r="S3876">
        <v>62709</v>
      </c>
    </row>
    <row r="3877" spans="16:19" x14ac:dyDescent="0.3">
      <c r="P3877">
        <v>3876</v>
      </c>
      <c r="Q3877">
        <v>-292367</v>
      </c>
      <c r="S3877">
        <v>-604919</v>
      </c>
    </row>
    <row r="3878" spans="16:19" x14ac:dyDescent="0.3">
      <c r="P3878">
        <v>3877</v>
      </c>
      <c r="Q3878">
        <v>-132745</v>
      </c>
      <c r="S3878">
        <v>-407366</v>
      </c>
    </row>
    <row r="3879" spans="16:19" x14ac:dyDescent="0.3">
      <c r="P3879">
        <v>3878</v>
      </c>
      <c r="Q3879">
        <v>-366228</v>
      </c>
      <c r="S3879">
        <v>278996</v>
      </c>
    </row>
    <row r="3880" spans="16:19" x14ac:dyDescent="0.3">
      <c r="P3880">
        <v>3879</v>
      </c>
      <c r="Q3880">
        <v>229814</v>
      </c>
      <c r="S3880">
        <v>242303</v>
      </c>
    </row>
    <row r="3881" spans="16:19" x14ac:dyDescent="0.3">
      <c r="P3881">
        <v>3880</v>
      </c>
      <c r="Q3881">
        <v>50708</v>
      </c>
      <c r="S3881">
        <v>384335</v>
      </c>
    </row>
    <row r="3882" spans="16:19" x14ac:dyDescent="0.3">
      <c r="P3882">
        <v>3881</v>
      </c>
      <c r="Q3882">
        <v>-545437</v>
      </c>
      <c r="S3882">
        <v>-472832</v>
      </c>
    </row>
    <row r="3883" spans="16:19" x14ac:dyDescent="0.3">
      <c r="P3883">
        <v>3882</v>
      </c>
      <c r="Q3883">
        <v>1069296</v>
      </c>
      <c r="S3883">
        <v>-221852</v>
      </c>
    </row>
    <row r="3884" spans="16:19" x14ac:dyDescent="0.3">
      <c r="P3884">
        <v>3883</v>
      </c>
      <c r="Q3884">
        <v>-559122</v>
      </c>
      <c r="S3884">
        <v>-470561</v>
      </c>
    </row>
    <row r="3885" spans="16:19" x14ac:dyDescent="0.3">
      <c r="P3885">
        <v>3884</v>
      </c>
      <c r="Q3885">
        <v>-95185</v>
      </c>
      <c r="S3885">
        <v>-187224</v>
      </c>
    </row>
    <row r="3886" spans="16:19" x14ac:dyDescent="0.3">
      <c r="P3886">
        <v>3885</v>
      </c>
      <c r="Q3886">
        <v>247714</v>
      </c>
      <c r="S3886">
        <v>157367</v>
      </c>
    </row>
    <row r="3887" spans="16:19" x14ac:dyDescent="0.3">
      <c r="P3887">
        <v>3886</v>
      </c>
      <c r="Q3887">
        <v>-321947</v>
      </c>
      <c r="S3887">
        <v>-317441</v>
      </c>
    </row>
    <row r="3888" spans="16:19" x14ac:dyDescent="0.3">
      <c r="P3888">
        <v>3887</v>
      </c>
      <c r="Q3888">
        <v>-650437</v>
      </c>
      <c r="S3888">
        <v>-127298</v>
      </c>
    </row>
    <row r="3889" spans="16:19" x14ac:dyDescent="0.3">
      <c r="P3889">
        <v>3888</v>
      </c>
      <c r="Q3889">
        <v>-653912</v>
      </c>
      <c r="S3889">
        <v>14751</v>
      </c>
    </row>
    <row r="3890" spans="16:19" x14ac:dyDescent="0.3">
      <c r="P3890">
        <v>3889</v>
      </c>
      <c r="Q3890">
        <v>125436</v>
      </c>
      <c r="S3890">
        <v>-330878</v>
      </c>
    </row>
    <row r="3891" spans="16:19" x14ac:dyDescent="0.3">
      <c r="P3891">
        <v>3890</v>
      </c>
      <c r="Q3891">
        <v>-661253</v>
      </c>
      <c r="S3891">
        <v>82616</v>
      </c>
    </row>
    <row r="3892" spans="16:19" x14ac:dyDescent="0.3">
      <c r="P3892">
        <v>3891</v>
      </c>
      <c r="Q3892">
        <v>-420110</v>
      </c>
      <c r="S3892">
        <v>-125667</v>
      </c>
    </row>
    <row r="3893" spans="16:19" x14ac:dyDescent="0.3">
      <c r="P3893">
        <v>3892</v>
      </c>
      <c r="Q3893">
        <v>-219126</v>
      </c>
      <c r="S3893">
        <v>617910</v>
      </c>
    </row>
    <row r="3894" spans="16:19" x14ac:dyDescent="0.3">
      <c r="P3894">
        <v>3893</v>
      </c>
      <c r="Q3894">
        <v>451097</v>
      </c>
      <c r="S3894">
        <v>8897</v>
      </c>
    </row>
    <row r="3895" spans="16:19" x14ac:dyDescent="0.3">
      <c r="P3895">
        <v>3894</v>
      </c>
      <c r="Q3895">
        <v>497414</v>
      </c>
      <c r="S3895">
        <v>572133</v>
      </c>
    </row>
    <row r="3896" spans="16:19" x14ac:dyDescent="0.3">
      <c r="P3896">
        <v>3895</v>
      </c>
      <c r="Q3896">
        <v>694312</v>
      </c>
      <c r="S3896">
        <v>-644194</v>
      </c>
    </row>
    <row r="3897" spans="16:19" x14ac:dyDescent="0.3">
      <c r="P3897">
        <v>3896</v>
      </c>
      <c r="Q3897">
        <v>58482</v>
      </c>
      <c r="S3897">
        <v>79646</v>
      </c>
    </row>
    <row r="3898" spans="16:19" x14ac:dyDescent="0.3">
      <c r="P3898">
        <v>3897</v>
      </c>
      <c r="Q3898">
        <v>-643356</v>
      </c>
      <c r="S3898">
        <v>-138541</v>
      </c>
    </row>
    <row r="3899" spans="16:19" x14ac:dyDescent="0.3">
      <c r="P3899">
        <v>3898</v>
      </c>
      <c r="Q3899">
        <v>627730</v>
      </c>
      <c r="S3899">
        <v>6690</v>
      </c>
    </row>
    <row r="3900" spans="16:19" x14ac:dyDescent="0.3">
      <c r="P3900">
        <v>3899</v>
      </c>
      <c r="Q3900">
        <v>6300</v>
      </c>
      <c r="S3900">
        <v>399580</v>
      </c>
    </row>
    <row r="3901" spans="16:19" x14ac:dyDescent="0.3">
      <c r="P3901">
        <v>3900</v>
      </c>
      <c r="Q3901">
        <v>-496118</v>
      </c>
      <c r="S3901">
        <v>-403779</v>
      </c>
    </row>
    <row r="3902" spans="16:19" x14ac:dyDescent="0.3">
      <c r="P3902">
        <v>3901</v>
      </c>
      <c r="Q3902">
        <v>-334783</v>
      </c>
      <c r="S3902">
        <v>-261239</v>
      </c>
    </row>
    <row r="3903" spans="16:19" x14ac:dyDescent="0.3">
      <c r="P3903">
        <v>3902</v>
      </c>
      <c r="Q3903">
        <v>54818</v>
      </c>
      <c r="S3903">
        <v>-551927</v>
      </c>
    </row>
    <row r="3904" spans="16:19" x14ac:dyDescent="0.3">
      <c r="P3904">
        <v>3903</v>
      </c>
      <c r="Q3904">
        <v>47525</v>
      </c>
      <c r="S3904">
        <v>-241330</v>
      </c>
    </row>
    <row r="3905" spans="16:19" x14ac:dyDescent="0.3">
      <c r="P3905">
        <v>3904</v>
      </c>
      <c r="Q3905">
        <v>732489</v>
      </c>
      <c r="S3905">
        <v>-457966</v>
      </c>
    </row>
    <row r="3906" spans="16:19" x14ac:dyDescent="0.3">
      <c r="P3906">
        <v>3905</v>
      </c>
      <c r="Q3906">
        <v>-684045</v>
      </c>
      <c r="S3906">
        <v>4474</v>
      </c>
    </row>
    <row r="3907" spans="16:19" x14ac:dyDescent="0.3">
      <c r="P3907">
        <v>3906</v>
      </c>
      <c r="Q3907">
        <v>283958</v>
      </c>
      <c r="S3907">
        <v>-626876</v>
      </c>
    </row>
    <row r="3908" spans="16:19" x14ac:dyDescent="0.3">
      <c r="P3908">
        <v>3907</v>
      </c>
      <c r="Q3908">
        <v>-243065</v>
      </c>
      <c r="S3908">
        <v>-307204</v>
      </c>
    </row>
    <row r="3909" spans="16:19" x14ac:dyDescent="0.3">
      <c r="P3909">
        <v>3908</v>
      </c>
      <c r="Q3909">
        <v>-537947</v>
      </c>
      <c r="S3909">
        <v>226568</v>
      </c>
    </row>
    <row r="3910" spans="16:19" x14ac:dyDescent="0.3">
      <c r="P3910">
        <v>3909</v>
      </c>
      <c r="Q3910">
        <v>-353493</v>
      </c>
      <c r="S3910">
        <v>114741</v>
      </c>
    </row>
    <row r="3911" spans="16:19" x14ac:dyDescent="0.3">
      <c r="P3911">
        <v>3910</v>
      </c>
      <c r="Q3911">
        <v>-84098</v>
      </c>
      <c r="S3911">
        <v>148141</v>
      </c>
    </row>
    <row r="3912" spans="16:19" x14ac:dyDescent="0.3">
      <c r="P3912">
        <v>3911</v>
      </c>
      <c r="Q3912">
        <v>-173714</v>
      </c>
      <c r="S3912">
        <v>97821</v>
      </c>
    </row>
    <row r="3913" spans="16:19" x14ac:dyDescent="0.3">
      <c r="P3913">
        <v>3912</v>
      </c>
      <c r="Q3913">
        <v>-67416</v>
      </c>
      <c r="S3913">
        <v>653898</v>
      </c>
    </row>
    <row r="3914" spans="16:19" x14ac:dyDescent="0.3">
      <c r="P3914">
        <v>3913</v>
      </c>
      <c r="Q3914">
        <v>-139849</v>
      </c>
      <c r="S3914">
        <v>-435439</v>
      </c>
    </row>
    <row r="3915" spans="16:19" x14ac:dyDescent="0.3">
      <c r="P3915">
        <v>3914</v>
      </c>
      <c r="Q3915">
        <v>-710875</v>
      </c>
      <c r="S3915">
        <v>-317256</v>
      </c>
    </row>
    <row r="3916" spans="16:19" x14ac:dyDescent="0.3">
      <c r="P3916">
        <v>3915</v>
      </c>
      <c r="Q3916">
        <v>507044</v>
      </c>
      <c r="S3916">
        <v>-38568</v>
      </c>
    </row>
    <row r="3917" spans="16:19" x14ac:dyDescent="0.3">
      <c r="P3917">
        <v>3916</v>
      </c>
      <c r="Q3917">
        <v>690816</v>
      </c>
      <c r="S3917">
        <v>1557</v>
      </c>
    </row>
    <row r="3918" spans="16:19" x14ac:dyDescent="0.3">
      <c r="P3918">
        <v>3917</v>
      </c>
      <c r="Q3918">
        <v>-507381</v>
      </c>
      <c r="S3918">
        <v>388811</v>
      </c>
    </row>
    <row r="3919" spans="16:19" x14ac:dyDescent="0.3">
      <c r="P3919">
        <v>3918</v>
      </c>
      <c r="Q3919">
        <v>-118871</v>
      </c>
      <c r="S3919">
        <v>454925</v>
      </c>
    </row>
    <row r="3920" spans="16:19" x14ac:dyDescent="0.3">
      <c r="P3920">
        <v>3919</v>
      </c>
      <c r="Q3920">
        <v>369199</v>
      </c>
      <c r="S3920">
        <v>524913</v>
      </c>
    </row>
    <row r="3921" spans="16:19" x14ac:dyDescent="0.3">
      <c r="P3921">
        <v>3920</v>
      </c>
      <c r="Q3921">
        <v>437846</v>
      </c>
      <c r="S3921">
        <v>-305902</v>
      </c>
    </row>
    <row r="3922" spans="16:19" x14ac:dyDescent="0.3">
      <c r="P3922">
        <v>3921</v>
      </c>
      <c r="Q3922">
        <v>147514</v>
      </c>
      <c r="S3922">
        <v>100312</v>
      </c>
    </row>
    <row r="3923" spans="16:19" x14ac:dyDescent="0.3">
      <c r="P3923">
        <v>3922</v>
      </c>
      <c r="Q3923">
        <v>-763933</v>
      </c>
      <c r="S3923">
        <v>-409364</v>
      </c>
    </row>
    <row r="3924" spans="16:19" x14ac:dyDescent="0.3">
      <c r="P3924">
        <v>3923</v>
      </c>
      <c r="Q3924">
        <v>-103249</v>
      </c>
      <c r="S3924">
        <v>180644</v>
      </c>
    </row>
    <row r="3925" spans="16:19" x14ac:dyDescent="0.3">
      <c r="P3925">
        <v>3924</v>
      </c>
      <c r="Q3925">
        <v>-164335</v>
      </c>
      <c r="S3925">
        <v>-45711</v>
      </c>
    </row>
    <row r="3926" spans="16:19" x14ac:dyDescent="0.3">
      <c r="P3926">
        <v>3925</v>
      </c>
      <c r="Q3926">
        <v>-378353</v>
      </c>
      <c r="S3926">
        <v>222609</v>
      </c>
    </row>
    <row r="3927" spans="16:19" x14ac:dyDescent="0.3">
      <c r="P3927">
        <v>3926</v>
      </c>
      <c r="Q3927">
        <v>-53974</v>
      </c>
      <c r="S3927">
        <v>620517</v>
      </c>
    </row>
    <row r="3928" spans="16:19" x14ac:dyDescent="0.3">
      <c r="P3928">
        <v>3927</v>
      </c>
      <c r="Q3928">
        <v>635895</v>
      </c>
      <c r="S3928">
        <v>64323</v>
      </c>
    </row>
    <row r="3929" spans="16:19" x14ac:dyDescent="0.3">
      <c r="P3929">
        <v>3928</v>
      </c>
      <c r="Q3929">
        <v>-149130</v>
      </c>
      <c r="S3929">
        <v>-504843</v>
      </c>
    </row>
    <row r="3930" spans="16:19" x14ac:dyDescent="0.3">
      <c r="P3930">
        <v>3929</v>
      </c>
      <c r="Q3930">
        <v>-500772</v>
      </c>
      <c r="S3930">
        <v>-261934</v>
      </c>
    </row>
    <row r="3931" spans="16:19" x14ac:dyDescent="0.3">
      <c r="P3931">
        <v>3930</v>
      </c>
      <c r="Q3931">
        <v>-677624</v>
      </c>
      <c r="S3931">
        <v>968722</v>
      </c>
    </row>
    <row r="3932" spans="16:19" x14ac:dyDescent="0.3">
      <c r="P3932">
        <v>3931</v>
      </c>
      <c r="Q3932">
        <v>-217974</v>
      </c>
      <c r="S3932">
        <v>-903822</v>
      </c>
    </row>
    <row r="3933" spans="16:19" x14ac:dyDescent="0.3">
      <c r="P3933">
        <v>3932</v>
      </c>
      <c r="Q3933">
        <v>-591060</v>
      </c>
      <c r="S3933">
        <v>416742</v>
      </c>
    </row>
    <row r="3934" spans="16:19" x14ac:dyDescent="0.3">
      <c r="P3934">
        <v>3933</v>
      </c>
      <c r="Q3934">
        <v>120346</v>
      </c>
      <c r="S3934">
        <v>508657</v>
      </c>
    </row>
    <row r="3935" spans="16:19" x14ac:dyDescent="0.3">
      <c r="P3935">
        <v>3934</v>
      </c>
      <c r="Q3935">
        <v>-631377</v>
      </c>
      <c r="S3935">
        <v>-89334</v>
      </c>
    </row>
    <row r="3936" spans="16:19" x14ac:dyDescent="0.3">
      <c r="P3936">
        <v>3935</v>
      </c>
      <c r="Q3936">
        <v>178993</v>
      </c>
      <c r="S3936">
        <v>549180</v>
      </c>
    </row>
    <row r="3937" spans="16:19" x14ac:dyDescent="0.3">
      <c r="P3937">
        <v>3936</v>
      </c>
      <c r="Q3937">
        <v>-525418</v>
      </c>
      <c r="S3937">
        <v>300987</v>
      </c>
    </row>
    <row r="3938" spans="16:19" x14ac:dyDescent="0.3">
      <c r="P3938">
        <v>3937</v>
      </c>
      <c r="Q3938">
        <v>-427716</v>
      </c>
      <c r="S3938">
        <v>-113733</v>
      </c>
    </row>
    <row r="3939" spans="16:19" x14ac:dyDescent="0.3">
      <c r="P3939">
        <v>3938</v>
      </c>
      <c r="Q3939">
        <v>829892</v>
      </c>
      <c r="S3939">
        <v>450154</v>
      </c>
    </row>
    <row r="3940" spans="16:19" x14ac:dyDescent="0.3">
      <c r="P3940">
        <v>3939</v>
      </c>
      <c r="Q3940">
        <v>143497</v>
      </c>
      <c r="S3940">
        <v>216617</v>
      </c>
    </row>
    <row r="3941" spans="16:19" x14ac:dyDescent="0.3">
      <c r="P3941">
        <v>3940</v>
      </c>
      <c r="Q3941">
        <v>876853</v>
      </c>
      <c r="S3941">
        <v>345353</v>
      </c>
    </row>
    <row r="3942" spans="16:19" x14ac:dyDescent="0.3">
      <c r="P3942">
        <v>3941</v>
      </c>
      <c r="Q3942">
        <v>-98868</v>
      </c>
      <c r="S3942">
        <v>-635506</v>
      </c>
    </row>
    <row r="3943" spans="16:19" x14ac:dyDescent="0.3">
      <c r="P3943">
        <v>3942</v>
      </c>
      <c r="Q3943">
        <v>-67412</v>
      </c>
      <c r="S3943">
        <v>-232015</v>
      </c>
    </row>
    <row r="3944" spans="16:19" x14ac:dyDescent="0.3">
      <c r="P3944">
        <v>3943</v>
      </c>
      <c r="Q3944">
        <v>508449</v>
      </c>
      <c r="S3944">
        <v>547695</v>
      </c>
    </row>
    <row r="3945" spans="16:19" x14ac:dyDescent="0.3">
      <c r="P3945">
        <v>3944</v>
      </c>
      <c r="Q3945">
        <v>-111072</v>
      </c>
      <c r="S3945">
        <v>-291232</v>
      </c>
    </row>
    <row r="3946" spans="16:19" x14ac:dyDescent="0.3">
      <c r="P3946">
        <v>3945</v>
      </c>
      <c r="Q3946">
        <v>562070</v>
      </c>
      <c r="S3946">
        <v>156714</v>
      </c>
    </row>
    <row r="3947" spans="16:19" x14ac:dyDescent="0.3">
      <c r="P3947">
        <v>3946</v>
      </c>
      <c r="Q3947">
        <v>-554692</v>
      </c>
      <c r="S3947">
        <v>-673334</v>
      </c>
    </row>
    <row r="3948" spans="16:19" x14ac:dyDescent="0.3">
      <c r="P3948">
        <v>3947</v>
      </c>
      <c r="Q3948">
        <v>696902</v>
      </c>
      <c r="S3948">
        <v>113128</v>
      </c>
    </row>
    <row r="3949" spans="16:19" x14ac:dyDescent="0.3">
      <c r="P3949">
        <v>3948</v>
      </c>
      <c r="Q3949">
        <v>-636090</v>
      </c>
      <c r="S3949">
        <v>164410</v>
      </c>
    </row>
    <row r="3950" spans="16:19" x14ac:dyDescent="0.3">
      <c r="P3950">
        <v>3949</v>
      </c>
      <c r="Q3950">
        <v>400268</v>
      </c>
      <c r="S3950">
        <v>-34304</v>
      </c>
    </row>
    <row r="3951" spans="16:19" x14ac:dyDescent="0.3">
      <c r="P3951">
        <v>3950</v>
      </c>
      <c r="Q3951">
        <v>578916</v>
      </c>
      <c r="S3951">
        <v>-230650</v>
      </c>
    </row>
    <row r="3952" spans="16:19" x14ac:dyDescent="0.3">
      <c r="P3952">
        <v>3951</v>
      </c>
      <c r="Q3952">
        <v>159790</v>
      </c>
      <c r="S3952">
        <v>688404</v>
      </c>
    </row>
    <row r="3953" spans="16:19" x14ac:dyDescent="0.3">
      <c r="P3953">
        <v>3952</v>
      </c>
      <c r="Q3953">
        <v>-642102</v>
      </c>
      <c r="S3953">
        <v>745029</v>
      </c>
    </row>
    <row r="3954" spans="16:19" x14ac:dyDescent="0.3">
      <c r="P3954">
        <v>3953</v>
      </c>
      <c r="Q3954">
        <v>-326311</v>
      </c>
      <c r="S3954">
        <v>204537</v>
      </c>
    </row>
    <row r="3955" spans="16:19" x14ac:dyDescent="0.3">
      <c r="P3955">
        <v>3954</v>
      </c>
      <c r="Q3955">
        <v>738</v>
      </c>
      <c r="S3955">
        <v>-106763</v>
      </c>
    </row>
    <row r="3956" spans="16:19" x14ac:dyDescent="0.3">
      <c r="P3956">
        <v>3955</v>
      </c>
      <c r="Q3956">
        <v>344669</v>
      </c>
      <c r="S3956">
        <v>700992</v>
      </c>
    </row>
    <row r="3957" spans="16:19" x14ac:dyDescent="0.3">
      <c r="P3957">
        <v>3956</v>
      </c>
      <c r="Q3957">
        <v>59115</v>
      </c>
      <c r="S3957">
        <v>696780</v>
      </c>
    </row>
    <row r="3958" spans="16:19" x14ac:dyDescent="0.3">
      <c r="P3958">
        <v>3957</v>
      </c>
      <c r="Q3958">
        <v>-695103</v>
      </c>
      <c r="S3958">
        <v>9420</v>
      </c>
    </row>
    <row r="3959" spans="16:19" x14ac:dyDescent="0.3">
      <c r="P3959">
        <v>3958</v>
      </c>
      <c r="Q3959">
        <v>-164950</v>
      </c>
      <c r="S3959">
        <v>372330</v>
      </c>
    </row>
    <row r="3960" spans="16:19" x14ac:dyDescent="0.3">
      <c r="P3960">
        <v>3959</v>
      </c>
      <c r="Q3960">
        <v>-157667</v>
      </c>
      <c r="S3960">
        <v>-451079</v>
      </c>
    </row>
    <row r="3961" spans="16:19" x14ac:dyDescent="0.3">
      <c r="P3961">
        <v>3960</v>
      </c>
      <c r="Q3961">
        <v>891374</v>
      </c>
      <c r="S3961">
        <v>-272092</v>
      </c>
    </row>
    <row r="3962" spans="16:19" x14ac:dyDescent="0.3">
      <c r="P3962">
        <v>3961</v>
      </c>
      <c r="Q3962">
        <v>-214727</v>
      </c>
      <c r="S3962">
        <v>918073</v>
      </c>
    </row>
    <row r="3963" spans="16:19" x14ac:dyDescent="0.3">
      <c r="P3963">
        <v>3962</v>
      </c>
      <c r="Q3963">
        <v>45455</v>
      </c>
      <c r="S3963">
        <v>5350</v>
      </c>
    </row>
    <row r="3964" spans="16:19" x14ac:dyDescent="0.3">
      <c r="P3964">
        <v>3963</v>
      </c>
      <c r="Q3964">
        <v>360222</v>
      </c>
      <c r="S3964">
        <v>-63063</v>
      </c>
    </row>
    <row r="3965" spans="16:19" x14ac:dyDescent="0.3">
      <c r="P3965">
        <v>3964</v>
      </c>
      <c r="Q3965">
        <v>-245085</v>
      </c>
      <c r="S3965">
        <v>228206</v>
      </c>
    </row>
    <row r="3966" spans="16:19" x14ac:dyDescent="0.3">
      <c r="P3966">
        <v>3965</v>
      </c>
      <c r="Q3966">
        <v>-344162</v>
      </c>
      <c r="S3966">
        <v>476956</v>
      </c>
    </row>
    <row r="3967" spans="16:19" x14ac:dyDescent="0.3">
      <c r="P3967">
        <v>3966</v>
      </c>
      <c r="Q3967">
        <v>-492778</v>
      </c>
      <c r="S3967">
        <v>802827</v>
      </c>
    </row>
    <row r="3968" spans="16:19" x14ac:dyDescent="0.3">
      <c r="P3968">
        <v>3967</v>
      </c>
      <c r="Q3968">
        <v>-95843</v>
      </c>
      <c r="S3968">
        <v>-206252</v>
      </c>
    </row>
    <row r="3969" spans="16:19" x14ac:dyDescent="0.3">
      <c r="P3969">
        <v>3968</v>
      </c>
      <c r="Q3969">
        <v>211727</v>
      </c>
      <c r="S3969">
        <v>122983</v>
      </c>
    </row>
    <row r="3970" spans="16:19" x14ac:dyDescent="0.3">
      <c r="P3970">
        <v>3969</v>
      </c>
      <c r="Q3970">
        <v>201688</v>
      </c>
      <c r="S3970">
        <v>637373</v>
      </c>
    </row>
    <row r="3971" spans="16:19" x14ac:dyDescent="0.3">
      <c r="P3971">
        <v>3970</v>
      </c>
      <c r="Q3971">
        <v>155059</v>
      </c>
      <c r="S3971">
        <v>-722839</v>
      </c>
    </row>
    <row r="3972" spans="16:19" x14ac:dyDescent="0.3">
      <c r="P3972">
        <v>3971</v>
      </c>
      <c r="Q3972">
        <v>-277438</v>
      </c>
      <c r="S3972">
        <v>674385</v>
      </c>
    </row>
    <row r="3973" spans="16:19" x14ac:dyDescent="0.3">
      <c r="P3973">
        <v>3972</v>
      </c>
      <c r="Q3973">
        <v>600440</v>
      </c>
      <c r="S3973">
        <v>-889511</v>
      </c>
    </row>
    <row r="3974" spans="16:19" x14ac:dyDescent="0.3">
      <c r="P3974">
        <v>3973</v>
      </c>
      <c r="Q3974">
        <v>-140656</v>
      </c>
      <c r="S3974">
        <v>136161</v>
      </c>
    </row>
    <row r="3975" spans="16:19" x14ac:dyDescent="0.3">
      <c r="P3975">
        <v>3974</v>
      </c>
      <c r="Q3975">
        <v>-661310</v>
      </c>
      <c r="S3975">
        <v>328495</v>
      </c>
    </row>
    <row r="3976" spans="16:19" x14ac:dyDescent="0.3">
      <c r="P3976">
        <v>3975</v>
      </c>
      <c r="Q3976">
        <v>873186</v>
      </c>
      <c r="S3976">
        <v>-97773</v>
      </c>
    </row>
    <row r="3977" spans="16:19" x14ac:dyDescent="0.3">
      <c r="P3977">
        <v>3976</v>
      </c>
      <c r="Q3977">
        <v>-380238</v>
      </c>
      <c r="S3977">
        <v>915317</v>
      </c>
    </row>
    <row r="3978" spans="16:19" x14ac:dyDescent="0.3">
      <c r="P3978">
        <v>3977</v>
      </c>
      <c r="Q3978">
        <v>-186130</v>
      </c>
      <c r="S3978">
        <v>-3065</v>
      </c>
    </row>
    <row r="3979" spans="16:19" x14ac:dyDescent="0.3">
      <c r="P3979">
        <v>3978</v>
      </c>
      <c r="Q3979">
        <v>-314136</v>
      </c>
      <c r="S3979">
        <v>315425</v>
      </c>
    </row>
    <row r="3980" spans="16:19" x14ac:dyDescent="0.3">
      <c r="P3980">
        <v>3979</v>
      </c>
      <c r="Q3980">
        <v>-20046</v>
      </c>
      <c r="S3980">
        <v>407470</v>
      </c>
    </row>
    <row r="3981" spans="16:19" x14ac:dyDescent="0.3">
      <c r="P3981">
        <v>3980</v>
      </c>
      <c r="Q3981">
        <v>-538524</v>
      </c>
      <c r="S3981">
        <v>-277790</v>
      </c>
    </row>
    <row r="3982" spans="16:19" x14ac:dyDescent="0.3">
      <c r="P3982">
        <v>3981</v>
      </c>
      <c r="Q3982">
        <v>143134</v>
      </c>
      <c r="S3982">
        <v>-570765</v>
      </c>
    </row>
    <row r="3983" spans="16:19" x14ac:dyDescent="0.3">
      <c r="P3983">
        <v>3982</v>
      </c>
      <c r="Q3983">
        <v>-636295</v>
      </c>
      <c r="S3983">
        <v>-376561</v>
      </c>
    </row>
    <row r="3984" spans="16:19" x14ac:dyDescent="0.3">
      <c r="P3984">
        <v>3983</v>
      </c>
      <c r="Q3984">
        <v>385555</v>
      </c>
      <c r="S3984">
        <v>329669</v>
      </c>
    </row>
    <row r="3985" spans="16:19" x14ac:dyDescent="0.3">
      <c r="P3985">
        <v>3984</v>
      </c>
      <c r="Q3985">
        <v>128116</v>
      </c>
      <c r="S3985">
        <v>306761</v>
      </c>
    </row>
    <row r="3986" spans="16:19" x14ac:dyDescent="0.3">
      <c r="P3986">
        <v>3985</v>
      </c>
      <c r="Q3986">
        <v>-101076</v>
      </c>
      <c r="S3986">
        <v>195031</v>
      </c>
    </row>
    <row r="3987" spans="16:19" x14ac:dyDescent="0.3">
      <c r="P3987">
        <v>3986</v>
      </c>
      <c r="Q3987">
        <v>448552</v>
      </c>
      <c r="S3987">
        <v>-21239</v>
      </c>
    </row>
    <row r="3988" spans="16:19" x14ac:dyDescent="0.3">
      <c r="P3988">
        <v>3987</v>
      </c>
      <c r="Q3988">
        <v>49058</v>
      </c>
      <c r="S3988">
        <v>-724980</v>
      </c>
    </row>
    <row r="3989" spans="16:19" x14ac:dyDescent="0.3">
      <c r="P3989">
        <v>3988</v>
      </c>
      <c r="Q3989">
        <v>243131</v>
      </c>
      <c r="S3989">
        <v>231740</v>
      </c>
    </row>
    <row r="3990" spans="16:19" x14ac:dyDescent="0.3">
      <c r="P3990">
        <v>3989</v>
      </c>
      <c r="Q3990">
        <v>36501</v>
      </c>
      <c r="S3990">
        <v>-621544</v>
      </c>
    </row>
    <row r="3991" spans="16:19" x14ac:dyDescent="0.3">
      <c r="P3991">
        <v>3990</v>
      </c>
      <c r="Q3991">
        <v>896854</v>
      </c>
      <c r="S3991">
        <v>183149</v>
      </c>
    </row>
    <row r="3992" spans="16:19" x14ac:dyDescent="0.3">
      <c r="P3992">
        <v>3991</v>
      </c>
      <c r="Q3992">
        <v>425121</v>
      </c>
      <c r="S3992">
        <v>154878</v>
      </c>
    </row>
    <row r="3993" spans="16:19" x14ac:dyDescent="0.3">
      <c r="P3993">
        <v>3992</v>
      </c>
      <c r="Q3993">
        <v>210274</v>
      </c>
      <c r="S3993">
        <v>769832</v>
      </c>
    </row>
    <row r="3994" spans="16:19" x14ac:dyDescent="0.3">
      <c r="P3994">
        <v>3993</v>
      </c>
      <c r="Q3994">
        <v>-252610</v>
      </c>
      <c r="S3994">
        <v>749753</v>
      </c>
    </row>
    <row r="3995" spans="16:19" x14ac:dyDescent="0.3">
      <c r="P3995">
        <v>3994</v>
      </c>
      <c r="Q3995">
        <v>119630</v>
      </c>
      <c r="S3995">
        <v>-531477</v>
      </c>
    </row>
    <row r="3996" spans="16:19" x14ac:dyDescent="0.3">
      <c r="P3996">
        <v>3995</v>
      </c>
      <c r="Q3996">
        <v>-558805</v>
      </c>
      <c r="S3996">
        <v>-413496</v>
      </c>
    </row>
    <row r="3997" spans="16:19" x14ac:dyDescent="0.3">
      <c r="P3997">
        <v>3996</v>
      </c>
      <c r="Q3997">
        <v>-470539</v>
      </c>
      <c r="S3997">
        <v>586331</v>
      </c>
    </row>
    <row r="3998" spans="16:19" x14ac:dyDescent="0.3">
      <c r="P3998">
        <v>3997</v>
      </c>
      <c r="Q3998">
        <v>23978</v>
      </c>
      <c r="S3998">
        <v>-123908</v>
      </c>
    </row>
    <row r="3999" spans="16:19" x14ac:dyDescent="0.3">
      <c r="P3999">
        <v>3998</v>
      </c>
      <c r="Q3999">
        <v>369558</v>
      </c>
      <c r="S3999">
        <v>-133682</v>
      </c>
    </row>
    <row r="4000" spans="16:19" x14ac:dyDescent="0.3">
      <c r="P4000">
        <v>3999</v>
      </c>
      <c r="Q4000">
        <v>161150</v>
      </c>
      <c r="S4000">
        <v>-266740</v>
      </c>
    </row>
    <row r="4001" spans="16:19" x14ac:dyDescent="0.3">
      <c r="P4001">
        <v>4000</v>
      </c>
      <c r="Q4001">
        <v>-199899</v>
      </c>
      <c r="S4001">
        <v>-789284</v>
      </c>
    </row>
    <row r="4002" spans="16:19" x14ac:dyDescent="0.3">
      <c r="P4002">
        <v>4001</v>
      </c>
      <c r="Q4002">
        <v>193317</v>
      </c>
      <c r="S4002">
        <v>27765</v>
      </c>
    </row>
    <row r="4003" spans="16:19" x14ac:dyDescent="0.3">
      <c r="P4003">
        <v>4002</v>
      </c>
      <c r="Q4003">
        <v>541235</v>
      </c>
      <c r="S4003">
        <v>400615</v>
      </c>
    </row>
    <row r="4004" spans="16:19" x14ac:dyDescent="0.3">
      <c r="P4004">
        <v>4003</v>
      </c>
      <c r="Q4004">
        <v>-448134</v>
      </c>
      <c r="S4004">
        <v>54943</v>
      </c>
    </row>
    <row r="4005" spans="16:19" x14ac:dyDescent="0.3">
      <c r="P4005">
        <v>4004</v>
      </c>
      <c r="Q4005">
        <v>513217</v>
      </c>
      <c r="S4005">
        <v>486091</v>
      </c>
    </row>
    <row r="4006" spans="16:19" x14ac:dyDescent="0.3">
      <c r="P4006">
        <v>4005</v>
      </c>
      <c r="Q4006">
        <v>571200</v>
      </c>
      <c r="S4006">
        <v>-295446</v>
      </c>
    </row>
    <row r="4007" spans="16:19" x14ac:dyDescent="0.3">
      <c r="P4007">
        <v>4006</v>
      </c>
      <c r="Q4007">
        <v>804683</v>
      </c>
      <c r="S4007">
        <v>383581</v>
      </c>
    </row>
    <row r="4008" spans="16:19" x14ac:dyDescent="0.3">
      <c r="P4008">
        <v>4007</v>
      </c>
      <c r="Q4008">
        <v>-558549</v>
      </c>
      <c r="S4008">
        <v>192851</v>
      </c>
    </row>
    <row r="4009" spans="16:19" x14ac:dyDescent="0.3">
      <c r="P4009">
        <v>4008</v>
      </c>
      <c r="Q4009">
        <v>399384</v>
      </c>
      <c r="S4009">
        <v>501427</v>
      </c>
    </row>
    <row r="4010" spans="16:19" x14ac:dyDescent="0.3">
      <c r="P4010">
        <v>4009</v>
      </c>
      <c r="Q4010">
        <v>904499</v>
      </c>
      <c r="S4010">
        <v>332899</v>
      </c>
    </row>
    <row r="4011" spans="16:19" x14ac:dyDescent="0.3">
      <c r="P4011">
        <v>4010</v>
      </c>
      <c r="Q4011">
        <v>389030</v>
      </c>
      <c r="S4011">
        <v>68326</v>
      </c>
    </row>
    <row r="4012" spans="16:19" x14ac:dyDescent="0.3">
      <c r="P4012">
        <v>4011</v>
      </c>
      <c r="Q4012">
        <v>-261668</v>
      </c>
      <c r="S4012">
        <v>402140</v>
      </c>
    </row>
    <row r="4013" spans="16:19" x14ac:dyDescent="0.3">
      <c r="P4013">
        <v>4012</v>
      </c>
      <c r="Q4013">
        <v>-321911</v>
      </c>
      <c r="S4013">
        <v>58640</v>
      </c>
    </row>
    <row r="4014" spans="16:19" x14ac:dyDescent="0.3">
      <c r="P4014">
        <v>4013</v>
      </c>
      <c r="Q4014">
        <v>-256350</v>
      </c>
      <c r="S4014">
        <v>-714845</v>
      </c>
    </row>
    <row r="4015" spans="16:19" x14ac:dyDescent="0.3">
      <c r="P4015">
        <v>4014</v>
      </c>
      <c r="Q4015">
        <v>278443</v>
      </c>
      <c r="S4015">
        <v>-279325</v>
      </c>
    </row>
    <row r="4016" spans="16:19" x14ac:dyDescent="0.3">
      <c r="P4016">
        <v>4015</v>
      </c>
      <c r="Q4016">
        <v>-65231</v>
      </c>
      <c r="S4016">
        <v>543346</v>
      </c>
    </row>
    <row r="4017" spans="16:19" x14ac:dyDescent="0.3">
      <c r="P4017">
        <v>4016</v>
      </c>
      <c r="Q4017">
        <v>-378285</v>
      </c>
      <c r="S4017">
        <v>-885679</v>
      </c>
    </row>
    <row r="4018" spans="16:19" x14ac:dyDescent="0.3">
      <c r="P4018">
        <v>4017</v>
      </c>
      <c r="Q4018">
        <v>-118100</v>
      </c>
      <c r="S4018">
        <v>51508</v>
      </c>
    </row>
    <row r="4019" spans="16:19" x14ac:dyDescent="0.3">
      <c r="P4019">
        <v>4018</v>
      </c>
      <c r="Q4019">
        <v>351131</v>
      </c>
      <c r="S4019">
        <v>-363063</v>
      </c>
    </row>
    <row r="4020" spans="16:19" x14ac:dyDescent="0.3">
      <c r="P4020">
        <v>4019</v>
      </c>
      <c r="Q4020">
        <v>-194831</v>
      </c>
      <c r="S4020">
        <v>-694180</v>
      </c>
    </row>
    <row r="4021" spans="16:19" x14ac:dyDescent="0.3">
      <c r="P4021">
        <v>4020</v>
      </c>
      <c r="Q4021">
        <v>-310605</v>
      </c>
      <c r="S4021">
        <v>52409</v>
      </c>
    </row>
    <row r="4022" spans="16:19" x14ac:dyDescent="0.3">
      <c r="P4022">
        <v>4021</v>
      </c>
      <c r="Q4022">
        <v>-154001</v>
      </c>
      <c r="S4022">
        <v>-274919</v>
      </c>
    </row>
    <row r="4023" spans="16:19" x14ac:dyDescent="0.3">
      <c r="P4023">
        <v>4022</v>
      </c>
      <c r="Q4023">
        <v>-276162</v>
      </c>
      <c r="S4023">
        <v>-465124</v>
      </c>
    </row>
    <row r="4024" spans="16:19" x14ac:dyDescent="0.3">
      <c r="P4024">
        <v>4023</v>
      </c>
      <c r="Q4024">
        <v>-512394</v>
      </c>
      <c r="S4024">
        <v>254605</v>
      </c>
    </row>
    <row r="4025" spans="16:19" x14ac:dyDescent="0.3">
      <c r="P4025">
        <v>4024</v>
      </c>
      <c r="Q4025">
        <v>-500439</v>
      </c>
      <c r="S4025">
        <v>-727147</v>
      </c>
    </row>
    <row r="4026" spans="16:19" x14ac:dyDescent="0.3">
      <c r="P4026">
        <v>4025</v>
      </c>
      <c r="Q4026">
        <v>-125098</v>
      </c>
      <c r="S4026">
        <v>173361</v>
      </c>
    </row>
    <row r="4027" spans="16:19" x14ac:dyDescent="0.3">
      <c r="P4027">
        <v>4026</v>
      </c>
      <c r="Q4027">
        <v>-45862</v>
      </c>
      <c r="S4027">
        <v>-409179</v>
      </c>
    </row>
    <row r="4028" spans="16:19" x14ac:dyDescent="0.3">
      <c r="P4028">
        <v>4027</v>
      </c>
      <c r="Q4028">
        <v>408857</v>
      </c>
      <c r="S4028">
        <v>511937</v>
      </c>
    </row>
    <row r="4029" spans="16:19" x14ac:dyDescent="0.3">
      <c r="P4029">
        <v>4028</v>
      </c>
      <c r="Q4029">
        <v>-135934</v>
      </c>
      <c r="S4029">
        <v>371904</v>
      </c>
    </row>
    <row r="4030" spans="16:19" x14ac:dyDescent="0.3">
      <c r="P4030">
        <v>4029</v>
      </c>
      <c r="Q4030">
        <v>-506006</v>
      </c>
      <c r="S4030">
        <v>478627</v>
      </c>
    </row>
    <row r="4031" spans="16:19" x14ac:dyDescent="0.3">
      <c r="P4031">
        <v>4030</v>
      </c>
      <c r="Q4031">
        <v>422965</v>
      </c>
      <c r="S4031">
        <v>100333</v>
      </c>
    </row>
    <row r="4032" spans="16:19" x14ac:dyDescent="0.3">
      <c r="P4032">
        <v>4031</v>
      </c>
      <c r="Q4032">
        <v>907676</v>
      </c>
      <c r="S4032">
        <v>-348158</v>
      </c>
    </row>
    <row r="4033" spans="16:19" x14ac:dyDescent="0.3">
      <c r="P4033">
        <v>4032</v>
      </c>
      <c r="Q4033">
        <v>-359008</v>
      </c>
      <c r="S4033">
        <v>236786</v>
      </c>
    </row>
    <row r="4034" spans="16:19" x14ac:dyDescent="0.3">
      <c r="P4034">
        <v>4033</v>
      </c>
      <c r="Q4034">
        <v>-224747</v>
      </c>
      <c r="S4034">
        <v>51587</v>
      </c>
    </row>
    <row r="4035" spans="16:19" x14ac:dyDescent="0.3">
      <c r="P4035">
        <v>4034</v>
      </c>
      <c r="Q4035">
        <v>456354</v>
      </c>
      <c r="S4035">
        <v>446326</v>
      </c>
    </row>
    <row r="4036" spans="16:19" x14ac:dyDescent="0.3">
      <c r="P4036">
        <v>4035</v>
      </c>
      <c r="Q4036">
        <v>-170621</v>
      </c>
      <c r="S4036">
        <v>215778</v>
      </c>
    </row>
    <row r="4037" spans="16:19" x14ac:dyDescent="0.3">
      <c r="P4037">
        <v>4036</v>
      </c>
      <c r="Q4037">
        <v>-379534</v>
      </c>
      <c r="S4037">
        <v>-825450</v>
      </c>
    </row>
    <row r="4038" spans="16:19" x14ac:dyDescent="0.3">
      <c r="P4038">
        <v>4037</v>
      </c>
      <c r="Q4038">
        <v>-133186</v>
      </c>
      <c r="S4038">
        <v>-71252</v>
      </c>
    </row>
    <row r="4039" spans="16:19" x14ac:dyDescent="0.3">
      <c r="P4039">
        <v>4038</v>
      </c>
      <c r="Q4039">
        <v>212517</v>
      </c>
      <c r="S4039">
        <v>-452174</v>
      </c>
    </row>
    <row r="4040" spans="16:19" x14ac:dyDescent="0.3">
      <c r="P4040">
        <v>4039</v>
      </c>
      <c r="Q4040">
        <v>-159168</v>
      </c>
      <c r="S4040">
        <v>-135033</v>
      </c>
    </row>
    <row r="4041" spans="16:19" x14ac:dyDescent="0.3">
      <c r="P4041">
        <v>4040</v>
      </c>
      <c r="Q4041">
        <v>341376</v>
      </c>
      <c r="S4041">
        <v>-275748</v>
      </c>
    </row>
    <row r="4042" spans="16:19" x14ac:dyDescent="0.3">
      <c r="P4042">
        <v>4041</v>
      </c>
      <c r="Q4042">
        <v>234025</v>
      </c>
      <c r="S4042">
        <v>167506</v>
      </c>
    </row>
    <row r="4043" spans="16:19" x14ac:dyDescent="0.3">
      <c r="P4043">
        <v>4042</v>
      </c>
      <c r="Q4043">
        <v>475764</v>
      </c>
      <c r="S4043">
        <v>-310616</v>
      </c>
    </row>
    <row r="4044" spans="16:19" x14ac:dyDescent="0.3">
      <c r="P4044">
        <v>4043</v>
      </c>
      <c r="Q4044">
        <v>167704</v>
      </c>
      <c r="S4044">
        <v>213697</v>
      </c>
    </row>
    <row r="4045" spans="16:19" x14ac:dyDescent="0.3">
      <c r="P4045">
        <v>4044</v>
      </c>
      <c r="Q4045">
        <v>-85056</v>
      </c>
      <c r="S4045">
        <v>156758</v>
      </c>
    </row>
    <row r="4046" spans="16:19" x14ac:dyDescent="0.3">
      <c r="P4046">
        <v>4045</v>
      </c>
      <c r="Q4046">
        <v>317870</v>
      </c>
      <c r="S4046">
        <v>336655</v>
      </c>
    </row>
    <row r="4047" spans="16:19" x14ac:dyDescent="0.3">
      <c r="P4047">
        <v>4046</v>
      </c>
      <c r="Q4047">
        <v>277082</v>
      </c>
      <c r="S4047">
        <v>538791</v>
      </c>
    </row>
    <row r="4048" spans="16:19" x14ac:dyDescent="0.3">
      <c r="P4048">
        <v>4047</v>
      </c>
      <c r="Q4048">
        <v>-387349</v>
      </c>
      <c r="S4048">
        <v>714333</v>
      </c>
    </row>
    <row r="4049" spans="16:19" x14ac:dyDescent="0.3">
      <c r="P4049">
        <v>4048</v>
      </c>
      <c r="Q4049">
        <v>-266117</v>
      </c>
      <c r="S4049">
        <v>87592</v>
      </c>
    </row>
    <row r="4050" spans="16:19" x14ac:dyDescent="0.3">
      <c r="P4050">
        <v>4049</v>
      </c>
      <c r="Q4050">
        <v>835762</v>
      </c>
      <c r="S4050">
        <v>-598426</v>
      </c>
    </row>
    <row r="4051" spans="16:19" x14ac:dyDescent="0.3">
      <c r="P4051">
        <v>4050</v>
      </c>
      <c r="Q4051">
        <v>973462</v>
      </c>
      <c r="S4051">
        <v>-150004</v>
      </c>
    </row>
    <row r="4052" spans="16:19" x14ac:dyDescent="0.3">
      <c r="P4052">
        <v>4051</v>
      </c>
      <c r="Q4052">
        <v>-549842</v>
      </c>
      <c r="S4052">
        <v>-676320</v>
      </c>
    </row>
    <row r="4053" spans="16:19" x14ac:dyDescent="0.3">
      <c r="P4053">
        <v>4052</v>
      </c>
      <c r="Q4053">
        <v>-418247</v>
      </c>
      <c r="S4053">
        <v>464085</v>
      </c>
    </row>
    <row r="4054" spans="16:19" x14ac:dyDescent="0.3">
      <c r="P4054">
        <v>4053</v>
      </c>
      <c r="Q4054">
        <v>641218</v>
      </c>
      <c r="S4054">
        <v>238413</v>
      </c>
    </row>
    <row r="4055" spans="16:19" x14ac:dyDescent="0.3">
      <c r="P4055">
        <v>4054</v>
      </c>
      <c r="Q4055">
        <v>-96955</v>
      </c>
      <c r="S4055">
        <v>252790</v>
      </c>
    </row>
    <row r="4056" spans="16:19" x14ac:dyDescent="0.3">
      <c r="P4056">
        <v>4055</v>
      </c>
      <c r="Q4056">
        <v>-106187</v>
      </c>
      <c r="S4056">
        <v>-460007</v>
      </c>
    </row>
    <row r="4057" spans="16:19" x14ac:dyDescent="0.3">
      <c r="P4057">
        <v>4056</v>
      </c>
      <c r="Q4057">
        <v>37475</v>
      </c>
      <c r="S4057">
        <v>-187220</v>
      </c>
    </row>
    <row r="4058" spans="16:19" x14ac:dyDescent="0.3">
      <c r="P4058">
        <v>4057</v>
      </c>
      <c r="Q4058">
        <v>50988</v>
      </c>
      <c r="S4058">
        <v>158407</v>
      </c>
    </row>
    <row r="4059" spans="16:19" x14ac:dyDescent="0.3">
      <c r="P4059">
        <v>4058</v>
      </c>
      <c r="Q4059">
        <v>216412</v>
      </c>
      <c r="S4059">
        <v>669147</v>
      </c>
    </row>
    <row r="4060" spans="16:19" x14ac:dyDescent="0.3">
      <c r="P4060">
        <v>4059</v>
      </c>
      <c r="Q4060">
        <v>-430237</v>
      </c>
      <c r="S4060">
        <v>239098</v>
      </c>
    </row>
    <row r="4061" spans="16:19" x14ac:dyDescent="0.3">
      <c r="P4061">
        <v>4060</v>
      </c>
      <c r="Q4061">
        <v>196796</v>
      </c>
      <c r="S4061">
        <v>-172186</v>
      </c>
    </row>
    <row r="4062" spans="16:19" x14ac:dyDescent="0.3">
      <c r="P4062">
        <v>4061</v>
      </c>
      <c r="Q4062">
        <v>-363483</v>
      </c>
      <c r="S4062">
        <v>-241145</v>
      </c>
    </row>
    <row r="4063" spans="16:19" x14ac:dyDescent="0.3">
      <c r="P4063">
        <v>4062</v>
      </c>
      <c r="Q4063">
        <v>-489875</v>
      </c>
      <c r="S4063">
        <v>-81700</v>
      </c>
    </row>
    <row r="4064" spans="16:19" x14ac:dyDescent="0.3">
      <c r="P4064">
        <v>4063</v>
      </c>
      <c r="Q4064">
        <v>-408945</v>
      </c>
      <c r="S4064">
        <v>-548463</v>
      </c>
    </row>
    <row r="4065" spans="16:19" x14ac:dyDescent="0.3">
      <c r="P4065">
        <v>4064</v>
      </c>
      <c r="Q4065">
        <v>568727</v>
      </c>
      <c r="S4065">
        <v>165445</v>
      </c>
    </row>
    <row r="4066" spans="16:19" x14ac:dyDescent="0.3">
      <c r="P4066">
        <v>4065</v>
      </c>
      <c r="Q4066">
        <v>-308930</v>
      </c>
      <c r="S4066">
        <v>752172</v>
      </c>
    </row>
    <row r="4067" spans="16:19" x14ac:dyDescent="0.3">
      <c r="P4067">
        <v>4066</v>
      </c>
      <c r="Q4067">
        <v>72725</v>
      </c>
      <c r="S4067">
        <v>234876</v>
      </c>
    </row>
    <row r="4068" spans="16:19" x14ac:dyDescent="0.3">
      <c r="P4068">
        <v>4067</v>
      </c>
      <c r="Q4068">
        <v>62790</v>
      </c>
      <c r="S4068">
        <v>295823</v>
      </c>
    </row>
    <row r="4069" spans="16:19" x14ac:dyDescent="0.3">
      <c r="P4069">
        <v>4068</v>
      </c>
      <c r="Q4069">
        <v>-297269</v>
      </c>
      <c r="S4069">
        <v>-5287</v>
      </c>
    </row>
    <row r="4070" spans="16:19" x14ac:dyDescent="0.3">
      <c r="P4070">
        <v>4069</v>
      </c>
      <c r="Q4070">
        <v>701914</v>
      </c>
      <c r="S4070">
        <v>-154464</v>
      </c>
    </row>
    <row r="4071" spans="16:19" x14ac:dyDescent="0.3">
      <c r="P4071">
        <v>4070</v>
      </c>
      <c r="Q4071">
        <v>-424722</v>
      </c>
      <c r="S4071">
        <v>261199</v>
      </c>
    </row>
    <row r="4072" spans="16:19" x14ac:dyDescent="0.3">
      <c r="P4072">
        <v>4071</v>
      </c>
      <c r="Q4072">
        <v>318736</v>
      </c>
      <c r="S4072">
        <v>-104879</v>
      </c>
    </row>
    <row r="4073" spans="16:19" x14ac:dyDescent="0.3">
      <c r="P4073">
        <v>4072</v>
      </c>
      <c r="Q4073">
        <v>-735353</v>
      </c>
      <c r="S4073">
        <v>-845802</v>
      </c>
    </row>
    <row r="4074" spans="16:19" x14ac:dyDescent="0.3">
      <c r="P4074">
        <v>4073</v>
      </c>
      <c r="Q4074">
        <v>450724</v>
      </c>
      <c r="S4074">
        <v>154553</v>
      </c>
    </row>
    <row r="4075" spans="16:19" x14ac:dyDescent="0.3">
      <c r="P4075">
        <v>4074</v>
      </c>
      <c r="Q4075">
        <v>-297686</v>
      </c>
      <c r="S4075">
        <v>368834</v>
      </c>
    </row>
    <row r="4076" spans="16:19" x14ac:dyDescent="0.3">
      <c r="P4076">
        <v>4075</v>
      </c>
      <c r="Q4076">
        <v>107861</v>
      </c>
      <c r="S4076">
        <v>38917</v>
      </c>
    </row>
    <row r="4077" spans="16:19" x14ac:dyDescent="0.3">
      <c r="P4077">
        <v>4076</v>
      </c>
      <c r="Q4077">
        <v>270613</v>
      </c>
      <c r="S4077">
        <v>33118</v>
      </c>
    </row>
    <row r="4078" spans="16:19" x14ac:dyDescent="0.3">
      <c r="P4078">
        <v>4077</v>
      </c>
      <c r="Q4078">
        <v>-707861</v>
      </c>
      <c r="S4078">
        <v>50539</v>
      </c>
    </row>
    <row r="4079" spans="16:19" x14ac:dyDescent="0.3">
      <c r="P4079">
        <v>4078</v>
      </c>
      <c r="Q4079">
        <v>-776872</v>
      </c>
      <c r="S4079">
        <v>-167776</v>
      </c>
    </row>
    <row r="4080" spans="16:19" x14ac:dyDescent="0.3">
      <c r="P4080">
        <v>4079</v>
      </c>
      <c r="Q4080">
        <v>334314</v>
      </c>
      <c r="S4080">
        <v>-70904</v>
      </c>
    </row>
    <row r="4081" spans="16:19" x14ac:dyDescent="0.3">
      <c r="P4081">
        <v>4080</v>
      </c>
      <c r="Q4081">
        <v>356080</v>
      </c>
      <c r="S4081">
        <v>-196544</v>
      </c>
    </row>
    <row r="4082" spans="16:19" x14ac:dyDescent="0.3">
      <c r="P4082">
        <v>4081</v>
      </c>
      <c r="Q4082">
        <v>-810515</v>
      </c>
      <c r="S4082">
        <v>312482</v>
      </c>
    </row>
    <row r="4083" spans="16:19" x14ac:dyDescent="0.3">
      <c r="P4083">
        <v>4082</v>
      </c>
      <c r="Q4083">
        <v>439558</v>
      </c>
      <c r="S4083">
        <v>-413483</v>
      </c>
    </row>
    <row r="4084" spans="16:19" x14ac:dyDescent="0.3">
      <c r="P4084">
        <v>4083</v>
      </c>
      <c r="Q4084">
        <v>-69186</v>
      </c>
      <c r="S4084">
        <v>-579690</v>
      </c>
    </row>
    <row r="4085" spans="16:19" x14ac:dyDescent="0.3">
      <c r="P4085">
        <v>4084</v>
      </c>
      <c r="Q4085">
        <v>-597960</v>
      </c>
      <c r="S4085">
        <v>-379525</v>
      </c>
    </row>
    <row r="4086" spans="16:19" x14ac:dyDescent="0.3">
      <c r="P4086">
        <v>4085</v>
      </c>
      <c r="Q4086">
        <v>171949</v>
      </c>
      <c r="S4086">
        <v>700157</v>
      </c>
    </row>
    <row r="4087" spans="16:19" x14ac:dyDescent="0.3">
      <c r="P4087">
        <v>4086</v>
      </c>
      <c r="Q4087">
        <v>201430</v>
      </c>
      <c r="S4087">
        <v>-569302</v>
      </c>
    </row>
    <row r="4088" spans="16:19" x14ac:dyDescent="0.3">
      <c r="P4088">
        <v>4087</v>
      </c>
      <c r="Q4088">
        <v>-210330</v>
      </c>
      <c r="S4088">
        <v>-183192</v>
      </c>
    </row>
    <row r="4089" spans="16:19" x14ac:dyDescent="0.3">
      <c r="P4089">
        <v>4088</v>
      </c>
      <c r="Q4089">
        <v>688426</v>
      </c>
      <c r="S4089">
        <v>-297314</v>
      </c>
    </row>
    <row r="4090" spans="16:19" x14ac:dyDescent="0.3">
      <c r="P4090">
        <v>4089</v>
      </c>
      <c r="Q4090">
        <v>-43367</v>
      </c>
      <c r="S4090">
        <v>-116001</v>
      </c>
    </row>
    <row r="4091" spans="16:19" x14ac:dyDescent="0.3">
      <c r="P4091">
        <v>4090</v>
      </c>
      <c r="Q4091">
        <v>597417</v>
      </c>
      <c r="S4091">
        <v>517879</v>
      </c>
    </row>
    <row r="4092" spans="16:19" x14ac:dyDescent="0.3">
      <c r="P4092">
        <v>4091</v>
      </c>
      <c r="Q4092">
        <v>446275</v>
      </c>
      <c r="S4092">
        <v>120715</v>
      </c>
    </row>
    <row r="4093" spans="16:19" x14ac:dyDescent="0.3">
      <c r="P4093">
        <v>4092</v>
      </c>
      <c r="Q4093">
        <v>362704</v>
      </c>
      <c r="S4093">
        <v>561413</v>
      </c>
    </row>
    <row r="4094" spans="16:19" x14ac:dyDescent="0.3">
      <c r="P4094">
        <v>4093</v>
      </c>
      <c r="Q4094">
        <v>-824897</v>
      </c>
      <c r="S4094">
        <v>-360502</v>
      </c>
    </row>
    <row r="4095" spans="16:19" x14ac:dyDescent="0.3">
      <c r="P4095">
        <v>4094</v>
      </c>
      <c r="Q4095">
        <v>299303</v>
      </c>
      <c r="S4095">
        <v>-306510</v>
      </c>
    </row>
    <row r="4096" spans="16:19" x14ac:dyDescent="0.3">
      <c r="P4096">
        <v>4095</v>
      </c>
      <c r="Q4096">
        <v>-344205</v>
      </c>
      <c r="S4096">
        <v>11112</v>
      </c>
    </row>
    <row r="4097" spans="16:19" x14ac:dyDescent="0.3">
      <c r="P4097">
        <v>4096</v>
      </c>
      <c r="Q4097">
        <v>-708110</v>
      </c>
      <c r="S4097">
        <v>348332</v>
      </c>
    </row>
    <row r="4098" spans="16:19" x14ac:dyDescent="0.3">
      <c r="P4098">
        <v>4097</v>
      </c>
      <c r="Q4098">
        <v>430566</v>
      </c>
      <c r="S4098">
        <v>-161164</v>
      </c>
    </row>
    <row r="4099" spans="16:19" x14ac:dyDescent="0.3">
      <c r="P4099">
        <v>4098</v>
      </c>
      <c r="Q4099">
        <v>-753558</v>
      </c>
      <c r="S4099">
        <v>512534</v>
      </c>
    </row>
    <row r="4100" spans="16:19" x14ac:dyDescent="0.3">
      <c r="P4100">
        <v>4099</v>
      </c>
      <c r="Q4100">
        <v>-635629</v>
      </c>
      <c r="S4100">
        <v>-308115</v>
      </c>
    </row>
    <row r="4101" spans="16:19" x14ac:dyDescent="0.3">
      <c r="P4101">
        <v>4100</v>
      </c>
      <c r="Q4101">
        <v>74741</v>
      </c>
      <c r="S4101">
        <v>-774108</v>
      </c>
    </row>
    <row r="4102" spans="16:19" x14ac:dyDescent="0.3">
      <c r="P4102">
        <v>4101</v>
      </c>
      <c r="Q4102">
        <v>93787</v>
      </c>
      <c r="S4102">
        <v>483197</v>
      </c>
    </row>
    <row r="4103" spans="16:19" x14ac:dyDescent="0.3">
      <c r="P4103">
        <v>4102</v>
      </c>
      <c r="Q4103">
        <v>317109</v>
      </c>
      <c r="S4103">
        <v>-728249</v>
      </c>
    </row>
    <row r="4104" spans="16:19" x14ac:dyDescent="0.3">
      <c r="P4104">
        <v>4103</v>
      </c>
      <c r="Q4104">
        <v>-423383</v>
      </c>
      <c r="S4104">
        <v>268933</v>
      </c>
    </row>
    <row r="4105" spans="16:19" x14ac:dyDescent="0.3">
      <c r="P4105">
        <v>4104</v>
      </c>
      <c r="Q4105">
        <v>-381924</v>
      </c>
      <c r="S4105">
        <v>8000</v>
      </c>
    </row>
    <row r="4106" spans="16:19" x14ac:dyDescent="0.3">
      <c r="P4106">
        <v>4105</v>
      </c>
      <c r="Q4106">
        <v>435255</v>
      </c>
      <c r="S4106">
        <v>-383122</v>
      </c>
    </row>
    <row r="4107" spans="16:19" x14ac:dyDescent="0.3">
      <c r="P4107">
        <v>4106</v>
      </c>
      <c r="Q4107">
        <v>264717</v>
      </c>
      <c r="S4107">
        <v>248402</v>
      </c>
    </row>
    <row r="4108" spans="16:19" x14ac:dyDescent="0.3">
      <c r="P4108">
        <v>4107</v>
      </c>
      <c r="Q4108">
        <v>-212864</v>
      </c>
      <c r="S4108">
        <v>242162</v>
      </c>
    </row>
    <row r="4109" spans="16:19" x14ac:dyDescent="0.3">
      <c r="P4109">
        <v>4108</v>
      </c>
      <c r="Q4109">
        <v>588926</v>
      </c>
      <c r="S4109">
        <v>214633</v>
      </c>
    </row>
    <row r="4110" spans="16:19" x14ac:dyDescent="0.3">
      <c r="P4110">
        <v>4109</v>
      </c>
      <c r="Q4110">
        <v>500087</v>
      </c>
      <c r="S4110">
        <v>-657681</v>
      </c>
    </row>
    <row r="4111" spans="16:19" x14ac:dyDescent="0.3">
      <c r="P4111">
        <v>4110</v>
      </c>
      <c r="Q4111">
        <v>547059</v>
      </c>
      <c r="S4111">
        <v>574248</v>
      </c>
    </row>
    <row r="4112" spans="16:19" x14ac:dyDescent="0.3">
      <c r="P4112">
        <v>4111</v>
      </c>
      <c r="Q4112">
        <v>-696706</v>
      </c>
      <c r="S4112">
        <v>-685912</v>
      </c>
    </row>
    <row r="4113" spans="16:19" x14ac:dyDescent="0.3">
      <c r="P4113">
        <v>4112</v>
      </c>
      <c r="Q4113">
        <v>506075</v>
      </c>
      <c r="S4113">
        <v>-34594</v>
      </c>
    </row>
    <row r="4114" spans="16:19" x14ac:dyDescent="0.3">
      <c r="P4114">
        <v>4113</v>
      </c>
      <c r="Q4114">
        <v>734138</v>
      </c>
      <c r="S4114">
        <v>204770</v>
      </c>
    </row>
    <row r="4115" spans="16:19" x14ac:dyDescent="0.3">
      <c r="P4115">
        <v>4114</v>
      </c>
      <c r="Q4115">
        <v>13883</v>
      </c>
      <c r="S4115">
        <v>224020</v>
      </c>
    </row>
    <row r="4116" spans="16:19" x14ac:dyDescent="0.3">
      <c r="P4116">
        <v>4115</v>
      </c>
      <c r="Q4116">
        <v>946847</v>
      </c>
      <c r="S4116">
        <v>136547</v>
      </c>
    </row>
    <row r="4117" spans="16:19" x14ac:dyDescent="0.3">
      <c r="P4117">
        <v>4116</v>
      </c>
      <c r="Q4117">
        <v>-69588</v>
      </c>
      <c r="S4117">
        <v>542540</v>
      </c>
    </row>
    <row r="4118" spans="16:19" x14ac:dyDescent="0.3">
      <c r="P4118">
        <v>4117</v>
      </c>
      <c r="Q4118">
        <v>-522242</v>
      </c>
      <c r="S4118">
        <v>153494</v>
      </c>
    </row>
    <row r="4119" spans="16:19" x14ac:dyDescent="0.3">
      <c r="P4119">
        <v>4118</v>
      </c>
      <c r="Q4119">
        <v>-742590</v>
      </c>
      <c r="S4119">
        <v>540979</v>
      </c>
    </row>
    <row r="4120" spans="16:19" x14ac:dyDescent="0.3">
      <c r="P4120">
        <v>4119</v>
      </c>
      <c r="Q4120">
        <v>-22667</v>
      </c>
      <c r="S4120">
        <v>-172518</v>
      </c>
    </row>
    <row r="4121" spans="16:19" x14ac:dyDescent="0.3">
      <c r="P4121">
        <v>4120</v>
      </c>
      <c r="Q4121">
        <v>82205</v>
      </c>
      <c r="S4121">
        <v>104123</v>
      </c>
    </row>
    <row r="4122" spans="16:19" x14ac:dyDescent="0.3">
      <c r="P4122">
        <v>4121</v>
      </c>
      <c r="Q4122">
        <v>354475</v>
      </c>
      <c r="S4122">
        <v>-66344</v>
      </c>
    </row>
    <row r="4123" spans="16:19" x14ac:dyDescent="0.3">
      <c r="P4123">
        <v>4122</v>
      </c>
      <c r="Q4123">
        <v>193611</v>
      </c>
      <c r="S4123">
        <v>-372280</v>
      </c>
    </row>
    <row r="4124" spans="16:19" x14ac:dyDescent="0.3">
      <c r="P4124">
        <v>4123</v>
      </c>
      <c r="Q4124">
        <v>361701</v>
      </c>
      <c r="S4124">
        <v>142586</v>
      </c>
    </row>
    <row r="4125" spans="16:19" x14ac:dyDescent="0.3">
      <c r="P4125">
        <v>4124</v>
      </c>
      <c r="Q4125">
        <v>-89873</v>
      </c>
      <c r="S4125">
        <v>330484</v>
      </c>
    </row>
    <row r="4126" spans="16:19" x14ac:dyDescent="0.3">
      <c r="P4126">
        <v>4125</v>
      </c>
      <c r="Q4126">
        <v>-695155</v>
      </c>
      <c r="S4126">
        <v>219503</v>
      </c>
    </row>
    <row r="4127" spans="16:19" x14ac:dyDescent="0.3">
      <c r="P4127">
        <v>4126</v>
      </c>
      <c r="Q4127">
        <v>400494</v>
      </c>
      <c r="S4127">
        <v>-360621</v>
      </c>
    </row>
    <row r="4128" spans="16:19" x14ac:dyDescent="0.3">
      <c r="P4128">
        <v>4127</v>
      </c>
      <c r="Q4128">
        <v>-33731</v>
      </c>
      <c r="S4128">
        <v>656540</v>
      </c>
    </row>
    <row r="4129" spans="16:19" x14ac:dyDescent="0.3">
      <c r="P4129">
        <v>4128</v>
      </c>
      <c r="Q4129">
        <v>-533913</v>
      </c>
      <c r="S4129">
        <v>-123825</v>
      </c>
    </row>
    <row r="4130" spans="16:19" x14ac:dyDescent="0.3">
      <c r="P4130">
        <v>4129</v>
      </c>
      <c r="Q4130">
        <v>195568</v>
      </c>
      <c r="S4130">
        <v>-132965</v>
      </c>
    </row>
    <row r="4131" spans="16:19" x14ac:dyDescent="0.3">
      <c r="P4131">
        <v>4130</v>
      </c>
      <c r="Q4131">
        <v>-225606</v>
      </c>
      <c r="S4131">
        <v>-534695</v>
      </c>
    </row>
    <row r="4132" spans="16:19" x14ac:dyDescent="0.3">
      <c r="P4132">
        <v>4131</v>
      </c>
      <c r="Q4132">
        <v>48376</v>
      </c>
      <c r="S4132">
        <v>-159705</v>
      </c>
    </row>
    <row r="4133" spans="16:19" x14ac:dyDescent="0.3">
      <c r="P4133">
        <v>4132</v>
      </c>
      <c r="Q4133">
        <v>-403869</v>
      </c>
      <c r="S4133">
        <v>-102182</v>
      </c>
    </row>
    <row r="4134" spans="16:19" x14ac:dyDescent="0.3">
      <c r="P4134">
        <v>4133</v>
      </c>
      <c r="Q4134">
        <v>-317933</v>
      </c>
      <c r="S4134">
        <v>-68078</v>
      </c>
    </row>
    <row r="4135" spans="16:19" x14ac:dyDescent="0.3">
      <c r="P4135">
        <v>4134</v>
      </c>
      <c r="Q4135">
        <v>111892</v>
      </c>
      <c r="S4135">
        <v>206669</v>
      </c>
    </row>
    <row r="4136" spans="16:19" x14ac:dyDescent="0.3">
      <c r="P4136">
        <v>4135</v>
      </c>
      <c r="Q4136">
        <v>-65788</v>
      </c>
      <c r="S4136">
        <v>890791</v>
      </c>
    </row>
    <row r="4137" spans="16:19" x14ac:dyDescent="0.3">
      <c r="P4137">
        <v>4136</v>
      </c>
      <c r="Q4137">
        <v>72125</v>
      </c>
      <c r="S4137">
        <v>503809</v>
      </c>
    </row>
    <row r="4138" spans="16:19" x14ac:dyDescent="0.3">
      <c r="P4138">
        <v>4137</v>
      </c>
      <c r="Q4138">
        <v>419792</v>
      </c>
      <c r="S4138">
        <v>679863</v>
      </c>
    </row>
    <row r="4139" spans="16:19" x14ac:dyDescent="0.3">
      <c r="P4139">
        <v>4138</v>
      </c>
      <c r="Q4139">
        <v>309548</v>
      </c>
      <c r="S4139">
        <v>-427371</v>
      </c>
    </row>
    <row r="4140" spans="16:19" x14ac:dyDescent="0.3">
      <c r="P4140">
        <v>4139</v>
      </c>
      <c r="Q4140">
        <v>531459</v>
      </c>
      <c r="S4140">
        <v>301370</v>
      </c>
    </row>
    <row r="4141" spans="16:19" x14ac:dyDescent="0.3">
      <c r="P4141">
        <v>4140</v>
      </c>
      <c r="Q4141">
        <v>-370166</v>
      </c>
      <c r="S4141">
        <v>-232321</v>
      </c>
    </row>
    <row r="4142" spans="16:19" x14ac:dyDescent="0.3">
      <c r="P4142">
        <v>4141</v>
      </c>
      <c r="Q4142">
        <v>584702</v>
      </c>
      <c r="S4142">
        <v>469212</v>
      </c>
    </row>
    <row r="4143" spans="16:19" x14ac:dyDescent="0.3">
      <c r="P4143">
        <v>4142</v>
      </c>
      <c r="Q4143">
        <v>133156</v>
      </c>
      <c r="S4143">
        <v>-178108</v>
      </c>
    </row>
    <row r="4144" spans="16:19" x14ac:dyDescent="0.3">
      <c r="P4144">
        <v>4143</v>
      </c>
      <c r="Q4144">
        <v>-734478</v>
      </c>
      <c r="S4144">
        <v>359765</v>
      </c>
    </row>
    <row r="4145" spans="16:19" x14ac:dyDescent="0.3">
      <c r="P4145">
        <v>4144</v>
      </c>
      <c r="Q4145">
        <v>-171119</v>
      </c>
      <c r="S4145">
        <v>318668</v>
      </c>
    </row>
    <row r="4146" spans="16:19" x14ac:dyDescent="0.3">
      <c r="P4146">
        <v>4145</v>
      </c>
      <c r="Q4146">
        <v>280256</v>
      </c>
      <c r="S4146">
        <v>530152</v>
      </c>
    </row>
    <row r="4147" spans="16:19" x14ac:dyDescent="0.3">
      <c r="P4147">
        <v>4146</v>
      </c>
      <c r="Q4147">
        <v>621210</v>
      </c>
      <c r="S4147">
        <v>151040</v>
      </c>
    </row>
    <row r="4148" spans="16:19" x14ac:dyDescent="0.3">
      <c r="P4148">
        <v>4147</v>
      </c>
      <c r="Q4148">
        <v>587524</v>
      </c>
      <c r="S4148">
        <v>711118</v>
      </c>
    </row>
    <row r="4149" spans="16:19" x14ac:dyDescent="0.3">
      <c r="P4149">
        <v>4148</v>
      </c>
      <c r="Q4149">
        <v>-14001</v>
      </c>
      <c r="S4149">
        <v>-162257</v>
      </c>
    </row>
    <row r="4150" spans="16:19" x14ac:dyDescent="0.3">
      <c r="P4150">
        <v>4149</v>
      </c>
      <c r="Q4150">
        <v>129193</v>
      </c>
      <c r="S4150">
        <v>520377</v>
      </c>
    </row>
    <row r="4151" spans="16:19" x14ac:dyDescent="0.3">
      <c r="P4151">
        <v>4150</v>
      </c>
      <c r="Q4151">
        <v>-198708</v>
      </c>
      <c r="S4151">
        <v>378663</v>
      </c>
    </row>
    <row r="4152" spans="16:19" x14ac:dyDescent="0.3">
      <c r="P4152">
        <v>4151</v>
      </c>
      <c r="Q4152">
        <v>600705</v>
      </c>
      <c r="S4152">
        <v>-3935</v>
      </c>
    </row>
    <row r="4153" spans="16:19" x14ac:dyDescent="0.3">
      <c r="P4153">
        <v>4152</v>
      </c>
      <c r="Q4153">
        <v>-438755</v>
      </c>
      <c r="S4153">
        <v>179034</v>
      </c>
    </row>
    <row r="4154" spans="16:19" x14ac:dyDescent="0.3">
      <c r="P4154">
        <v>4153</v>
      </c>
      <c r="Q4154">
        <v>-361698</v>
      </c>
      <c r="S4154">
        <v>-496178</v>
      </c>
    </row>
    <row r="4155" spans="16:19" x14ac:dyDescent="0.3">
      <c r="P4155">
        <v>4154</v>
      </c>
      <c r="Q4155">
        <v>-505647</v>
      </c>
      <c r="S4155">
        <v>-237762</v>
      </c>
    </row>
    <row r="4156" spans="16:19" x14ac:dyDescent="0.3">
      <c r="P4156">
        <v>4155</v>
      </c>
      <c r="Q4156">
        <v>-367519</v>
      </c>
      <c r="S4156">
        <v>-842002</v>
      </c>
    </row>
    <row r="4157" spans="16:19" x14ac:dyDescent="0.3">
      <c r="P4157">
        <v>4156</v>
      </c>
      <c r="Q4157">
        <v>6483</v>
      </c>
      <c r="S4157">
        <v>-172828</v>
      </c>
    </row>
    <row r="4158" spans="16:19" x14ac:dyDescent="0.3">
      <c r="P4158">
        <v>4157</v>
      </c>
      <c r="Q4158">
        <v>651128</v>
      </c>
      <c r="S4158">
        <v>482567</v>
      </c>
    </row>
    <row r="4159" spans="16:19" x14ac:dyDescent="0.3">
      <c r="P4159">
        <v>4158</v>
      </c>
      <c r="Q4159">
        <v>826727</v>
      </c>
      <c r="S4159">
        <v>539202</v>
      </c>
    </row>
    <row r="4160" spans="16:19" x14ac:dyDescent="0.3">
      <c r="P4160">
        <v>4159</v>
      </c>
      <c r="Q4160">
        <v>15691</v>
      </c>
      <c r="S4160">
        <v>703076</v>
      </c>
    </row>
    <row r="4161" spans="16:19" x14ac:dyDescent="0.3">
      <c r="P4161">
        <v>4160</v>
      </c>
      <c r="Q4161">
        <v>316830</v>
      </c>
      <c r="S4161">
        <v>-235853</v>
      </c>
    </row>
    <row r="4162" spans="16:19" x14ac:dyDescent="0.3">
      <c r="P4162">
        <v>4161</v>
      </c>
      <c r="Q4162">
        <v>1008326</v>
      </c>
      <c r="S4162">
        <v>675618</v>
      </c>
    </row>
    <row r="4163" spans="16:19" x14ac:dyDescent="0.3">
      <c r="P4163">
        <v>4162</v>
      </c>
      <c r="Q4163">
        <v>-192961</v>
      </c>
      <c r="S4163">
        <v>-769941</v>
      </c>
    </row>
    <row r="4164" spans="16:19" x14ac:dyDescent="0.3">
      <c r="P4164">
        <v>4163</v>
      </c>
      <c r="Q4164">
        <v>-319831</v>
      </c>
      <c r="S4164">
        <v>732432</v>
      </c>
    </row>
    <row r="4165" spans="16:19" x14ac:dyDescent="0.3">
      <c r="P4165">
        <v>4164</v>
      </c>
      <c r="Q4165">
        <v>-69601</v>
      </c>
      <c r="S4165">
        <v>22803</v>
      </c>
    </row>
    <row r="4166" spans="16:19" x14ac:dyDescent="0.3">
      <c r="P4166">
        <v>4165</v>
      </c>
      <c r="Q4166">
        <v>124387</v>
      </c>
      <c r="S4166">
        <v>241176</v>
      </c>
    </row>
    <row r="4167" spans="16:19" x14ac:dyDescent="0.3">
      <c r="P4167">
        <v>4166</v>
      </c>
      <c r="Q4167">
        <v>-73745</v>
      </c>
      <c r="S4167">
        <v>799725</v>
      </c>
    </row>
    <row r="4168" spans="16:19" x14ac:dyDescent="0.3">
      <c r="P4168">
        <v>4167</v>
      </c>
      <c r="Q4168">
        <v>-386124</v>
      </c>
      <c r="S4168">
        <v>-425387</v>
      </c>
    </row>
    <row r="4169" spans="16:19" x14ac:dyDescent="0.3">
      <c r="P4169">
        <v>4168</v>
      </c>
      <c r="Q4169">
        <v>-273778</v>
      </c>
      <c r="S4169">
        <v>-577624</v>
      </c>
    </row>
    <row r="4170" spans="16:19" x14ac:dyDescent="0.3">
      <c r="P4170">
        <v>4169</v>
      </c>
      <c r="Q4170">
        <v>-607250</v>
      </c>
      <c r="S4170">
        <v>-238012</v>
      </c>
    </row>
    <row r="4171" spans="16:19" x14ac:dyDescent="0.3">
      <c r="P4171">
        <v>4170</v>
      </c>
      <c r="Q4171">
        <v>545588</v>
      </c>
      <c r="S4171">
        <v>-55055</v>
      </c>
    </row>
    <row r="4172" spans="16:19" x14ac:dyDescent="0.3">
      <c r="P4172">
        <v>4171</v>
      </c>
      <c r="Q4172">
        <v>-40192</v>
      </c>
      <c r="S4172">
        <v>-51015</v>
      </c>
    </row>
    <row r="4173" spans="16:19" x14ac:dyDescent="0.3">
      <c r="P4173">
        <v>4172</v>
      </c>
      <c r="Q4173">
        <v>-423740</v>
      </c>
      <c r="S4173">
        <v>600838</v>
      </c>
    </row>
    <row r="4174" spans="16:19" x14ac:dyDescent="0.3">
      <c r="P4174">
        <v>4173</v>
      </c>
      <c r="Q4174">
        <v>364692</v>
      </c>
      <c r="S4174">
        <v>-296650</v>
      </c>
    </row>
    <row r="4175" spans="16:19" x14ac:dyDescent="0.3">
      <c r="P4175">
        <v>4174</v>
      </c>
      <c r="Q4175">
        <v>-581905</v>
      </c>
      <c r="S4175">
        <v>366716</v>
      </c>
    </row>
    <row r="4176" spans="16:19" x14ac:dyDescent="0.3">
      <c r="P4176">
        <v>4175</v>
      </c>
      <c r="Q4176">
        <v>-134812</v>
      </c>
      <c r="S4176">
        <v>-595486</v>
      </c>
    </row>
    <row r="4177" spans="16:19" x14ac:dyDescent="0.3">
      <c r="P4177">
        <v>4176</v>
      </c>
      <c r="Q4177">
        <v>78687</v>
      </c>
      <c r="S4177">
        <v>-379112</v>
      </c>
    </row>
    <row r="4178" spans="16:19" x14ac:dyDescent="0.3">
      <c r="P4178">
        <v>4177</v>
      </c>
      <c r="Q4178">
        <v>-9485</v>
      </c>
      <c r="S4178">
        <v>737825</v>
      </c>
    </row>
    <row r="4179" spans="16:19" x14ac:dyDescent="0.3">
      <c r="P4179">
        <v>4178</v>
      </c>
      <c r="Q4179">
        <v>-886198</v>
      </c>
      <c r="S4179">
        <v>622057</v>
      </c>
    </row>
    <row r="4180" spans="16:19" x14ac:dyDescent="0.3">
      <c r="P4180">
        <v>4179</v>
      </c>
      <c r="Q4180">
        <v>19457</v>
      </c>
      <c r="S4180">
        <v>1064163</v>
      </c>
    </row>
    <row r="4181" spans="16:19" x14ac:dyDescent="0.3">
      <c r="P4181">
        <v>4180</v>
      </c>
      <c r="Q4181">
        <v>1015872</v>
      </c>
      <c r="S4181">
        <v>467688</v>
      </c>
    </row>
    <row r="4182" spans="16:19" x14ac:dyDescent="0.3">
      <c r="P4182">
        <v>4181</v>
      </c>
      <c r="Q4182">
        <v>299947</v>
      </c>
      <c r="S4182">
        <v>466549</v>
      </c>
    </row>
    <row r="4183" spans="16:19" x14ac:dyDescent="0.3">
      <c r="P4183">
        <v>4182</v>
      </c>
      <c r="Q4183">
        <v>-481577</v>
      </c>
      <c r="S4183">
        <v>-238266</v>
      </c>
    </row>
    <row r="4184" spans="16:19" x14ac:dyDescent="0.3">
      <c r="P4184">
        <v>4183</v>
      </c>
      <c r="Q4184">
        <v>333870</v>
      </c>
      <c r="S4184">
        <v>-422246</v>
      </c>
    </row>
    <row r="4185" spans="16:19" x14ac:dyDescent="0.3">
      <c r="P4185">
        <v>4184</v>
      </c>
      <c r="Q4185">
        <v>-181033</v>
      </c>
      <c r="S4185">
        <v>345852</v>
      </c>
    </row>
    <row r="4186" spans="16:19" x14ac:dyDescent="0.3">
      <c r="P4186">
        <v>4185</v>
      </c>
      <c r="Q4186">
        <v>278119</v>
      </c>
      <c r="S4186">
        <v>-36719</v>
      </c>
    </row>
    <row r="4187" spans="16:19" x14ac:dyDescent="0.3">
      <c r="P4187">
        <v>4186</v>
      </c>
      <c r="Q4187">
        <v>-448511</v>
      </c>
      <c r="S4187">
        <v>522105</v>
      </c>
    </row>
    <row r="4188" spans="16:19" x14ac:dyDescent="0.3">
      <c r="P4188">
        <v>4187</v>
      </c>
      <c r="Q4188">
        <v>533971</v>
      </c>
      <c r="S4188">
        <v>-5492</v>
      </c>
    </row>
    <row r="4189" spans="16:19" x14ac:dyDescent="0.3">
      <c r="P4189">
        <v>4188</v>
      </c>
      <c r="Q4189">
        <v>-651507</v>
      </c>
      <c r="S4189">
        <v>256134</v>
      </c>
    </row>
    <row r="4190" spans="16:19" x14ac:dyDescent="0.3">
      <c r="P4190">
        <v>4189</v>
      </c>
      <c r="Q4190">
        <v>-339808</v>
      </c>
      <c r="S4190">
        <v>821250</v>
      </c>
    </row>
    <row r="4191" spans="16:19" x14ac:dyDescent="0.3">
      <c r="P4191">
        <v>4190</v>
      </c>
      <c r="Q4191">
        <v>47926</v>
      </c>
      <c r="S4191">
        <v>91939</v>
      </c>
    </row>
    <row r="4192" spans="16:19" x14ac:dyDescent="0.3">
      <c r="P4192">
        <v>4191</v>
      </c>
      <c r="Q4192">
        <v>-423435</v>
      </c>
      <c r="S4192">
        <v>-391103</v>
      </c>
    </row>
    <row r="4193" spans="16:19" x14ac:dyDescent="0.3">
      <c r="P4193">
        <v>4192</v>
      </c>
      <c r="Q4193">
        <v>-123909</v>
      </c>
      <c r="S4193">
        <v>-393439</v>
      </c>
    </row>
    <row r="4194" spans="16:19" x14ac:dyDescent="0.3">
      <c r="P4194">
        <v>4193</v>
      </c>
      <c r="Q4194">
        <v>-466578</v>
      </c>
      <c r="S4194">
        <v>-785917</v>
      </c>
    </row>
    <row r="4195" spans="16:19" x14ac:dyDescent="0.3">
      <c r="P4195">
        <v>4194</v>
      </c>
      <c r="Q4195">
        <v>-764495</v>
      </c>
      <c r="S4195">
        <v>-5641</v>
      </c>
    </row>
    <row r="4196" spans="16:19" x14ac:dyDescent="0.3">
      <c r="P4196">
        <v>4195</v>
      </c>
      <c r="Q4196">
        <v>164778</v>
      </c>
      <c r="S4196">
        <v>-636922</v>
      </c>
    </row>
    <row r="4197" spans="16:19" x14ac:dyDescent="0.3">
      <c r="P4197">
        <v>4196</v>
      </c>
      <c r="Q4197">
        <v>-414328</v>
      </c>
      <c r="S4197">
        <v>-552443</v>
      </c>
    </row>
    <row r="4198" spans="16:19" x14ac:dyDescent="0.3">
      <c r="P4198">
        <v>4197</v>
      </c>
      <c r="Q4198">
        <v>-346172</v>
      </c>
      <c r="S4198">
        <v>322170</v>
      </c>
    </row>
    <row r="4199" spans="16:19" x14ac:dyDescent="0.3">
      <c r="P4199">
        <v>4198</v>
      </c>
      <c r="Q4199">
        <v>800512</v>
      </c>
      <c r="S4199">
        <v>650289</v>
      </c>
    </row>
    <row r="4200" spans="16:19" x14ac:dyDescent="0.3">
      <c r="P4200">
        <v>4199</v>
      </c>
      <c r="Q4200">
        <v>5061</v>
      </c>
      <c r="S4200">
        <v>341525</v>
      </c>
    </row>
    <row r="4201" spans="16:19" x14ac:dyDescent="0.3">
      <c r="P4201">
        <v>4200</v>
      </c>
      <c r="Q4201">
        <v>185870</v>
      </c>
      <c r="S4201">
        <v>394210</v>
      </c>
    </row>
    <row r="4202" spans="16:19" x14ac:dyDescent="0.3">
      <c r="P4202">
        <v>4201</v>
      </c>
      <c r="Q4202">
        <v>630778</v>
      </c>
      <c r="S4202">
        <v>167037</v>
      </c>
    </row>
    <row r="4203" spans="16:19" x14ac:dyDescent="0.3">
      <c r="P4203">
        <v>4202</v>
      </c>
      <c r="Q4203">
        <v>614654</v>
      </c>
      <c r="S4203">
        <v>253066</v>
      </c>
    </row>
    <row r="4204" spans="16:19" x14ac:dyDescent="0.3">
      <c r="P4204">
        <v>4203</v>
      </c>
      <c r="Q4204">
        <v>-721304</v>
      </c>
      <c r="S4204">
        <v>419051</v>
      </c>
    </row>
    <row r="4205" spans="16:19" x14ac:dyDescent="0.3">
      <c r="P4205">
        <v>4204</v>
      </c>
      <c r="Q4205">
        <v>-26353</v>
      </c>
      <c r="S4205">
        <v>-299948</v>
      </c>
    </row>
    <row r="4206" spans="16:19" x14ac:dyDescent="0.3">
      <c r="P4206">
        <v>4205</v>
      </c>
      <c r="Q4206">
        <v>608115</v>
      </c>
      <c r="S4206">
        <v>756265</v>
      </c>
    </row>
    <row r="4207" spans="16:19" x14ac:dyDescent="0.3">
      <c r="P4207">
        <v>4206</v>
      </c>
      <c r="Q4207">
        <v>-473863</v>
      </c>
      <c r="S4207">
        <v>-236144</v>
      </c>
    </row>
    <row r="4208" spans="16:19" x14ac:dyDescent="0.3">
      <c r="P4208">
        <v>4207</v>
      </c>
      <c r="Q4208">
        <v>138237</v>
      </c>
      <c r="S4208">
        <v>192480</v>
      </c>
    </row>
    <row r="4209" spans="16:19" x14ac:dyDescent="0.3">
      <c r="P4209">
        <v>4208</v>
      </c>
      <c r="Q4209">
        <v>415796</v>
      </c>
      <c r="S4209">
        <v>-219625</v>
      </c>
    </row>
    <row r="4210" spans="16:19" x14ac:dyDescent="0.3">
      <c r="P4210">
        <v>4209</v>
      </c>
      <c r="Q4210">
        <v>479700</v>
      </c>
      <c r="S4210">
        <v>-354997</v>
      </c>
    </row>
    <row r="4211" spans="16:19" x14ac:dyDescent="0.3">
      <c r="P4211">
        <v>4210</v>
      </c>
      <c r="Q4211">
        <v>691931</v>
      </c>
      <c r="S4211">
        <v>63959</v>
      </c>
    </row>
    <row r="4212" spans="16:19" x14ac:dyDescent="0.3">
      <c r="P4212">
        <v>4211</v>
      </c>
      <c r="Q4212">
        <v>916753</v>
      </c>
      <c r="S4212">
        <v>669280</v>
      </c>
    </row>
    <row r="4213" spans="16:19" x14ac:dyDescent="0.3">
      <c r="P4213">
        <v>4212</v>
      </c>
      <c r="Q4213">
        <v>266321</v>
      </c>
      <c r="S4213">
        <v>220007</v>
      </c>
    </row>
    <row r="4214" spans="16:19" x14ac:dyDescent="0.3">
      <c r="P4214">
        <v>4213</v>
      </c>
      <c r="Q4214">
        <v>-11039</v>
      </c>
      <c r="S4214">
        <v>695036</v>
      </c>
    </row>
    <row r="4215" spans="16:19" x14ac:dyDescent="0.3">
      <c r="P4215">
        <v>4214</v>
      </c>
      <c r="Q4215">
        <v>30451</v>
      </c>
      <c r="S4215">
        <v>273804</v>
      </c>
    </row>
    <row r="4216" spans="16:19" x14ac:dyDescent="0.3">
      <c r="P4216">
        <v>4215</v>
      </c>
      <c r="Q4216">
        <v>326275</v>
      </c>
      <c r="S4216">
        <v>372990</v>
      </c>
    </row>
    <row r="4217" spans="16:19" x14ac:dyDescent="0.3">
      <c r="P4217">
        <v>4216</v>
      </c>
      <c r="Q4217">
        <v>-13203</v>
      </c>
      <c r="S4217">
        <v>206844</v>
      </c>
    </row>
    <row r="4218" spans="16:19" x14ac:dyDescent="0.3">
      <c r="P4218">
        <v>4217</v>
      </c>
      <c r="Q4218">
        <v>-470027</v>
      </c>
      <c r="S4218">
        <v>-108066</v>
      </c>
    </row>
    <row r="4219" spans="16:19" x14ac:dyDescent="0.3">
      <c r="P4219">
        <v>4218</v>
      </c>
      <c r="Q4219">
        <v>22311</v>
      </c>
      <c r="S4219">
        <v>732076</v>
      </c>
    </row>
    <row r="4220" spans="16:19" x14ac:dyDescent="0.3">
      <c r="P4220">
        <v>4219</v>
      </c>
      <c r="Q4220">
        <v>84241</v>
      </c>
      <c r="S4220">
        <v>-134263</v>
      </c>
    </row>
    <row r="4221" spans="16:19" x14ac:dyDescent="0.3">
      <c r="P4221">
        <v>4220</v>
      </c>
      <c r="Q4221">
        <v>187657</v>
      </c>
      <c r="S4221">
        <v>-513901</v>
      </c>
    </row>
    <row r="4222" spans="16:19" x14ac:dyDescent="0.3">
      <c r="P4222">
        <v>4221</v>
      </c>
      <c r="Q4222">
        <v>-603914</v>
      </c>
      <c r="S4222">
        <v>267768</v>
      </c>
    </row>
    <row r="4223" spans="16:19" x14ac:dyDescent="0.3">
      <c r="P4223">
        <v>4222</v>
      </c>
      <c r="Q4223">
        <v>-210873</v>
      </c>
      <c r="S4223">
        <v>204100</v>
      </c>
    </row>
    <row r="4224" spans="16:19" x14ac:dyDescent="0.3">
      <c r="P4224">
        <v>4223</v>
      </c>
      <c r="Q4224">
        <v>275080</v>
      </c>
      <c r="S4224">
        <v>-114847</v>
      </c>
    </row>
    <row r="4225" spans="16:19" x14ac:dyDescent="0.3">
      <c r="P4225">
        <v>4224</v>
      </c>
      <c r="Q4225">
        <v>-410580</v>
      </c>
      <c r="S4225">
        <v>-712630</v>
      </c>
    </row>
    <row r="4226" spans="16:19" x14ac:dyDescent="0.3">
      <c r="P4226">
        <v>4225</v>
      </c>
      <c r="Q4226">
        <v>-59879</v>
      </c>
      <c r="S4226">
        <v>-162201</v>
      </c>
    </row>
    <row r="4227" spans="16:19" x14ac:dyDescent="0.3">
      <c r="P4227">
        <v>4226</v>
      </c>
      <c r="Q4227">
        <v>480870</v>
      </c>
      <c r="S4227">
        <v>-855404</v>
      </c>
    </row>
    <row r="4228" spans="16:19" x14ac:dyDescent="0.3">
      <c r="P4228">
        <v>4227</v>
      </c>
      <c r="Q4228">
        <v>638156</v>
      </c>
      <c r="S4228">
        <v>-246113</v>
      </c>
    </row>
    <row r="4229" spans="16:19" x14ac:dyDescent="0.3">
      <c r="P4229">
        <v>4228</v>
      </c>
      <c r="Q4229">
        <v>-340581</v>
      </c>
      <c r="S4229">
        <v>-645544</v>
      </c>
    </row>
    <row r="4230" spans="16:19" x14ac:dyDescent="0.3">
      <c r="P4230">
        <v>4229</v>
      </c>
      <c r="Q4230">
        <v>-219606</v>
      </c>
      <c r="S4230">
        <v>-673821</v>
      </c>
    </row>
    <row r="4231" spans="16:19" x14ac:dyDescent="0.3">
      <c r="P4231">
        <v>4230</v>
      </c>
      <c r="Q4231">
        <v>-259628</v>
      </c>
      <c r="S4231">
        <v>-277414</v>
      </c>
    </row>
    <row r="4232" spans="16:19" x14ac:dyDescent="0.3">
      <c r="P4232">
        <v>4231</v>
      </c>
      <c r="Q4232">
        <v>43193</v>
      </c>
      <c r="S4232">
        <v>-223969</v>
      </c>
    </row>
    <row r="4233" spans="16:19" x14ac:dyDescent="0.3">
      <c r="P4233">
        <v>4232</v>
      </c>
      <c r="Q4233">
        <v>229871</v>
      </c>
      <c r="S4233">
        <v>574443</v>
      </c>
    </row>
    <row r="4234" spans="16:19" x14ac:dyDescent="0.3">
      <c r="P4234">
        <v>4233</v>
      </c>
      <c r="Q4234">
        <v>706813</v>
      </c>
      <c r="S4234">
        <v>338778</v>
      </c>
    </row>
    <row r="4235" spans="16:19" x14ac:dyDescent="0.3">
      <c r="P4235">
        <v>4234</v>
      </c>
      <c r="Q4235">
        <v>-426027</v>
      </c>
      <c r="S4235">
        <v>-170678</v>
      </c>
    </row>
    <row r="4236" spans="16:19" x14ac:dyDescent="0.3">
      <c r="P4236">
        <v>4235</v>
      </c>
      <c r="Q4236">
        <v>-110735</v>
      </c>
      <c r="S4236">
        <v>156112</v>
      </c>
    </row>
    <row r="4237" spans="16:19" x14ac:dyDescent="0.3">
      <c r="P4237">
        <v>4236</v>
      </c>
      <c r="Q4237">
        <v>-119803</v>
      </c>
      <c r="S4237">
        <v>390985</v>
      </c>
    </row>
    <row r="4238" spans="16:19" x14ac:dyDescent="0.3">
      <c r="P4238">
        <v>4237</v>
      </c>
      <c r="Q4238">
        <v>629077</v>
      </c>
      <c r="S4238">
        <v>-687663</v>
      </c>
    </row>
    <row r="4239" spans="16:19" x14ac:dyDescent="0.3">
      <c r="P4239">
        <v>4238</v>
      </c>
      <c r="Q4239">
        <v>146348</v>
      </c>
      <c r="S4239">
        <v>-551370</v>
      </c>
    </row>
    <row r="4240" spans="16:19" x14ac:dyDescent="0.3">
      <c r="P4240">
        <v>4239</v>
      </c>
      <c r="Q4240">
        <v>-504702</v>
      </c>
      <c r="S4240">
        <v>158614</v>
      </c>
    </row>
    <row r="4241" spans="16:19" x14ac:dyDescent="0.3">
      <c r="P4241">
        <v>4240</v>
      </c>
      <c r="Q4241">
        <v>152984</v>
      </c>
      <c r="S4241">
        <v>476259</v>
      </c>
    </row>
    <row r="4242" spans="16:19" x14ac:dyDescent="0.3">
      <c r="P4242">
        <v>4241</v>
      </c>
      <c r="Q4242">
        <v>-381630</v>
      </c>
      <c r="S4242">
        <v>-54914</v>
      </c>
    </row>
    <row r="4243" spans="16:19" x14ac:dyDescent="0.3">
      <c r="P4243">
        <v>4242</v>
      </c>
      <c r="Q4243">
        <v>521377</v>
      </c>
      <c r="S4243">
        <v>-301854</v>
      </c>
    </row>
    <row r="4244" spans="16:19" x14ac:dyDescent="0.3">
      <c r="P4244">
        <v>4243</v>
      </c>
      <c r="Q4244">
        <v>-316786</v>
      </c>
      <c r="S4244">
        <v>391869</v>
      </c>
    </row>
    <row r="4245" spans="16:19" x14ac:dyDescent="0.3">
      <c r="P4245">
        <v>4244</v>
      </c>
      <c r="Q4245">
        <v>459853</v>
      </c>
      <c r="S4245">
        <v>-330639</v>
      </c>
    </row>
    <row r="4246" spans="16:19" x14ac:dyDescent="0.3">
      <c r="P4246">
        <v>4245</v>
      </c>
      <c r="Q4246">
        <v>-304230</v>
      </c>
      <c r="S4246">
        <v>-293572</v>
      </c>
    </row>
    <row r="4247" spans="16:19" x14ac:dyDescent="0.3">
      <c r="P4247">
        <v>4246</v>
      </c>
      <c r="Q4247">
        <v>-152743</v>
      </c>
      <c r="S4247">
        <v>210783</v>
      </c>
    </row>
    <row r="4248" spans="16:19" x14ac:dyDescent="0.3">
      <c r="P4248">
        <v>4247</v>
      </c>
      <c r="Q4248">
        <v>-331711</v>
      </c>
      <c r="S4248">
        <v>-207228</v>
      </c>
    </row>
    <row r="4249" spans="16:19" x14ac:dyDescent="0.3">
      <c r="P4249">
        <v>4248</v>
      </c>
      <c r="Q4249">
        <v>-413354</v>
      </c>
      <c r="S4249">
        <v>306918</v>
      </c>
    </row>
    <row r="4250" spans="16:19" x14ac:dyDescent="0.3">
      <c r="P4250">
        <v>4249</v>
      </c>
      <c r="Q4250">
        <v>239401</v>
      </c>
      <c r="S4250">
        <v>53683</v>
      </c>
    </row>
    <row r="4251" spans="16:19" x14ac:dyDescent="0.3">
      <c r="P4251">
        <v>4250</v>
      </c>
      <c r="Q4251">
        <v>-323890</v>
      </c>
      <c r="S4251">
        <v>61302</v>
      </c>
    </row>
    <row r="4252" spans="16:19" x14ac:dyDescent="0.3">
      <c r="P4252">
        <v>4251</v>
      </c>
      <c r="Q4252">
        <v>394269</v>
      </c>
      <c r="S4252">
        <v>89538</v>
      </c>
    </row>
    <row r="4253" spans="16:19" x14ac:dyDescent="0.3">
      <c r="P4253">
        <v>4252</v>
      </c>
      <c r="Q4253">
        <v>257384</v>
      </c>
      <c r="S4253">
        <v>193947</v>
      </c>
    </row>
    <row r="4254" spans="16:19" x14ac:dyDescent="0.3">
      <c r="P4254">
        <v>4253</v>
      </c>
      <c r="Q4254">
        <v>952891</v>
      </c>
      <c r="S4254">
        <v>-60981</v>
      </c>
    </row>
    <row r="4255" spans="16:19" x14ac:dyDescent="0.3">
      <c r="P4255">
        <v>4254</v>
      </c>
      <c r="Q4255">
        <v>-8129</v>
      </c>
      <c r="S4255">
        <v>-477240</v>
      </c>
    </row>
    <row r="4256" spans="16:19" x14ac:dyDescent="0.3">
      <c r="P4256">
        <v>4255</v>
      </c>
      <c r="Q4256">
        <v>-422220</v>
      </c>
      <c r="S4256">
        <v>-398830</v>
      </c>
    </row>
    <row r="4257" spans="16:19" x14ac:dyDescent="0.3">
      <c r="P4257">
        <v>4256</v>
      </c>
      <c r="Q4257">
        <v>476393</v>
      </c>
      <c r="S4257">
        <v>-204162</v>
      </c>
    </row>
    <row r="4258" spans="16:19" x14ac:dyDescent="0.3">
      <c r="P4258">
        <v>4257</v>
      </c>
      <c r="Q4258">
        <v>328370</v>
      </c>
      <c r="S4258">
        <v>-450399</v>
      </c>
    </row>
    <row r="4259" spans="16:19" x14ac:dyDescent="0.3">
      <c r="P4259">
        <v>4258</v>
      </c>
      <c r="Q4259">
        <v>24902</v>
      </c>
      <c r="S4259">
        <v>-509743</v>
      </c>
    </row>
    <row r="4260" spans="16:19" x14ac:dyDescent="0.3">
      <c r="P4260">
        <v>4259</v>
      </c>
      <c r="Q4260">
        <v>104327</v>
      </c>
      <c r="S4260">
        <v>-327782</v>
      </c>
    </row>
    <row r="4261" spans="16:19" x14ac:dyDescent="0.3">
      <c r="P4261">
        <v>4260</v>
      </c>
      <c r="Q4261">
        <v>535766</v>
      </c>
      <c r="S4261">
        <v>155602</v>
      </c>
    </row>
    <row r="4262" spans="16:19" x14ac:dyDescent="0.3">
      <c r="P4262">
        <v>4261</v>
      </c>
      <c r="Q4262">
        <v>-4126</v>
      </c>
      <c r="S4262">
        <v>331967</v>
      </c>
    </row>
    <row r="4263" spans="16:19" x14ac:dyDescent="0.3">
      <c r="P4263">
        <v>4262</v>
      </c>
      <c r="Q4263">
        <v>-523521</v>
      </c>
      <c r="S4263">
        <v>-125950</v>
      </c>
    </row>
    <row r="4264" spans="16:19" x14ac:dyDescent="0.3">
      <c r="P4264">
        <v>4263</v>
      </c>
      <c r="Q4264">
        <v>-445483</v>
      </c>
      <c r="S4264">
        <v>701673</v>
      </c>
    </row>
    <row r="4265" spans="16:19" x14ac:dyDescent="0.3">
      <c r="P4265">
        <v>4264</v>
      </c>
      <c r="Q4265">
        <v>353319</v>
      </c>
      <c r="S4265">
        <v>38439</v>
      </c>
    </row>
    <row r="4266" spans="16:19" x14ac:dyDescent="0.3">
      <c r="P4266">
        <v>4265</v>
      </c>
      <c r="Q4266">
        <v>-281656</v>
      </c>
      <c r="S4266">
        <v>638532</v>
      </c>
    </row>
    <row r="4267" spans="16:19" x14ac:dyDescent="0.3">
      <c r="P4267">
        <v>4266</v>
      </c>
      <c r="Q4267">
        <v>728534</v>
      </c>
      <c r="S4267">
        <v>-310378</v>
      </c>
    </row>
    <row r="4268" spans="16:19" x14ac:dyDescent="0.3">
      <c r="P4268">
        <v>4267</v>
      </c>
      <c r="Q4268">
        <v>514083</v>
      </c>
      <c r="S4268">
        <v>783835</v>
      </c>
    </row>
    <row r="4269" spans="16:19" x14ac:dyDescent="0.3">
      <c r="P4269">
        <v>4268</v>
      </c>
      <c r="Q4269">
        <v>-467855</v>
      </c>
      <c r="S4269">
        <v>-181502</v>
      </c>
    </row>
    <row r="4270" spans="16:19" x14ac:dyDescent="0.3">
      <c r="P4270">
        <v>4269</v>
      </c>
      <c r="Q4270">
        <v>338496</v>
      </c>
      <c r="S4270">
        <v>-122797</v>
      </c>
    </row>
    <row r="4271" spans="16:19" x14ac:dyDescent="0.3">
      <c r="P4271">
        <v>4270</v>
      </c>
      <c r="Q4271">
        <v>569066</v>
      </c>
      <c r="S4271">
        <v>-122862</v>
      </c>
    </row>
    <row r="4272" spans="16:19" x14ac:dyDescent="0.3">
      <c r="P4272">
        <v>4271</v>
      </c>
      <c r="Q4272">
        <v>-58507</v>
      </c>
      <c r="S4272">
        <v>-595831</v>
      </c>
    </row>
    <row r="4273" spans="16:19" x14ac:dyDescent="0.3">
      <c r="P4273">
        <v>4272</v>
      </c>
      <c r="Q4273">
        <v>-257746</v>
      </c>
      <c r="S4273">
        <v>474299</v>
      </c>
    </row>
    <row r="4274" spans="16:19" x14ac:dyDescent="0.3">
      <c r="P4274">
        <v>4273</v>
      </c>
      <c r="Q4274">
        <v>-93460</v>
      </c>
      <c r="S4274">
        <v>294458</v>
      </c>
    </row>
    <row r="4275" spans="16:19" x14ac:dyDescent="0.3">
      <c r="P4275">
        <v>4274</v>
      </c>
      <c r="Q4275">
        <v>-327051</v>
      </c>
      <c r="S4275">
        <v>-576584</v>
      </c>
    </row>
    <row r="4276" spans="16:19" x14ac:dyDescent="0.3">
      <c r="P4276">
        <v>4275</v>
      </c>
      <c r="Q4276">
        <v>-815111</v>
      </c>
      <c r="S4276">
        <v>547877</v>
      </c>
    </row>
    <row r="4277" spans="16:19" x14ac:dyDescent="0.3">
      <c r="P4277">
        <v>4276</v>
      </c>
      <c r="Q4277">
        <v>558554</v>
      </c>
      <c r="S4277">
        <v>-542950</v>
      </c>
    </row>
    <row r="4278" spans="16:19" x14ac:dyDescent="0.3">
      <c r="P4278">
        <v>4277</v>
      </c>
      <c r="Q4278">
        <v>280345</v>
      </c>
      <c r="S4278">
        <v>934947</v>
      </c>
    </row>
    <row r="4279" spans="16:19" x14ac:dyDescent="0.3">
      <c r="P4279">
        <v>4278</v>
      </c>
      <c r="Q4279">
        <v>-95758</v>
      </c>
      <c r="S4279">
        <v>385564</v>
      </c>
    </row>
    <row r="4280" spans="16:19" x14ac:dyDescent="0.3">
      <c r="P4280">
        <v>4279</v>
      </c>
      <c r="Q4280">
        <v>787811</v>
      </c>
      <c r="S4280">
        <v>-395764</v>
      </c>
    </row>
    <row r="4281" spans="16:19" x14ac:dyDescent="0.3">
      <c r="P4281">
        <v>4280</v>
      </c>
      <c r="Q4281">
        <v>118853</v>
      </c>
      <c r="S4281">
        <v>263325</v>
      </c>
    </row>
    <row r="4282" spans="16:19" x14ac:dyDescent="0.3">
      <c r="P4282">
        <v>4281</v>
      </c>
      <c r="Q4282">
        <v>-357392</v>
      </c>
      <c r="S4282">
        <v>-445032</v>
      </c>
    </row>
    <row r="4283" spans="16:19" x14ac:dyDescent="0.3">
      <c r="P4283">
        <v>4282</v>
      </c>
      <c r="Q4283">
        <v>-43199</v>
      </c>
      <c r="S4283">
        <v>-556062</v>
      </c>
    </row>
    <row r="4284" spans="16:19" x14ac:dyDescent="0.3">
      <c r="P4284">
        <v>4283</v>
      </c>
      <c r="Q4284">
        <v>108135</v>
      </c>
      <c r="S4284">
        <v>-395734</v>
      </c>
    </row>
    <row r="4285" spans="16:19" x14ac:dyDescent="0.3">
      <c r="P4285">
        <v>4284</v>
      </c>
      <c r="Q4285">
        <v>170430</v>
      </c>
      <c r="S4285">
        <v>-291946</v>
      </c>
    </row>
    <row r="4286" spans="16:19" x14ac:dyDescent="0.3">
      <c r="P4286">
        <v>4285</v>
      </c>
      <c r="Q4286">
        <v>-67497</v>
      </c>
      <c r="S4286">
        <v>296163</v>
      </c>
    </row>
    <row r="4287" spans="16:19" x14ac:dyDescent="0.3">
      <c r="P4287">
        <v>4286</v>
      </c>
      <c r="Q4287">
        <v>207264</v>
      </c>
      <c r="S4287">
        <v>-177408</v>
      </c>
    </row>
    <row r="4288" spans="16:19" x14ac:dyDescent="0.3">
      <c r="P4288">
        <v>4287</v>
      </c>
      <c r="Q4288">
        <v>387078</v>
      </c>
      <c r="S4288">
        <v>236622</v>
      </c>
    </row>
    <row r="4289" spans="16:19" x14ac:dyDescent="0.3">
      <c r="P4289">
        <v>4288</v>
      </c>
      <c r="Q4289">
        <v>-404011</v>
      </c>
      <c r="S4289">
        <v>-360450</v>
      </c>
    </row>
    <row r="4290" spans="16:19" x14ac:dyDescent="0.3">
      <c r="P4290">
        <v>4289</v>
      </c>
      <c r="Q4290">
        <v>796321</v>
      </c>
      <c r="S4290">
        <v>519781</v>
      </c>
    </row>
    <row r="4291" spans="16:19" x14ac:dyDescent="0.3">
      <c r="P4291">
        <v>4290</v>
      </c>
      <c r="Q4291">
        <v>-862271</v>
      </c>
      <c r="S4291">
        <v>244833</v>
      </c>
    </row>
    <row r="4292" spans="16:19" x14ac:dyDescent="0.3">
      <c r="P4292">
        <v>4291</v>
      </c>
      <c r="Q4292">
        <v>63855</v>
      </c>
      <c r="S4292">
        <v>-505614</v>
      </c>
    </row>
    <row r="4293" spans="16:19" x14ac:dyDescent="0.3">
      <c r="P4293">
        <v>4292</v>
      </c>
      <c r="Q4293">
        <v>-775976</v>
      </c>
      <c r="S4293">
        <v>146394</v>
      </c>
    </row>
    <row r="4294" spans="16:19" x14ac:dyDescent="0.3">
      <c r="P4294">
        <v>4293</v>
      </c>
      <c r="Q4294">
        <v>226268</v>
      </c>
      <c r="S4294">
        <v>33270</v>
      </c>
    </row>
    <row r="4295" spans="16:19" x14ac:dyDescent="0.3">
      <c r="P4295">
        <v>4294</v>
      </c>
      <c r="Q4295">
        <v>-54795</v>
      </c>
      <c r="S4295">
        <v>346122</v>
      </c>
    </row>
    <row r="4296" spans="16:19" x14ac:dyDescent="0.3">
      <c r="P4296">
        <v>4295</v>
      </c>
      <c r="Q4296">
        <v>154807</v>
      </c>
      <c r="S4296">
        <v>225214</v>
      </c>
    </row>
    <row r="4297" spans="16:19" x14ac:dyDescent="0.3">
      <c r="P4297">
        <v>4296</v>
      </c>
      <c r="Q4297">
        <v>546435</v>
      </c>
      <c r="S4297">
        <v>179541</v>
      </c>
    </row>
    <row r="4298" spans="16:19" x14ac:dyDescent="0.3">
      <c r="P4298">
        <v>4297</v>
      </c>
      <c r="Q4298">
        <v>147724</v>
      </c>
      <c r="S4298">
        <v>552844</v>
      </c>
    </row>
    <row r="4299" spans="16:19" x14ac:dyDescent="0.3">
      <c r="P4299">
        <v>4298</v>
      </c>
      <c r="Q4299">
        <v>811235</v>
      </c>
      <c r="S4299">
        <v>-329511</v>
      </c>
    </row>
    <row r="4300" spans="16:19" x14ac:dyDescent="0.3">
      <c r="P4300">
        <v>4299</v>
      </c>
      <c r="Q4300">
        <v>-336519</v>
      </c>
      <c r="S4300">
        <v>-523241</v>
      </c>
    </row>
    <row r="4301" spans="16:19" x14ac:dyDescent="0.3">
      <c r="P4301">
        <v>4300</v>
      </c>
      <c r="Q4301">
        <v>-121615</v>
      </c>
      <c r="S4301">
        <v>-238988</v>
      </c>
    </row>
    <row r="4302" spans="16:19" x14ac:dyDescent="0.3">
      <c r="P4302">
        <v>4301</v>
      </c>
      <c r="Q4302">
        <v>482131</v>
      </c>
      <c r="S4302">
        <v>187532</v>
      </c>
    </row>
    <row r="4303" spans="16:19" x14ac:dyDescent="0.3">
      <c r="P4303">
        <v>4302</v>
      </c>
      <c r="Q4303">
        <v>371539</v>
      </c>
      <c r="S4303">
        <v>123533</v>
      </c>
    </row>
    <row r="4304" spans="16:19" x14ac:dyDescent="0.3">
      <c r="P4304">
        <v>4303</v>
      </c>
      <c r="Q4304">
        <v>-149483</v>
      </c>
      <c r="S4304">
        <v>-53378</v>
      </c>
    </row>
    <row r="4305" spans="16:19" x14ac:dyDescent="0.3">
      <c r="P4305">
        <v>4304</v>
      </c>
      <c r="Q4305">
        <v>-354762</v>
      </c>
      <c r="S4305">
        <v>665273</v>
      </c>
    </row>
    <row r="4306" spans="16:19" x14ac:dyDescent="0.3">
      <c r="P4306">
        <v>4305</v>
      </c>
      <c r="Q4306">
        <v>-233792</v>
      </c>
      <c r="S4306">
        <v>223972</v>
      </c>
    </row>
    <row r="4307" spans="16:19" x14ac:dyDescent="0.3">
      <c r="P4307">
        <v>4306</v>
      </c>
      <c r="Q4307">
        <v>-284439</v>
      </c>
      <c r="S4307">
        <v>-425219</v>
      </c>
    </row>
    <row r="4308" spans="16:19" x14ac:dyDescent="0.3">
      <c r="P4308">
        <v>4307</v>
      </c>
      <c r="Q4308">
        <v>170627</v>
      </c>
      <c r="S4308">
        <v>-583168</v>
      </c>
    </row>
    <row r="4309" spans="16:19" x14ac:dyDescent="0.3">
      <c r="P4309">
        <v>4308</v>
      </c>
      <c r="Q4309">
        <v>115548</v>
      </c>
      <c r="S4309">
        <v>-753510</v>
      </c>
    </row>
    <row r="4310" spans="16:19" x14ac:dyDescent="0.3">
      <c r="P4310">
        <v>4309</v>
      </c>
      <c r="Q4310">
        <v>-388100</v>
      </c>
      <c r="S4310">
        <v>-494887</v>
      </c>
    </row>
    <row r="4311" spans="16:19" x14ac:dyDescent="0.3">
      <c r="P4311">
        <v>4310</v>
      </c>
      <c r="Q4311">
        <v>-493930</v>
      </c>
      <c r="S4311">
        <v>5927</v>
      </c>
    </row>
    <row r="4312" spans="16:19" x14ac:dyDescent="0.3">
      <c r="P4312">
        <v>4311</v>
      </c>
      <c r="Q4312">
        <v>-142903</v>
      </c>
      <c r="S4312">
        <v>-505779</v>
      </c>
    </row>
    <row r="4313" spans="16:19" x14ac:dyDescent="0.3">
      <c r="P4313">
        <v>4312</v>
      </c>
      <c r="Q4313">
        <v>-150501</v>
      </c>
      <c r="S4313">
        <v>150168</v>
      </c>
    </row>
    <row r="4314" spans="16:19" x14ac:dyDescent="0.3">
      <c r="P4314">
        <v>4313</v>
      </c>
      <c r="Q4314">
        <v>224523</v>
      </c>
      <c r="S4314">
        <v>595533</v>
      </c>
    </row>
    <row r="4315" spans="16:19" x14ac:dyDescent="0.3">
      <c r="P4315">
        <v>4314</v>
      </c>
      <c r="Q4315">
        <v>-129337</v>
      </c>
      <c r="S4315">
        <v>-205287</v>
      </c>
    </row>
    <row r="4316" spans="16:19" x14ac:dyDescent="0.3">
      <c r="P4316">
        <v>4315</v>
      </c>
      <c r="Q4316">
        <v>-337528</v>
      </c>
      <c r="S4316">
        <v>-204788</v>
      </c>
    </row>
    <row r="4317" spans="16:19" x14ac:dyDescent="0.3">
      <c r="P4317">
        <v>4316</v>
      </c>
      <c r="Q4317">
        <v>-375911</v>
      </c>
      <c r="S4317">
        <v>407821</v>
      </c>
    </row>
    <row r="4318" spans="16:19" x14ac:dyDescent="0.3">
      <c r="P4318">
        <v>4317</v>
      </c>
      <c r="Q4318">
        <v>-498532</v>
      </c>
      <c r="S4318">
        <v>-412273</v>
      </c>
    </row>
    <row r="4319" spans="16:19" x14ac:dyDescent="0.3">
      <c r="P4319">
        <v>4318</v>
      </c>
      <c r="Q4319">
        <v>176106</v>
      </c>
      <c r="S4319">
        <v>-458443</v>
      </c>
    </row>
    <row r="4320" spans="16:19" x14ac:dyDescent="0.3">
      <c r="P4320">
        <v>4319</v>
      </c>
      <c r="Q4320">
        <v>-361040</v>
      </c>
      <c r="S4320">
        <v>-574996</v>
      </c>
    </row>
    <row r="4321" spans="16:19" x14ac:dyDescent="0.3">
      <c r="P4321">
        <v>4320</v>
      </c>
      <c r="Q4321">
        <v>605264</v>
      </c>
      <c r="S4321">
        <v>-267806</v>
      </c>
    </row>
    <row r="4322" spans="16:19" x14ac:dyDescent="0.3">
      <c r="P4322">
        <v>4321</v>
      </c>
      <c r="Q4322">
        <v>-290321</v>
      </c>
      <c r="S4322">
        <v>-252136</v>
      </c>
    </row>
    <row r="4323" spans="16:19" x14ac:dyDescent="0.3">
      <c r="P4323">
        <v>4322</v>
      </c>
      <c r="Q4323">
        <v>-467696</v>
      </c>
      <c r="S4323">
        <v>107401</v>
      </c>
    </row>
    <row r="4324" spans="16:19" x14ac:dyDescent="0.3">
      <c r="P4324">
        <v>4323</v>
      </c>
      <c r="Q4324">
        <v>438794</v>
      </c>
      <c r="S4324">
        <v>91431</v>
      </c>
    </row>
    <row r="4325" spans="16:19" x14ac:dyDescent="0.3">
      <c r="P4325">
        <v>4324</v>
      </c>
      <c r="Q4325">
        <v>-103671</v>
      </c>
      <c r="S4325">
        <v>346179</v>
      </c>
    </row>
    <row r="4326" spans="16:19" x14ac:dyDescent="0.3">
      <c r="P4326">
        <v>4325</v>
      </c>
      <c r="Q4326">
        <v>-456527</v>
      </c>
      <c r="S4326">
        <v>-142079</v>
      </c>
    </row>
    <row r="4327" spans="16:19" x14ac:dyDescent="0.3">
      <c r="P4327">
        <v>4326</v>
      </c>
      <c r="Q4327">
        <v>-587385</v>
      </c>
      <c r="S4327">
        <v>-395019</v>
      </c>
    </row>
    <row r="4328" spans="16:19" x14ac:dyDescent="0.3">
      <c r="P4328">
        <v>4327</v>
      </c>
      <c r="Q4328">
        <v>-42159</v>
      </c>
      <c r="S4328">
        <v>461805</v>
      </c>
    </row>
    <row r="4329" spans="16:19" x14ac:dyDescent="0.3">
      <c r="P4329">
        <v>4328</v>
      </c>
      <c r="Q4329">
        <v>-382013</v>
      </c>
      <c r="S4329">
        <v>-277966</v>
      </c>
    </row>
    <row r="4330" spans="16:19" x14ac:dyDescent="0.3">
      <c r="P4330">
        <v>4329</v>
      </c>
      <c r="Q4330">
        <v>310738</v>
      </c>
      <c r="S4330">
        <v>31864</v>
      </c>
    </row>
    <row r="4331" spans="16:19" x14ac:dyDescent="0.3">
      <c r="P4331">
        <v>4330</v>
      </c>
      <c r="Q4331">
        <v>148827</v>
      </c>
      <c r="S4331">
        <v>153962</v>
      </c>
    </row>
    <row r="4332" spans="16:19" x14ac:dyDescent="0.3">
      <c r="P4332">
        <v>4331</v>
      </c>
      <c r="Q4332">
        <v>-356452</v>
      </c>
      <c r="S4332">
        <v>-12820</v>
      </c>
    </row>
    <row r="4333" spans="16:19" x14ac:dyDescent="0.3">
      <c r="P4333">
        <v>4332</v>
      </c>
      <c r="Q4333">
        <v>-481586</v>
      </c>
      <c r="S4333">
        <v>-83244</v>
      </c>
    </row>
    <row r="4334" spans="16:19" x14ac:dyDescent="0.3">
      <c r="P4334">
        <v>4333</v>
      </c>
      <c r="Q4334">
        <v>688370</v>
      </c>
      <c r="S4334">
        <v>275954</v>
      </c>
    </row>
    <row r="4335" spans="16:19" x14ac:dyDescent="0.3">
      <c r="P4335">
        <v>4334</v>
      </c>
      <c r="Q4335">
        <v>170128</v>
      </c>
      <c r="S4335">
        <v>241698</v>
      </c>
    </row>
    <row r="4336" spans="16:19" x14ac:dyDescent="0.3">
      <c r="P4336">
        <v>4335</v>
      </c>
      <c r="Q4336">
        <v>193861</v>
      </c>
      <c r="S4336">
        <v>-473163</v>
      </c>
    </row>
    <row r="4337" spans="16:19" x14ac:dyDescent="0.3">
      <c r="P4337">
        <v>4336</v>
      </c>
      <c r="Q4337">
        <v>-121541</v>
      </c>
      <c r="S4337">
        <v>-43852</v>
      </c>
    </row>
    <row r="4338" spans="16:19" x14ac:dyDescent="0.3">
      <c r="P4338">
        <v>4337</v>
      </c>
      <c r="Q4338">
        <v>-294694</v>
      </c>
      <c r="S4338">
        <v>-163679</v>
      </c>
    </row>
    <row r="4339" spans="16:19" x14ac:dyDescent="0.3">
      <c r="P4339">
        <v>4338</v>
      </c>
      <c r="Q4339">
        <v>-766757</v>
      </c>
      <c r="S4339">
        <v>-167319</v>
      </c>
    </row>
    <row r="4340" spans="16:19" x14ac:dyDescent="0.3">
      <c r="P4340">
        <v>4339</v>
      </c>
      <c r="Q4340">
        <v>170937</v>
      </c>
      <c r="S4340">
        <v>259503</v>
      </c>
    </row>
    <row r="4341" spans="16:19" x14ac:dyDescent="0.3">
      <c r="P4341">
        <v>4340</v>
      </c>
      <c r="Q4341">
        <v>-549207</v>
      </c>
      <c r="S4341">
        <v>35571</v>
      </c>
    </row>
    <row r="4342" spans="16:19" x14ac:dyDescent="0.3">
      <c r="P4342">
        <v>4341</v>
      </c>
      <c r="Q4342">
        <v>39743</v>
      </c>
      <c r="S4342">
        <v>301721</v>
      </c>
    </row>
    <row r="4343" spans="16:19" x14ac:dyDescent="0.3">
      <c r="P4343">
        <v>4342</v>
      </c>
      <c r="Q4343">
        <v>-372062</v>
      </c>
      <c r="S4343">
        <v>301560</v>
      </c>
    </row>
    <row r="4344" spans="16:19" x14ac:dyDescent="0.3">
      <c r="P4344">
        <v>4343</v>
      </c>
      <c r="Q4344">
        <v>-699466</v>
      </c>
      <c r="S4344">
        <v>387156</v>
      </c>
    </row>
    <row r="4345" spans="16:19" x14ac:dyDescent="0.3">
      <c r="P4345">
        <v>4344</v>
      </c>
      <c r="Q4345">
        <v>460413</v>
      </c>
      <c r="S4345">
        <v>-186418</v>
      </c>
    </row>
    <row r="4346" spans="16:19" x14ac:dyDescent="0.3">
      <c r="P4346">
        <v>4345</v>
      </c>
      <c r="Q4346">
        <v>227183</v>
      </c>
      <c r="S4346">
        <v>-612023</v>
      </c>
    </row>
    <row r="4347" spans="16:19" x14ac:dyDescent="0.3">
      <c r="P4347">
        <v>4346</v>
      </c>
      <c r="Q4347">
        <v>-309178</v>
      </c>
      <c r="S4347">
        <v>-336052</v>
      </c>
    </row>
    <row r="4348" spans="16:19" x14ac:dyDescent="0.3">
      <c r="P4348">
        <v>4347</v>
      </c>
      <c r="Q4348">
        <v>171018</v>
      </c>
      <c r="S4348">
        <v>-327701</v>
      </c>
    </row>
    <row r="4349" spans="16:19" x14ac:dyDescent="0.3">
      <c r="P4349">
        <v>4348</v>
      </c>
      <c r="Q4349">
        <v>620721</v>
      </c>
      <c r="S4349">
        <v>18128</v>
      </c>
    </row>
    <row r="4350" spans="16:19" x14ac:dyDescent="0.3">
      <c r="P4350">
        <v>4349</v>
      </c>
      <c r="Q4350">
        <v>596762</v>
      </c>
      <c r="S4350">
        <v>-567165</v>
      </c>
    </row>
    <row r="4351" spans="16:19" x14ac:dyDescent="0.3">
      <c r="P4351">
        <v>4350</v>
      </c>
      <c r="Q4351">
        <v>547019</v>
      </c>
      <c r="S4351">
        <v>-727009</v>
      </c>
    </row>
    <row r="4352" spans="16:19" x14ac:dyDescent="0.3">
      <c r="P4352">
        <v>4351</v>
      </c>
      <c r="Q4352">
        <v>-119490</v>
      </c>
      <c r="S4352">
        <v>-55619</v>
      </c>
    </row>
    <row r="4353" spans="16:19" x14ac:dyDescent="0.3">
      <c r="P4353">
        <v>4352</v>
      </c>
      <c r="Q4353">
        <v>130823</v>
      </c>
      <c r="S4353">
        <v>-576069</v>
      </c>
    </row>
    <row r="4354" spans="16:19" x14ac:dyDescent="0.3">
      <c r="P4354">
        <v>4353</v>
      </c>
      <c r="Q4354">
        <v>79261</v>
      </c>
      <c r="S4354">
        <v>-66769</v>
      </c>
    </row>
    <row r="4355" spans="16:19" x14ac:dyDescent="0.3">
      <c r="P4355">
        <v>4354</v>
      </c>
      <c r="Q4355">
        <v>-415155</v>
      </c>
      <c r="S4355">
        <v>293838</v>
      </c>
    </row>
    <row r="4356" spans="16:19" x14ac:dyDescent="0.3">
      <c r="P4356">
        <v>4355</v>
      </c>
      <c r="Q4356">
        <v>-434909</v>
      </c>
      <c r="S4356">
        <v>947283</v>
      </c>
    </row>
    <row r="4357" spans="16:19" x14ac:dyDescent="0.3">
      <c r="P4357">
        <v>4356</v>
      </c>
      <c r="Q4357">
        <v>-808156</v>
      </c>
      <c r="S4357">
        <v>-563289</v>
      </c>
    </row>
    <row r="4358" spans="16:19" x14ac:dyDescent="0.3">
      <c r="P4358">
        <v>4357</v>
      </c>
      <c r="Q4358">
        <v>-251879</v>
      </c>
      <c r="S4358">
        <v>736519</v>
      </c>
    </row>
    <row r="4359" spans="16:19" x14ac:dyDescent="0.3">
      <c r="P4359">
        <v>4358</v>
      </c>
      <c r="Q4359">
        <v>93594</v>
      </c>
      <c r="S4359">
        <v>635699</v>
      </c>
    </row>
    <row r="4360" spans="16:19" x14ac:dyDescent="0.3">
      <c r="P4360">
        <v>4359</v>
      </c>
      <c r="Q4360">
        <v>695625</v>
      </c>
      <c r="S4360">
        <v>-307857</v>
      </c>
    </row>
    <row r="4361" spans="16:19" x14ac:dyDescent="0.3">
      <c r="P4361">
        <v>4360</v>
      </c>
      <c r="Q4361">
        <v>-730574</v>
      </c>
      <c r="S4361">
        <v>580936</v>
      </c>
    </row>
    <row r="4362" spans="16:19" x14ac:dyDescent="0.3">
      <c r="P4362">
        <v>4361</v>
      </c>
      <c r="Q4362">
        <v>300053</v>
      </c>
      <c r="S4362">
        <v>-152459</v>
      </c>
    </row>
    <row r="4363" spans="16:19" x14ac:dyDescent="0.3">
      <c r="P4363">
        <v>4362</v>
      </c>
      <c r="Q4363">
        <v>85924</v>
      </c>
      <c r="S4363">
        <v>-509110</v>
      </c>
    </row>
    <row r="4364" spans="16:19" x14ac:dyDescent="0.3">
      <c r="P4364">
        <v>4363</v>
      </c>
      <c r="Q4364">
        <v>124268</v>
      </c>
      <c r="S4364">
        <v>110529</v>
      </c>
    </row>
    <row r="4365" spans="16:19" x14ac:dyDescent="0.3">
      <c r="P4365">
        <v>4364</v>
      </c>
      <c r="Q4365">
        <v>-259937</v>
      </c>
      <c r="S4365">
        <v>209070</v>
      </c>
    </row>
    <row r="4366" spans="16:19" x14ac:dyDescent="0.3">
      <c r="P4366">
        <v>4365</v>
      </c>
      <c r="Q4366">
        <v>-311954</v>
      </c>
      <c r="S4366">
        <v>-411322</v>
      </c>
    </row>
    <row r="4367" spans="16:19" x14ac:dyDescent="0.3">
      <c r="P4367">
        <v>4366</v>
      </c>
      <c r="Q4367">
        <v>-383871</v>
      </c>
      <c r="S4367">
        <v>427588</v>
      </c>
    </row>
    <row r="4368" spans="16:19" x14ac:dyDescent="0.3">
      <c r="P4368">
        <v>4367</v>
      </c>
      <c r="Q4368">
        <v>-519754</v>
      </c>
      <c r="S4368">
        <v>-316068</v>
      </c>
    </row>
    <row r="4369" spans="16:19" x14ac:dyDescent="0.3">
      <c r="P4369">
        <v>4368</v>
      </c>
      <c r="Q4369">
        <v>392948</v>
      </c>
      <c r="S4369">
        <v>71383</v>
      </c>
    </row>
    <row r="4370" spans="16:19" x14ac:dyDescent="0.3">
      <c r="P4370">
        <v>4369</v>
      </c>
      <c r="Q4370">
        <v>-587567</v>
      </c>
      <c r="S4370">
        <v>574267</v>
      </c>
    </row>
    <row r="4371" spans="16:19" x14ac:dyDescent="0.3">
      <c r="P4371">
        <v>4370</v>
      </c>
      <c r="Q4371">
        <v>-730726</v>
      </c>
      <c r="S4371">
        <v>-31108</v>
      </c>
    </row>
    <row r="4372" spans="16:19" x14ac:dyDescent="0.3">
      <c r="P4372">
        <v>4371</v>
      </c>
      <c r="Q4372">
        <v>154643</v>
      </c>
      <c r="S4372">
        <v>125293</v>
      </c>
    </row>
    <row r="4373" spans="16:19" x14ac:dyDescent="0.3">
      <c r="P4373">
        <v>4372</v>
      </c>
      <c r="Q4373">
        <v>-41031</v>
      </c>
      <c r="S4373">
        <v>291526</v>
      </c>
    </row>
    <row r="4374" spans="16:19" x14ac:dyDescent="0.3">
      <c r="P4374">
        <v>4373</v>
      </c>
      <c r="Q4374">
        <v>-508690</v>
      </c>
      <c r="S4374">
        <v>1133469</v>
      </c>
    </row>
    <row r="4375" spans="16:19" x14ac:dyDescent="0.3">
      <c r="P4375">
        <v>4374</v>
      </c>
      <c r="Q4375">
        <v>17618</v>
      </c>
      <c r="S4375">
        <v>390686</v>
      </c>
    </row>
    <row r="4376" spans="16:19" x14ac:dyDescent="0.3">
      <c r="P4376">
        <v>4375</v>
      </c>
      <c r="Q4376">
        <v>445371</v>
      </c>
      <c r="S4376">
        <v>510035</v>
      </c>
    </row>
    <row r="4377" spans="16:19" x14ac:dyDescent="0.3">
      <c r="P4377">
        <v>4376</v>
      </c>
      <c r="Q4377">
        <v>77511</v>
      </c>
      <c r="S4377">
        <v>-314071</v>
      </c>
    </row>
    <row r="4378" spans="16:19" x14ac:dyDescent="0.3">
      <c r="P4378">
        <v>4377</v>
      </c>
      <c r="Q4378">
        <v>396371</v>
      </c>
      <c r="S4378">
        <v>469755</v>
      </c>
    </row>
    <row r="4379" spans="16:19" x14ac:dyDescent="0.3">
      <c r="P4379">
        <v>4378</v>
      </c>
      <c r="Q4379">
        <v>-461792</v>
      </c>
      <c r="S4379">
        <v>447592</v>
      </c>
    </row>
    <row r="4380" spans="16:19" x14ac:dyDescent="0.3">
      <c r="P4380">
        <v>4379</v>
      </c>
      <c r="Q4380">
        <v>166145</v>
      </c>
      <c r="S4380">
        <v>-678808</v>
      </c>
    </row>
    <row r="4381" spans="16:19" x14ac:dyDescent="0.3">
      <c r="P4381">
        <v>4380</v>
      </c>
      <c r="Q4381">
        <v>-488464</v>
      </c>
      <c r="S4381">
        <v>163535</v>
      </c>
    </row>
    <row r="4382" spans="16:19" x14ac:dyDescent="0.3">
      <c r="P4382">
        <v>4381</v>
      </c>
      <c r="Q4382">
        <v>-849042</v>
      </c>
      <c r="S4382">
        <v>216487</v>
      </c>
    </row>
    <row r="4383" spans="16:19" x14ac:dyDescent="0.3">
      <c r="P4383">
        <v>4382</v>
      </c>
      <c r="Q4383">
        <v>-39349</v>
      </c>
      <c r="S4383">
        <v>356468</v>
      </c>
    </row>
    <row r="4384" spans="16:19" x14ac:dyDescent="0.3">
      <c r="P4384">
        <v>4383</v>
      </c>
      <c r="Q4384">
        <v>-506425</v>
      </c>
      <c r="S4384">
        <v>521805</v>
      </c>
    </row>
    <row r="4385" spans="16:19" x14ac:dyDescent="0.3">
      <c r="P4385">
        <v>4384</v>
      </c>
      <c r="Q4385">
        <v>-739954</v>
      </c>
      <c r="S4385">
        <v>701981</v>
      </c>
    </row>
    <row r="4386" spans="16:19" x14ac:dyDescent="0.3">
      <c r="P4386">
        <v>4385</v>
      </c>
      <c r="Q4386">
        <v>230554</v>
      </c>
      <c r="S4386">
        <v>589523</v>
      </c>
    </row>
    <row r="4387" spans="16:19" x14ac:dyDescent="0.3">
      <c r="P4387">
        <v>4386</v>
      </c>
      <c r="Q4387">
        <v>628612</v>
      </c>
      <c r="S4387">
        <v>618566</v>
      </c>
    </row>
    <row r="4388" spans="16:19" x14ac:dyDescent="0.3">
      <c r="P4388">
        <v>4387</v>
      </c>
      <c r="Q4388">
        <v>291696</v>
      </c>
      <c r="S4388">
        <v>-235790</v>
      </c>
    </row>
    <row r="4389" spans="16:19" x14ac:dyDescent="0.3">
      <c r="P4389">
        <v>4388</v>
      </c>
      <c r="Q4389">
        <v>140572</v>
      </c>
      <c r="S4389">
        <v>109748</v>
      </c>
    </row>
    <row r="4390" spans="16:19" x14ac:dyDescent="0.3">
      <c r="P4390">
        <v>4389</v>
      </c>
      <c r="Q4390">
        <v>514859</v>
      </c>
      <c r="S4390">
        <v>-216696</v>
      </c>
    </row>
    <row r="4391" spans="16:19" x14ac:dyDescent="0.3">
      <c r="P4391">
        <v>4390</v>
      </c>
      <c r="Q4391">
        <v>513103</v>
      </c>
      <c r="S4391">
        <v>343375</v>
      </c>
    </row>
    <row r="4392" spans="16:19" x14ac:dyDescent="0.3">
      <c r="P4392">
        <v>4391</v>
      </c>
      <c r="Q4392">
        <v>410062</v>
      </c>
      <c r="S4392">
        <v>-487426</v>
      </c>
    </row>
    <row r="4393" spans="16:19" x14ac:dyDescent="0.3">
      <c r="P4393">
        <v>4392</v>
      </c>
      <c r="Q4393">
        <v>-525648</v>
      </c>
      <c r="S4393">
        <v>-577457</v>
      </c>
    </row>
    <row r="4394" spans="16:19" x14ac:dyDescent="0.3">
      <c r="P4394">
        <v>4393</v>
      </c>
      <c r="Q4394">
        <v>-422485</v>
      </c>
      <c r="S4394">
        <v>36231</v>
      </c>
    </row>
    <row r="4395" spans="16:19" x14ac:dyDescent="0.3">
      <c r="P4395">
        <v>4394</v>
      </c>
      <c r="Q4395">
        <v>873320</v>
      </c>
      <c r="S4395">
        <v>443372</v>
      </c>
    </row>
    <row r="4396" spans="16:19" x14ac:dyDescent="0.3">
      <c r="P4396">
        <v>4395</v>
      </c>
      <c r="Q4396">
        <v>705998</v>
      </c>
      <c r="S4396">
        <v>-174184</v>
      </c>
    </row>
    <row r="4397" spans="16:19" x14ac:dyDescent="0.3">
      <c r="P4397">
        <v>4396</v>
      </c>
      <c r="Q4397">
        <v>-64552</v>
      </c>
      <c r="S4397">
        <v>-277241</v>
      </c>
    </row>
    <row r="4398" spans="16:19" x14ac:dyDescent="0.3">
      <c r="P4398">
        <v>4397</v>
      </c>
      <c r="Q4398">
        <v>34108</v>
      </c>
      <c r="S4398">
        <v>-148787</v>
      </c>
    </row>
    <row r="4399" spans="16:19" x14ac:dyDescent="0.3">
      <c r="P4399">
        <v>4398</v>
      </c>
      <c r="Q4399">
        <v>-9701</v>
      </c>
      <c r="S4399">
        <v>-460421</v>
      </c>
    </row>
    <row r="4400" spans="16:19" x14ac:dyDescent="0.3">
      <c r="P4400">
        <v>4399</v>
      </c>
      <c r="Q4400">
        <v>-281000</v>
      </c>
      <c r="S4400">
        <v>1045190</v>
      </c>
    </row>
    <row r="4401" spans="16:19" x14ac:dyDescent="0.3">
      <c r="P4401">
        <v>4400</v>
      </c>
      <c r="Q4401">
        <v>-306478</v>
      </c>
      <c r="S4401">
        <v>-331483</v>
      </c>
    </row>
    <row r="4402" spans="16:19" x14ac:dyDescent="0.3">
      <c r="P4402">
        <v>4401</v>
      </c>
      <c r="Q4402">
        <v>-115265</v>
      </c>
      <c r="S4402">
        <v>-254219</v>
      </c>
    </row>
    <row r="4403" spans="16:19" x14ac:dyDescent="0.3">
      <c r="P4403">
        <v>4402</v>
      </c>
      <c r="Q4403">
        <v>-269636</v>
      </c>
      <c r="S4403">
        <v>-148698</v>
      </c>
    </row>
    <row r="4404" spans="16:19" x14ac:dyDescent="0.3">
      <c r="P4404">
        <v>4403</v>
      </c>
      <c r="Q4404">
        <v>317819</v>
      </c>
      <c r="S4404">
        <v>393343</v>
      </c>
    </row>
    <row r="4405" spans="16:19" x14ac:dyDescent="0.3">
      <c r="P4405">
        <v>4404</v>
      </c>
      <c r="Q4405">
        <v>-319712</v>
      </c>
      <c r="S4405">
        <v>-436299</v>
      </c>
    </row>
    <row r="4406" spans="16:19" x14ac:dyDescent="0.3">
      <c r="P4406">
        <v>4405</v>
      </c>
      <c r="Q4406">
        <v>-574371</v>
      </c>
      <c r="S4406">
        <v>551983</v>
      </c>
    </row>
    <row r="4407" spans="16:19" x14ac:dyDescent="0.3">
      <c r="P4407">
        <v>4406</v>
      </c>
      <c r="Q4407">
        <v>506514</v>
      </c>
      <c r="S4407">
        <v>-197059</v>
      </c>
    </row>
    <row r="4408" spans="16:19" x14ac:dyDescent="0.3">
      <c r="P4408">
        <v>4407</v>
      </c>
      <c r="Q4408">
        <v>588832</v>
      </c>
      <c r="S4408">
        <v>-524108</v>
      </c>
    </row>
    <row r="4409" spans="16:19" x14ac:dyDescent="0.3">
      <c r="P4409">
        <v>4408</v>
      </c>
      <c r="Q4409">
        <v>912745</v>
      </c>
      <c r="S4409">
        <v>-12063</v>
      </c>
    </row>
    <row r="4410" spans="16:19" x14ac:dyDescent="0.3">
      <c r="P4410">
        <v>4409</v>
      </c>
      <c r="Q4410">
        <v>-9444</v>
      </c>
      <c r="S4410">
        <v>-253709</v>
      </c>
    </row>
    <row r="4411" spans="16:19" x14ac:dyDescent="0.3">
      <c r="P4411">
        <v>4410</v>
      </c>
      <c r="Q4411">
        <v>635371</v>
      </c>
      <c r="S4411">
        <v>-118236</v>
      </c>
    </row>
    <row r="4412" spans="16:19" x14ac:dyDescent="0.3">
      <c r="P4412">
        <v>4411</v>
      </c>
      <c r="Q4412">
        <v>866831</v>
      </c>
      <c r="S4412">
        <v>440304</v>
      </c>
    </row>
    <row r="4413" spans="16:19" x14ac:dyDescent="0.3">
      <c r="P4413">
        <v>4412</v>
      </c>
      <c r="Q4413">
        <v>296649</v>
      </c>
      <c r="S4413">
        <v>663084</v>
      </c>
    </row>
    <row r="4414" spans="16:19" x14ac:dyDescent="0.3">
      <c r="P4414">
        <v>4413</v>
      </c>
      <c r="Q4414">
        <v>638904</v>
      </c>
      <c r="S4414">
        <v>-276821</v>
      </c>
    </row>
    <row r="4415" spans="16:19" x14ac:dyDescent="0.3">
      <c r="P4415">
        <v>4414</v>
      </c>
      <c r="Q4415">
        <v>541711</v>
      </c>
      <c r="S4415">
        <v>233673</v>
      </c>
    </row>
    <row r="4416" spans="16:19" x14ac:dyDescent="0.3">
      <c r="P4416">
        <v>4415</v>
      </c>
      <c r="Q4416">
        <v>501099</v>
      </c>
      <c r="S4416">
        <v>-109821</v>
      </c>
    </row>
    <row r="4417" spans="16:19" x14ac:dyDescent="0.3">
      <c r="P4417">
        <v>4416</v>
      </c>
      <c r="Q4417">
        <v>-182650</v>
      </c>
      <c r="S4417">
        <v>-718408</v>
      </c>
    </row>
    <row r="4418" spans="16:19" x14ac:dyDescent="0.3">
      <c r="P4418">
        <v>4417</v>
      </c>
      <c r="Q4418">
        <v>436120</v>
      </c>
      <c r="S4418">
        <v>299501</v>
      </c>
    </row>
    <row r="4419" spans="16:19" x14ac:dyDescent="0.3">
      <c r="P4419">
        <v>4418</v>
      </c>
      <c r="Q4419">
        <v>397864</v>
      </c>
      <c r="S4419">
        <v>182887</v>
      </c>
    </row>
    <row r="4420" spans="16:19" x14ac:dyDescent="0.3">
      <c r="P4420">
        <v>4419</v>
      </c>
      <c r="Q4420">
        <v>58248</v>
      </c>
      <c r="S4420">
        <v>-80760</v>
      </c>
    </row>
    <row r="4421" spans="16:19" x14ac:dyDescent="0.3">
      <c r="P4421">
        <v>4420</v>
      </c>
      <c r="Q4421">
        <v>-11949</v>
      </c>
      <c r="S4421">
        <v>-272597</v>
      </c>
    </row>
    <row r="4422" spans="16:19" x14ac:dyDescent="0.3">
      <c r="P4422">
        <v>4421</v>
      </c>
      <c r="Q4422">
        <v>-21599</v>
      </c>
      <c r="S4422">
        <v>-455458</v>
      </c>
    </row>
    <row r="4423" spans="16:19" x14ac:dyDescent="0.3">
      <c r="P4423">
        <v>4422</v>
      </c>
      <c r="Q4423">
        <v>-234655</v>
      </c>
      <c r="S4423">
        <v>-426890</v>
      </c>
    </row>
    <row r="4424" spans="16:19" x14ac:dyDescent="0.3">
      <c r="P4424">
        <v>4423</v>
      </c>
      <c r="Q4424">
        <v>-454720</v>
      </c>
      <c r="S4424">
        <v>-317035</v>
      </c>
    </row>
    <row r="4425" spans="16:19" x14ac:dyDescent="0.3">
      <c r="P4425">
        <v>4424</v>
      </c>
      <c r="Q4425">
        <v>-542642</v>
      </c>
      <c r="S4425">
        <v>-653646</v>
      </c>
    </row>
    <row r="4426" spans="16:19" x14ac:dyDescent="0.3">
      <c r="P4426">
        <v>4425</v>
      </c>
      <c r="Q4426">
        <v>11227</v>
      </c>
      <c r="S4426">
        <v>253309</v>
      </c>
    </row>
    <row r="4427" spans="16:19" x14ac:dyDescent="0.3">
      <c r="P4427">
        <v>4426</v>
      </c>
      <c r="Q4427">
        <v>452744</v>
      </c>
      <c r="S4427">
        <v>-493953</v>
      </c>
    </row>
    <row r="4428" spans="16:19" x14ac:dyDescent="0.3">
      <c r="P4428">
        <v>4427</v>
      </c>
      <c r="Q4428">
        <v>-292520</v>
      </c>
      <c r="S4428">
        <v>-62368</v>
      </c>
    </row>
    <row r="4429" spans="16:19" x14ac:dyDescent="0.3">
      <c r="P4429">
        <v>4428</v>
      </c>
      <c r="Q4429">
        <v>289292</v>
      </c>
      <c r="S4429">
        <v>-563439</v>
      </c>
    </row>
    <row r="4430" spans="16:19" x14ac:dyDescent="0.3">
      <c r="P4430">
        <v>4429</v>
      </c>
      <c r="Q4430">
        <v>-298068</v>
      </c>
      <c r="S4430">
        <v>-202706</v>
      </c>
    </row>
    <row r="4431" spans="16:19" x14ac:dyDescent="0.3">
      <c r="P4431">
        <v>4430</v>
      </c>
      <c r="Q4431">
        <v>-333497</v>
      </c>
      <c r="S4431">
        <v>-121794</v>
      </c>
    </row>
    <row r="4432" spans="16:19" x14ac:dyDescent="0.3">
      <c r="P4432">
        <v>4431</v>
      </c>
      <c r="Q4432">
        <v>-527538</v>
      </c>
      <c r="S4432">
        <v>429066</v>
      </c>
    </row>
    <row r="4433" spans="16:19" x14ac:dyDescent="0.3">
      <c r="P4433">
        <v>4432</v>
      </c>
      <c r="Q4433">
        <v>-518881</v>
      </c>
      <c r="S4433">
        <v>-298548</v>
      </c>
    </row>
    <row r="4434" spans="16:19" x14ac:dyDescent="0.3">
      <c r="P4434">
        <v>4433</v>
      </c>
      <c r="Q4434">
        <v>232310</v>
      </c>
      <c r="S4434">
        <v>-631648</v>
      </c>
    </row>
    <row r="4435" spans="16:19" x14ac:dyDescent="0.3">
      <c r="P4435">
        <v>4434</v>
      </c>
      <c r="Q4435">
        <v>544502</v>
      </c>
      <c r="S4435">
        <v>493864</v>
      </c>
    </row>
    <row r="4436" spans="16:19" x14ac:dyDescent="0.3">
      <c r="P4436">
        <v>4435</v>
      </c>
      <c r="Q4436">
        <v>152354</v>
      </c>
      <c r="S4436">
        <v>5917</v>
      </c>
    </row>
    <row r="4437" spans="16:19" x14ac:dyDescent="0.3">
      <c r="P4437">
        <v>4436</v>
      </c>
      <c r="Q4437">
        <v>859989</v>
      </c>
      <c r="S4437">
        <v>186846</v>
      </c>
    </row>
    <row r="4438" spans="16:19" x14ac:dyDescent="0.3">
      <c r="P4438">
        <v>4437</v>
      </c>
      <c r="Q4438">
        <v>-176941</v>
      </c>
      <c r="S4438">
        <v>372799</v>
      </c>
    </row>
    <row r="4439" spans="16:19" x14ac:dyDescent="0.3">
      <c r="P4439">
        <v>4438</v>
      </c>
      <c r="Q4439">
        <v>909493</v>
      </c>
      <c r="S4439">
        <v>-234920</v>
      </c>
    </row>
    <row r="4440" spans="16:19" x14ac:dyDescent="0.3">
      <c r="P4440">
        <v>4439</v>
      </c>
      <c r="Q4440">
        <v>-756358</v>
      </c>
      <c r="S4440">
        <v>-349347</v>
      </c>
    </row>
    <row r="4441" spans="16:19" x14ac:dyDescent="0.3">
      <c r="P4441">
        <v>4440</v>
      </c>
      <c r="Q4441">
        <v>287681</v>
      </c>
      <c r="S4441">
        <v>552282</v>
      </c>
    </row>
    <row r="4442" spans="16:19" x14ac:dyDescent="0.3">
      <c r="P4442">
        <v>4441</v>
      </c>
      <c r="Q4442">
        <v>488258</v>
      </c>
      <c r="S4442">
        <v>537838</v>
      </c>
    </row>
    <row r="4443" spans="16:19" x14ac:dyDescent="0.3">
      <c r="P4443">
        <v>4442</v>
      </c>
      <c r="Q4443">
        <v>-42789</v>
      </c>
      <c r="S4443">
        <v>-856172</v>
      </c>
    </row>
    <row r="4444" spans="16:19" x14ac:dyDescent="0.3">
      <c r="P4444">
        <v>4443</v>
      </c>
      <c r="Q4444">
        <v>-291652</v>
      </c>
      <c r="S4444">
        <v>-622047</v>
      </c>
    </row>
    <row r="4445" spans="16:19" x14ac:dyDescent="0.3">
      <c r="P4445">
        <v>4444</v>
      </c>
      <c r="Q4445">
        <v>-408231</v>
      </c>
      <c r="S4445">
        <v>-337485</v>
      </c>
    </row>
    <row r="4446" spans="16:19" x14ac:dyDescent="0.3">
      <c r="P4446">
        <v>4445</v>
      </c>
      <c r="Q4446">
        <v>121118</v>
      </c>
      <c r="S4446">
        <v>74463</v>
      </c>
    </row>
    <row r="4447" spans="16:19" x14ac:dyDescent="0.3">
      <c r="P4447">
        <v>4446</v>
      </c>
      <c r="Q4447">
        <v>397866</v>
      </c>
      <c r="S4447">
        <v>439068</v>
      </c>
    </row>
    <row r="4448" spans="16:19" x14ac:dyDescent="0.3">
      <c r="P4448">
        <v>4447</v>
      </c>
      <c r="Q4448">
        <v>872570</v>
      </c>
      <c r="S4448">
        <v>-97412</v>
      </c>
    </row>
    <row r="4449" spans="16:19" x14ac:dyDescent="0.3">
      <c r="P4449">
        <v>4448</v>
      </c>
      <c r="Q4449">
        <v>125323</v>
      </c>
      <c r="S4449">
        <v>-236444</v>
      </c>
    </row>
    <row r="4450" spans="16:19" x14ac:dyDescent="0.3">
      <c r="P4450">
        <v>4449</v>
      </c>
      <c r="Q4450">
        <v>-514608</v>
      </c>
      <c r="S4450">
        <v>-653342</v>
      </c>
    </row>
    <row r="4451" spans="16:19" x14ac:dyDescent="0.3">
      <c r="P4451">
        <v>4450</v>
      </c>
      <c r="Q4451">
        <v>-144486</v>
      </c>
      <c r="S4451">
        <v>62362</v>
      </c>
    </row>
    <row r="4452" spans="16:19" x14ac:dyDescent="0.3">
      <c r="P4452">
        <v>4451</v>
      </c>
      <c r="Q4452">
        <v>542400</v>
      </c>
      <c r="S4452">
        <v>232488</v>
      </c>
    </row>
    <row r="4453" spans="16:19" x14ac:dyDescent="0.3">
      <c r="P4453">
        <v>4452</v>
      </c>
      <c r="Q4453">
        <v>-296926</v>
      </c>
      <c r="S4453">
        <v>51485</v>
      </c>
    </row>
    <row r="4454" spans="16:19" x14ac:dyDescent="0.3">
      <c r="P4454">
        <v>4453</v>
      </c>
      <c r="Q4454">
        <v>-575684</v>
      </c>
      <c r="S4454">
        <v>158516</v>
      </c>
    </row>
    <row r="4455" spans="16:19" x14ac:dyDescent="0.3">
      <c r="P4455">
        <v>4454</v>
      </c>
      <c r="Q4455">
        <v>209107</v>
      </c>
      <c r="S4455">
        <v>-202179</v>
      </c>
    </row>
    <row r="4456" spans="16:19" x14ac:dyDescent="0.3">
      <c r="P4456">
        <v>4455</v>
      </c>
      <c r="Q4456">
        <v>-552791</v>
      </c>
      <c r="S4456">
        <v>926012</v>
      </c>
    </row>
    <row r="4457" spans="16:19" x14ac:dyDescent="0.3">
      <c r="P4457">
        <v>4456</v>
      </c>
      <c r="Q4457">
        <v>-701121</v>
      </c>
      <c r="S4457">
        <v>-30205</v>
      </c>
    </row>
    <row r="4458" spans="16:19" x14ac:dyDescent="0.3">
      <c r="P4458">
        <v>4457</v>
      </c>
      <c r="Q4458">
        <v>-241216</v>
      </c>
      <c r="S4458">
        <v>-623790</v>
      </c>
    </row>
    <row r="4459" spans="16:19" x14ac:dyDescent="0.3">
      <c r="P4459">
        <v>4458</v>
      </c>
      <c r="Q4459">
        <v>16154</v>
      </c>
      <c r="S4459">
        <v>809625</v>
      </c>
    </row>
    <row r="4460" spans="16:19" x14ac:dyDescent="0.3">
      <c r="P4460">
        <v>4459</v>
      </c>
      <c r="Q4460">
        <v>-782119</v>
      </c>
      <c r="S4460">
        <v>314988</v>
      </c>
    </row>
    <row r="4461" spans="16:19" x14ac:dyDescent="0.3">
      <c r="P4461">
        <v>4460</v>
      </c>
      <c r="Q4461">
        <v>347386</v>
      </c>
      <c r="S4461">
        <v>-195196</v>
      </c>
    </row>
    <row r="4462" spans="16:19" x14ac:dyDescent="0.3">
      <c r="P4462">
        <v>4461</v>
      </c>
      <c r="Q4462">
        <v>84666</v>
      </c>
      <c r="S4462">
        <v>97999</v>
      </c>
    </row>
    <row r="4463" spans="16:19" x14ac:dyDescent="0.3">
      <c r="P4463">
        <v>4462</v>
      </c>
      <c r="Q4463">
        <v>-677136</v>
      </c>
      <c r="S4463">
        <v>548639</v>
      </c>
    </row>
    <row r="4464" spans="16:19" x14ac:dyDescent="0.3">
      <c r="P4464">
        <v>4463</v>
      </c>
      <c r="Q4464">
        <v>-303751</v>
      </c>
      <c r="S4464">
        <v>455473</v>
      </c>
    </row>
    <row r="4465" spans="16:19" x14ac:dyDescent="0.3">
      <c r="P4465">
        <v>4464</v>
      </c>
      <c r="Q4465">
        <v>-629324</v>
      </c>
      <c r="S4465">
        <v>98941</v>
      </c>
    </row>
    <row r="4466" spans="16:19" x14ac:dyDescent="0.3">
      <c r="P4466">
        <v>4465</v>
      </c>
      <c r="Q4466">
        <v>-297040</v>
      </c>
      <c r="S4466">
        <v>473262</v>
      </c>
    </row>
    <row r="4467" spans="16:19" x14ac:dyDescent="0.3">
      <c r="P4467">
        <v>4466</v>
      </c>
      <c r="Q4467">
        <v>-249037</v>
      </c>
      <c r="S4467">
        <v>-514658</v>
      </c>
    </row>
    <row r="4468" spans="16:19" x14ac:dyDescent="0.3">
      <c r="P4468">
        <v>4467</v>
      </c>
      <c r="Q4468">
        <v>-381488</v>
      </c>
      <c r="S4468">
        <v>516200</v>
      </c>
    </row>
    <row r="4469" spans="16:19" x14ac:dyDescent="0.3">
      <c r="P4469">
        <v>4468</v>
      </c>
      <c r="Q4469">
        <v>614925</v>
      </c>
      <c r="S4469">
        <v>-532651</v>
      </c>
    </row>
    <row r="4470" spans="16:19" x14ac:dyDescent="0.3">
      <c r="P4470">
        <v>4469</v>
      </c>
      <c r="Q4470">
        <v>-22874</v>
      </c>
      <c r="S4470">
        <v>-395481</v>
      </c>
    </row>
    <row r="4471" spans="16:19" x14ac:dyDescent="0.3">
      <c r="P4471">
        <v>4470</v>
      </c>
      <c r="Q4471">
        <v>633478</v>
      </c>
      <c r="S4471">
        <v>-56137</v>
      </c>
    </row>
    <row r="4472" spans="16:19" x14ac:dyDescent="0.3">
      <c r="P4472">
        <v>4471</v>
      </c>
      <c r="Q4472">
        <v>-651455</v>
      </c>
      <c r="S4472">
        <v>607309</v>
      </c>
    </row>
    <row r="4473" spans="16:19" x14ac:dyDescent="0.3">
      <c r="P4473">
        <v>4472</v>
      </c>
      <c r="Q4473">
        <v>-363823</v>
      </c>
      <c r="S4473">
        <v>-295035</v>
      </c>
    </row>
    <row r="4474" spans="16:19" x14ac:dyDescent="0.3">
      <c r="P4474">
        <v>4473</v>
      </c>
      <c r="Q4474">
        <v>-65233</v>
      </c>
      <c r="S4474">
        <v>-419885</v>
      </c>
    </row>
    <row r="4475" spans="16:19" x14ac:dyDescent="0.3">
      <c r="P4475">
        <v>4474</v>
      </c>
      <c r="Q4475">
        <v>-172608</v>
      </c>
      <c r="S4475">
        <v>-618361</v>
      </c>
    </row>
    <row r="4476" spans="16:19" x14ac:dyDescent="0.3">
      <c r="P4476">
        <v>4475</v>
      </c>
      <c r="Q4476">
        <v>232505</v>
      </c>
      <c r="S4476">
        <v>85820</v>
      </c>
    </row>
    <row r="4477" spans="16:19" x14ac:dyDescent="0.3">
      <c r="P4477">
        <v>4476</v>
      </c>
      <c r="Q4477">
        <v>475882</v>
      </c>
      <c r="S4477">
        <v>-7149</v>
      </c>
    </row>
    <row r="4478" spans="16:19" x14ac:dyDescent="0.3">
      <c r="P4478">
        <v>4477</v>
      </c>
      <c r="Q4478">
        <v>-596972</v>
      </c>
      <c r="S4478">
        <v>12987</v>
      </c>
    </row>
    <row r="4479" spans="16:19" x14ac:dyDescent="0.3">
      <c r="P4479">
        <v>4478</v>
      </c>
      <c r="Q4479">
        <v>-40632</v>
      </c>
      <c r="S4479">
        <v>326102</v>
      </c>
    </row>
    <row r="4480" spans="16:19" x14ac:dyDescent="0.3">
      <c r="P4480">
        <v>4479</v>
      </c>
      <c r="Q4480">
        <v>-569360</v>
      </c>
      <c r="S4480">
        <v>-792794</v>
      </c>
    </row>
    <row r="4481" spans="16:19" x14ac:dyDescent="0.3">
      <c r="P4481">
        <v>4480</v>
      </c>
      <c r="Q4481">
        <v>122066</v>
      </c>
      <c r="S4481">
        <v>223522</v>
      </c>
    </row>
    <row r="4482" spans="16:19" x14ac:dyDescent="0.3">
      <c r="P4482">
        <v>4481</v>
      </c>
      <c r="Q4482">
        <v>-347339</v>
      </c>
      <c r="S4482">
        <v>198806</v>
      </c>
    </row>
    <row r="4483" spans="16:19" x14ac:dyDescent="0.3">
      <c r="P4483">
        <v>4482</v>
      </c>
      <c r="Q4483">
        <v>-464246</v>
      </c>
      <c r="S4483">
        <v>113050</v>
      </c>
    </row>
    <row r="4484" spans="16:19" x14ac:dyDescent="0.3">
      <c r="P4484">
        <v>4483</v>
      </c>
      <c r="Q4484">
        <v>512087</v>
      </c>
      <c r="S4484">
        <v>481840</v>
      </c>
    </row>
    <row r="4485" spans="16:19" x14ac:dyDescent="0.3">
      <c r="P4485">
        <v>4484</v>
      </c>
      <c r="Q4485">
        <v>-361940</v>
      </c>
      <c r="S4485">
        <v>-378885</v>
      </c>
    </row>
    <row r="4486" spans="16:19" x14ac:dyDescent="0.3">
      <c r="P4486">
        <v>4485</v>
      </c>
      <c r="Q4486">
        <v>-648653</v>
      </c>
      <c r="S4486">
        <v>223652</v>
      </c>
    </row>
    <row r="4487" spans="16:19" x14ac:dyDescent="0.3">
      <c r="P4487">
        <v>4486</v>
      </c>
      <c r="Q4487">
        <v>-289449</v>
      </c>
      <c r="S4487">
        <v>-437300</v>
      </c>
    </row>
    <row r="4488" spans="16:19" x14ac:dyDescent="0.3">
      <c r="P4488">
        <v>4487</v>
      </c>
      <c r="Q4488">
        <v>-372544</v>
      </c>
      <c r="S4488">
        <v>791110</v>
      </c>
    </row>
    <row r="4489" spans="16:19" x14ac:dyDescent="0.3">
      <c r="P4489">
        <v>4488</v>
      </c>
      <c r="Q4489">
        <v>-833873</v>
      </c>
      <c r="S4489">
        <v>-133439</v>
      </c>
    </row>
    <row r="4490" spans="16:19" x14ac:dyDescent="0.3">
      <c r="P4490">
        <v>4489</v>
      </c>
      <c r="Q4490">
        <v>-669261</v>
      </c>
      <c r="S4490">
        <v>844258</v>
      </c>
    </row>
    <row r="4491" spans="16:19" x14ac:dyDescent="0.3">
      <c r="P4491">
        <v>4490</v>
      </c>
      <c r="Q4491">
        <v>-524205</v>
      </c>
      <c r="S4491">
        <v>412370</v>
      </c>
    </row>
    <row r="4492" spans="16:19" x14ac:dyDescent="0.3">
      <c r="P4492">
        <v>4491</v>
      </c>
      <c r="Q4492">
        <v>427396</v>
      </c>
      <c r="S4492">
        <v>-614847</v>
      </c>
    </row>
    <row r="4493" spans="16:19" x14ac:dyDescent="0.3">
      <c r="P4493">
        <v>4492</v>
      </c>
      <c r="Q4493">
        <v>230677</v>
      </c>
      <c r="S4493">
        <v>-388453</v>
      </c>
    </row>
    <row r="4494" spans="16:19" x14ac:dyDescent="0.3">
      <c r="P4494">
        <v>4493</v>
      </c>
      <c r="Q4494">
        <v>-660540</v>
      </c>
      <c r="S4494">
        <v>-453352</v>
      </c>
    </row>
    <row r="4495" spans="16:19" x14ac:dyDescent="0.3">
      <c r="P4495">
        <v>4494</v>
      </c>
      <c r="Q4495">
        <v>-272475</v>
      </c>
      <c r="S4495">
        <v>-227792</v>
      </c>
    </row>
    <row r="4496" spans="16:19" x14ac:dyDescent="0.3">
      <c r="P4496">
        <v>4495</v>
      </c>
      <c r="Q4496">
        <v>191273</v>
      </c>
      <c r="S4496">
        <v>809411</v>
      </c>
    </row>
    <row r="4497" spans="16:19" x14ac:dyDescent="0.3">
      <c r="P4497">
        <v>4496</v>
      </c>
      <c r="Q4497">
        <v>-428149</v>
      </c>
      <c r="S4497">
        <v>366402</v>
      </c>
    </row>
    <row r="4498" spans="16:19" x14ac:dyDescent="0.3">
      <c r="P4498">
        <v>4497</v>
      </c>
      <c r="Q4498">
        <v>-52993</v>
      </c>
      <c r="S4498">
        <v>-408072</v>
      </c>
    </row>
    <row r="4499" spans="16:19" x14ac:dyDescent="0.3">
      <c r="P4499">
        <v>4498</v>
      </c>
      <c r="Q4499">
        <v>-318499</v>
      </c>
      <c r="S4499">
        <v>-213382</v>
      </c>
    </row>
    <row r="4500" spans="16:19" x14ac:dyDescent="0.3">
      <c r="P4500">
        <v>4499</v>
      </c>
      <c r="Q4500">
        <v>-497616</v>
      </c>
      <c r="S4500">
        <v>-226389</v>
      </c>
    </row>
    <row r="4501" spans="16:19" x14ac:dyDescent="0.3">
      <c r="P4501">
        <v>4500</v>
      </c>
      <c r="Q4501">
        <v>-230162</v>
      </c>
      <c r="S4501">
        <v>194918</v>
      </c>
    </row>
    <row r="4502" spans="16:19" x14ac:dyDescent="0.3">
      <c r="P4502">
        <v>4501</v>
      </c>
      <c r="Q4502">
        <v>191459</v>
      </c>
      <c r="S4502">
        <v>323861</v>
      </c>
    </row>
    <row r="4503" spans="16:19" x14ac:dyDescent="0.3">
      <c r="P4503">
        <v>4502</v>
      </c>
      <c r="Q4503">
        <v>-357472</v>
      </c>
      <c r="S4503">
        <v>-121143</v>
      </c>
    </row>
    <row r="4504" spans="16:19" x14ac:dyDescent="0.3">
      <c r="P4504">
        <v>4503</v>
      </c>
      <c r="Q4504">
        <v>820916</v>
      </c>
      <c r="S4504">
        <v>-193160</v>
      </c>
    </row>
    <row r="4505" spans="16:19" x14ac:dyDescent="0.3">
      <c r="P4505">
        <v>4504</v>
      </c>
      <c r="Q4505">
        <v>-676707</v>
      </c>
      <c r="S4505">
        <v>-325535</v>
      </c>
    </row>
    <row r="4506" spans="16:19" x14ac:dyDescent="0.3">
      <c r="P4506">
        <v>4505</v>
      </c>
      <c r="Q4506">
        <v>-451198</v>
      </c>
      <c r="S4506">
        <v>632891</v>
      </c>
    </row>
    <row r="4507" spans="16:19" x14ac:dyDescent="0.3">
      <c r="P4507">
        <v>4506</v>
      </c>
      <c r="Q4507">
        <v>-27872</v>
      </c>
      <c r="S4507">
        <v>519048</v>
      </c>
    </row>
    <row r="4508" spans="16:19" x14ac:dyDescent="0.3">
      <c r="P4508">
        <v>4507</v>
      </c>
      <c r="Q4508">
        <v>408199</v>
      </c>
      <c r="S4508">
        <v>298933</v>
      </c>
    </row>
    <row r="4509" spans="16:19" x14ac:dyDescent="0.3">
      <c r="P4509">
        <v>4508</v>
      </c>
      <c r="Q4509">
        <v>206204</v>
      </c>
      <c r="S4509">
        <v>775210</v>
      </c>
    </row>
    <row r="4510" spans="16:19" x14ac:dyDescent="0.3">
      <c r="P4510">
        <v>4509</v>
      </c>
      <c r="Q4510">
        <v>87307</v>
      </c>
      <c r="S4510">
        <v>305207</v>
      </c>
    </row>
    <row r="4511" spans="16:19" x14ac:dyDescent="0.3">
      <c r="P4511">
        <v>4510</v>
      </c>
      <c r="Q4511">
        <v>567269</v>
      </c>
      <c r="S4511">
        <v>98317</v>
      </c>
    </row>
    <row r="4512" spans="16:19" x14ac:dyDescent="0.3">
      <c r="P4512">
        <v>4511</v>
      </c>
      <c r="Q4512">
        <v>602556</v>
      </c>
      <c r="S4512">
        <v>-127886</v>
      </c>
    </row>
    <row r="4513" spans="16:19" x14ac:dyDescent="0.3">
      <c r="P4513">
        <v>4512</v>
      </c>
      <c r="Q4513">
        <v>-37154</v>
      </c>
      <c r="S4513">
        <v>419854</v>
      </c>
    </row>
    <row r="4514" spans="16:19" x14ac:dyDescent="0.3">
      <c r="P4514">
        <v>4513</v>
      </c>
      <c r="Q4514">
        <v>261345</v>
      </c>
      <c r="S4514">
        <v>595677</v>
      </c>
    </row>
    <row r="4515" spans="16:19" x14ac:dyDescent="0.3">
      <c r="P4515">
        <v>4514</v>
      </c>
      <c r="Q4515">
        <v>24744</v>
      </c>
      <c r="S4515">
        <v>495387</v>
      </c>
    </row>
    <row r="4516" spans="16:19" x14ac:dyDescent="0.3">
      <c r="P4516">
        <v>4515</v>
      </c>
      <c r="Q4516">
        <v>719735</v>
      </c>
      <c r="S4516">
        <v>-134357</v>
      </c>
    </row>
    <row r="4517" spans="16:19" x14ac:dyDescent="0.3">
      <c r="P4517">
        <v>4516</v>
      </c>
      <c r="Q4517">
        <v>256156</v>
      </c>
      <c r="S4517">
        <v>-474159</v>
      </c>
    </row>
    <row r="4518" spans="16:19" x14ac:dyDescent="0.3">
      <c r="P4518">
        <v>4517</v>
      </c>
      <c r="Q4518">
        <v>-659137</v>
      </c>
      <c r="S4518">
        <v>353983</v>
      </c>
    </row>
    <row r="4519" spans="16:19" x14ac:dyDescent="0.3">
      <c r="P4519">
        <v>4518</v>
      </c>
      <c r="Q4519">
        <v>-99374</v>
      </c>
      <c r="S4519">
        <v>630317</v>
      </c>
    </row>
    <row r="4520" spans="16:19" x14ac:dyDescent="0.3">
      <c r="P4520">
        <v>4519</v>
      </c>
      <c r="Q4520">
        <v>495715</v>
      </c>
      <c r="S4520">
        <v>-119389</v>
      </c>
    </row>
    <row r="4521" spans="16:19" x14ac:dyDescent="0.3">
      <c r="P4521">
        <v>4520</v>
      </c>
      <c r="Q4521">
        <v>202424</v>
      </c>
      <c r="S4521">
        <v>432979</v>
      </c>
    </row>
    <row r="4522" spans="16:19" x14ac:dyDescent="0.3">
      <c r="P4522">
        <v>4521</v>
      </c>
      <c r="Q4522">
        <v>1050446</v>
      </c>
      <c r="S4522">
        <v>-737830</v>
      </c>
    </row>
    <row r="4523" spans="16:19" x14ac:dyDescent="0.3">
      <c r="P4523">
        <v>4522</v>
      </c>
      <c r="Q4523">
        <v>397042</v>
      </c>
      <c r="S4523">
        <v>523555</v>
      </c>
    </row>
    <row r="4524" spans="16:19" x14ac:dyDescent="0.3">
      <c r="P4524">
        <v>4523</v>
      </c>
      <c r="Q4524">
        <v>756617</v>
      </c>
      <c r="S4524">
        <v>-626655</v>
      </c>
    </row>
    <row r="4525" spans="16:19" x14ac:dyDescent="0.3">
      <c r="P4525">
        <v>4524</v>
      </c>
      <c r="Q4525">
        <v>-117215</v>
      </c>
      <c r="S4525">
        <v>412497</v>
      </c>
    </row>
    <row r="4526" spans="16:19" x14ac:dyDescent="0.3">
      <c r="P4526">
        <v>4525</v>
      </c>
      <c r="Q4526">
        <v>762633</v>
      </c>
      <c r="S4526">
        <v>538211</v>
      </c>
    </row>
    <row r="4527" spans="16:19" x14ac:dyDescent="0.3">
      <c r="P4527">
        <v>4526</v>
      </c>
      <c r="Q4527">
        <v>-371763</v>
      </c>
      <c r="S4527">
        <v>271209</v>
      </c>
    </row>
    <row r="4528" spans="16:19" x14ac:dyDescent="0.3">
      <c r="P4528">
        <v>4527</v>
      </c>
      <c r="Q4528">
        <v>626046</v>
      </c>
      <c r="S4528">
        <v>-85687</v>
      </c>
    </row>
    <row r="4529" spans="16:19" x14ac:dyDescent="0.3">
      <c r="P4529">
        <v>4528</v>
      </c>
      <c r="Q4529">
        <v>-302607</v>
      </c>
      <c r="S4529">
        <v>735922</v>
      </c>
    </row>
    <row r="4530" spans="16:19" x14ac:dyDescent="0.3">
      <c r="P4530">
        <v>4529</v>
      </c>
      <c r="Q4530">
        <v>282772</v>
      </c>
      <c r="S4530">
        <v>316357</v>
      </c>
    </row>
    <row r="4531" spans="16:19" x14ac:dyDescent="0.3">
      <c r="P4531">
        <v>4530</v>
      </c>
      <c r="Q4531">
        <v>196195</v>
      </c>
      <c r="S4531">
        <v>-444514</v>
      </c>
    </row>
    <row r="4532" spans="16:19" x14ac:dyDescent="0.3">
      <c r="P4532">
        <v>4531</v>
      </c>
      <c r="Q4532">
        <v>229137</v>
      </c>
      <c r="S4532">
        <v>-37320</v>
      </c>
    </row>
    <row r="4533" spans="16:19" x14ac:dyDescent="0.3">
      <c r="P4533">
        <v>4532</v>
      </c>
      <c r="Q4533">
        <v>348644</v>
      </c>
      <c r="S4533">
        <v>-122298</v>
      </c>
    </row>
    <row r="4534" spans="16:19" x14ac:dyDescent="0.3">
      <c r="P4534">
        <v>4533</v>
      </c>
      <c r="Q4534">
        <v>15263</v>
      </c>
      <c r="S4534">
        <v>502237</v>
      </c>
    </row>
    <row r="4535" spans="16:19" x14ac:dyDescent="0.3">
      <c r="P4535">
        <v>4534</v>
      </c>
      <c r="Q4535">
        <v>-406705</v>
      </c>
      <c r="S4535">
        <v>-611953</v>
      </c>
    </row>
    <row r="4536" spans="16:19" x14ac:dyDescent="0.3">
      <c r="P4536">
        <v>4535</v>
      </c>
      <c r="Q4536">
        <v>326686</v>
      </c>
      <c r="S4536">
        <v>370618</v>
      </c>
    </row>
    <row r="4537" spans="16:19" x14ac:dyDescent="0.3">
      <c r="P4537">
        <v>4536</v>
      </c>
      <c r="Q4537">
        <v>382519</v>
      </c>
      <c r="S4537">
        <v>338774</v>
      </c>
    </row>
    <row r="4538" spans="16:19" x14ac:dyDescent="0.3">
      <c r="P4538">
        <v>4537</v>
      </c>
      <c r="Q4538">
        <v>20648</v>
      </c>
      <c r="S4538">
        <v>-90131</v>
      </c>
    </row>
    <row r="4539" spans="16:19" x14ac:dyDescent="0.3">
      <c r="P4539">
        <v>4538</v>
      </c>
      <c r="Q4539">
        <v>-129038</v>
      </c>
      <c r="S4539">
        <v>162981</v>
      </c>
    </row>
    <row r="4540" spans="16:19" x14ac:dyDescent="0.3">
      <c r="P4540">
        <v>4539</v>
      </c>
      <c r="Q4540">
        <v>545885</v>
      </c>
      <c r="S4540">
        <v>-156936</v>
      </c>
    </row>
    <row r="4541" spans="16:19" x14ac:dyDescent="0.3">
      <c r="P4541">
        <v>4540</v>
      </c>
      <c r="Q4541">
        <v>-322573</v>
      </c>
      <c r="S4541">
        <v>295006</v>
      </c>
    </row>
    <row r="4542" spans="16:19" x14ac:dyDescent="0.3">
      <c r="P4542">
        <v>4541</v>
      </c>
      <c r="Q4542">
        <v>293123</v>
      </c>
      <c r="S4542">
        <v>1025152</v>
      </c>
    </row>
    <row r="4543" spans="16:19" x14ac:dyDescent="0.3">
      <c r="P4543">
        <v>4542</v>
      </c>
      <c r="Q4543">
        <v>624774</v>
      </c>
      <c r="S4543">
        <v>-638068</v>
      </c>
    </row>
    <row r="4544" spans="16:19" x14ac:dyDescent="0.3">
      <c r="P4544">
        <v>4543</v>
      </c>
      <c r="Q4544">
        <v>-542885</v>
      </c>
      <c r="S4544">
        <v>-336050</v>
      </c>
    </row>
    <row r="4545" spans="16:19" x14ac:dyDescent="0.3">
      <c r="P4545">
        <v>4544</v>
      </c>
      <c r="Q4545">
        <v>269659</v>
      </c>
      <c r="S4545">
        <v>83128</v>
      </c>
    </row>
    <row r="4546" spans="16:19" x14ac:dyDescent="0.3">
      <c r="P4546">
        <v>4545</v>
      </c>
      <c r="Q4546">
        <v>-350773</v>
      </c>
      <c r="S4546">
        <v>174816</v>
      </c>
    </row>
    <row r="4547" spans="16:19" x14ac:dyDescent="0.3">
      <c r="P4547">
        <v>4546</v>
      </c>
      <c r="Q4547">
        <v>-129074</v>
      </c>
      <c r="S4547">
        <v>-490565</v>
      </c>
    </row>
    <row r="4548" spans="16:19" x14ac:dyDescent="0.3">
      <c r="P4548">
        <v>4547</v>
      </c>
      <c r="Q4548">
        <v>-291681</v>
      </c>
      <c r="S4548">
        <v>-417610</v>
      </c>
    </row>
    <row r="4549" spans="16:19" x14ac:dyDescent="0.3">
      <c r="P4549">
        <v>4548</v>
      </c>
      <c r="Q4549">
        <v>177837</v>
      </c>
      <c r="S4549">
        <v>91510</v>
      </c>
    </row>
    <row r="4550" spans="16:19" x14ac:dyDescent="0.3">
      <c r="P4550">
        <v>4549</v>
      </c>
      <c r="Q4550">
        <v>785799</v>
      </c>
      <c r="S4550">
        <v>-613255</v>
      </c>
    </row>
    <row r="4551" spans="16:19" x14ac:dyDescent="0.3">
      <c r="P4551">
        <v>4550</v>
      </c>
      <c r="Q4551">
        <v>-457749</v>
      </c>
      <c r="S4551">
        <v>370295</v>
      </c>
    </row>
    <row r="4552" spans="16:19" x14ac:dyDescent="0.3">
      <c r="P4552">
        <v>4551</v>
      </c>
      <c r="Q4552">
        <v>-789372</v>
      </c>
      <c r="S4552">
        <v>-546812</v>
      </c>
    </row>
    <row r="4553" spans="16:19" x14ac:dyDescent="0.3">
      <c r="P4553">
        <v>4552</v>
      </c>
      <c r="Q4553">
        <v>483834</v>
      </c>
      <c r="S4553">
        <v>656840</v>
      </c>
    </row>
    <row r="4554" spans="16:19" x14ac:dyDescent="0.3">
      <c r="P4554">
        <v>4553</v>
      </c>
      <c r="Q4554">
        <v>-20434</v>
      </c>
      <c r="S4554">
        <v>-410255</v>
      </c>
    </row>
    <row r="4555" spans="16:19" x14ac:dyDescent="0.3">
      <c r="P4555">
        <v>4554</v>
      </c>
      <c r="Q4555">
        <v>-149315</v>
      </c>
      <c r="S4555">
        <v>-384486</v>
      </c>
    </row>
    <row r="4556" spans="16:19" x14ac:dyDescent="0.3">
      <c r="P4556">
        <v>4555</v>
      </c>
      <c r="Q4556">
        <v>-45036</v>
      </c>
      <c r="S4556">
        <v>-69228</v>
      </c>
    </row>
    <row r="4557" spans="16:19" x14ac:dyDescent="0.3">
      <c r="P4557">
        <v>4556</v>
      </c>
      <c r="Q4557">
        <v>333196</v>
      </c>
      <c r="S4557">
        <v>-542694</v>
      </c>
    </row>
    <row r="4558" spans="16:19" x14ac:dyDescent="0.3">
      <c r="P4558">
        <v>4557</v>
      </c>
      <c r="Q4558">
        <v>588557</v>
      </c>
      <c r="S4558">
        <v>10029</v>
      </c>
    </row>
    <row r="4559" spans="16:19" x14ac:dyDescent="0.3">
      <c r="P4559">
        <v>4558</v>
      </c>
      <c r="Q4559">
        <v>539941</v>
      </c>
      <c r="S4559">
        <v>-99328</v>
      </c>
    </row>
    <row r="4560" spans="16:19" x14ac:dyDescent="0.3">
      <c r="P4560">
        <v>4559</v>
      </c>
      <c r="Q4560">
        <v>-112449</v>
      </c>
      <c r="S4560">
        <v>-116733</v>
      </c>
    </row>
    <row r="4561" spans="16:19" x14ac:dyDescent="0.3">
      <c r="P4561">
        <v>4560</v>
      </c>
      <c r="Q4561">
        <v>149849</v>
      </c>
      <c r="S4561">
        <v>583676</v>
      </c>
    </row>
    <row r="4562" spans="16:19" x14ac:dyDescent="0.3">
      <c r="P4562">
        <v>4561</v>
      </c>
      <c r="Q4562">
        <v>-355216</v>
      </c>
      <c r="S4562">
        <v>658842</v>
      </c>
    </row>
    <row r="4563" spans="16:19" x14ac:dyDescent="0.3">
      <c r="P4563">
        <v>4562</v>
      </c>
      <c r="Q4563">
        <v>-625718</v>
      </c>
      <c r="S4563">
        <v>-389016</v>
      </c>
    </row>
    <row r="4564" spans="16:19" x14ac:dyDescent="0.3">
      <c r="P4564">
        <v>4563</v>
      </c>
      <c r="Q4564">
        <v>-413343</v>
      </c>
      <c r="S4564">
        <v>-503356</v>
      </c>
    </row>
    <row r="4565" spans="16:19" x14ac:dyDescent="0.3">
      <c r="P4565">
        <v>4564</v>
      </c>
      <c r="Q4565">
        <v>136505</v>
      </c>
      <c r="S4565">
        <v>-707019</v>
      </c>
    </row>
    <row r="4566" spans="16:19" x14ac:dyDescent="0.3">
      <c r="P4566">
        <v>4565</v>
      </c>
      <c r="Q4566">
        <v>-565865</v>
      </c>
      <c r="S4566">
        <v>-351700</v>
      </c>
    </row>
    <row r="4567" spans="16:19" x14ac:dyDescent="0.3">
      <c r="P4567">
        <v>4566</v>
      </c>
      <c r="Q4567">
        <v>-504349</v>
      </c>
      <c r="S4567">
        <v>-628565</v>
      </c>
    </row>
    <row r="4568" spans="16:19" x14ac:dyDescent="0.3">
      <c r="P4568">
        <v>4567</v>
      </c>
      <c r="Q4568">
        <v>-401941</v>
      </c>
      <c r="S4568">
        <v>-174660</v>
      </c>
    </row>
    <row r="4569" spans="16:19" x14ac:dyDescent="0.3">
      <c r="P4569">
        <v>4568</v>
      </c>
      <c r="Q4569">
        <v>-468246</v>
      </c>
      <c r="S4569">
        <v>-350042</v>
      </c>
    </row>
    <row r="4570" spans="16:19" x14ac:dyDescent="0.3">
      <c r="P4570">
        <v>4569</v>
      </c>
      <c r="Q4570">
        <v>-234753</v>
      </c>
      <c r="S4570">
        <v>-759038</v>
      </c>
    </row>
    <row r="4571" spans="16:19" x14ac:dyDescent="0.3">
      <c r="P4571">
        <v>4570</v>
      </c>
      <c r="Q4571">
        <v>221790</v>
      </c>
      <c r="S4571">
        <v>232291</v>
      </c>
    </row>
    <row r="4572" spans="16:19" x14ac:dyDescent="0.3">
      <c r="P4572">
        <v>4571</v>
      </c>
      <c r="Q4572">
        <v>1034507</v>
      </c>
      <c r="S4572">
        <v>-543314</v>
      </c>
    </row>
    <row r="4573" spans="16:19" x14ac:dyDescent="0.3">
      <c r="P4573">
        <v>4572</v>
      </c>
      <c r="Q4573">
        <v>176069</v>
      </c>
      <c r="S4573">
        <v>546895</v>
      </c>
    </row>
    <row r="4574" spans="16:19" x14ac:dyDescent="0.3">
      <c r="P4574">
        <v>4573</v>
      </c>
      <c r="Q4574">
        <v>-169267</v>
      </c>
      <c r="S4574">
        <v>113019</v>
      </c>
    </row>
    <row r="4575" spans="16:19" x14ac:dyDescent="0.3">
      <c r="P4575">
        <v>4574</v>
      </c>
      <c r="Q4575">
        <v>873345</v>
      </c>
      <c r="S4575">
        <v>-186391</v>
      </c>
    </row>
    <row r="4576" spans="16:19" x14ac:dyDescent="0.3">
      <c r="P4576">
        <v>4575</v>
      </c>
      <c r="Q4576">
        <v>-676480</v>
      </c>
      <c r="S4576">
        <v>-404386</v>
      </c>
    </row>
    <row r="4577" spans="16:19" x14ac:dyDescent="0.3">
      <c r="P4577">
        <v>4576</v>
      </c>
      <c r="Q4577">
        <v>782390</v>
      </c>
      <c r="S4577">
        <v>-727935</v>
      </c>
    </row>
    <row r="4578" spans="16:19" x14ac:dyDescent="0.3">
      <c r="P4578">
        <v>4577</v>
      </c>
      <c r="Q4578">
        <v>-98832</v>
      </c>
      <c r="S4578">
        <v>20371</v>
      </c>
    </row>
    <row r="4579" spans="16:19" x14ac:dyDescent="0.3">
      <c r="P4579">
        <v>4578</v>
      </c>
      <c r="Q4579">
        <v>-235698</v>
      </c>
      <c r="S4579">
        <v>160589</v>
      </c>
    </row>
    <row r="4580" spans="16:19" x14ac:dyDescent="0.3">
      <c r="P4580">
        <v>4579</v>
      </c>
      <c r="Q4580">
        <v>-608784</v>
      </c>
      <c r="S4580">
        <v>300690</v>
      </c>
    </row>
    <row r="4581" spans="16:19" x14ac:dyDescent="0.3">
      <c r="P4581">
        <v>4580</v>
      </c>
      <c r="Q4581">
        <v>389755</v>
      </c>
      <c r="S4581">
        <v>423326</v>
      </c>
    </row>
    <row r="4582" spans="16:19" x14ac:dyDescent="0.3">
      <c r="P4582">
        <v>4581</v>
      </c>
      <c r="Q4582">
        <v>682105</v>
      </c>
      <c r="S4582">
        <v>769581</v>
      </c>
    </row>
    <row r="4583" spans="16:19" x14ac:dyDescent="0.3">
      <c r="P4583">
        <v>4582</v>
      </c>
      <c r="Q4583">
        <v>-386226</v>
      </c>
      <c r="S4583">
        <v>-171473</v>
      </c>
    </row>
    <row r="4584" spans="16:19" x14ac:dyDescent="0.3">
      <c r="P4584">
        <v>4583</v>
      </c>
      <c r="Q4584">
        <v>103605</v>
      </c>
      <c r="S4584">
        <v>286648</v>
      </c>
    </row>
    <row r="4585" spans="16:19" x14ac:dyDescent="0.3">
      <c r="P4585">
        <v>4584</v>
      </c>
      <c r="Q4585">
        <v>474047</v>
      </c>
      <c r="S4585">
        <v>525916</v>
      </c>
    </row>
    <row r="4586" spans="16:19" x14ac:dyDescent="0.3">
      <c r="P4586">
        <v>4585</v>
      </c>
      <c r="Q4586">
        <v>-361643</v>
      </c>
      <c r="S4586">
        <v>-478447</v>
      </c>
    </row>
    <row r="4587" spans="16:19" x14ac:dyDescent="0.3">
      <c r="P4587">
        <v>4586</v>
      </c>
      <c r="Q4587">
        <v>315836</v>
      </c>
      <c r="S4587">
        <v>360964</v>
      </c>
    </row>
    <row r="4588" spans="16:19" x14ac:dyDescent="0.3">
      <c r="P4588">
        <v>4587</v>
      </c>
      <c r="Q4588">
        <v>-550438</v>
      </c>
      <c r="S4588">
        <v>-176985</v>
      </c>
    </row>
    <row r="4589" spans="16:19" x14ac:dyDescent="0.3">
      <c r="P4589">
        <v>4588</v>
      </c>
      <c r="Q4589">
        <v>-197185</v>
      </c>
      <c r="S4589">
        <v>259694</v>
      </c>
    </row>
    <row r="4590" spans="16:19" x14ac:dyDescent="0.3">
      <c r="P4590">
        <v>4589</v>
      </c>
      <c r="Q4590">
        <v>152034</v>
      </c>
      <c r="S4590">
        <v>727730</v>
      </c>
    </row>
    <row r="4591" spans="16:19" x14ac:dyDescent="0.3">
      <c r="P4591">
        <v>4590</v>
      </c>
      <c r="Q4591">
        <v>-178230</v>
      </c>
      <c r="S4591">
        <v>-306284</v>
      </c>
    </row>
    <row r="4592" spans="16:19" x14ac:dyDescent="0.3">
      <c r="P4592">
        <v>4591</v>
      </c>
      <c r="Q4592">
        <v>90470</v>
      </c>
      <c r="S4592">
        <v>-58995</v>
      </c>
    </row>
    <row r="4593" spans="16:19" x14ac:dyDescent="0.3">
      <c r="P4593">
        <v>4592</v>
      </c>
      <c r="Q4593">
        <v>82929</v>
      </c>
      <c r="S4593">
        <v>394112</v>
      </c>
    </row>
    <row r="4594" spans="16:19" x14ac:dyDescent="0.3">
      <c r="P4594">
        <v>4593</v>
      </c>
      <c r="Q4594">
        <v>715492</v>
      </c>
      <c r="S4594">
        <v>-164772</v>
      </c>
    </row>
    <row r="4595" spans="16:19" x14ac:dyDescent="0.3">
      <c r="P4595">
        <v>4594</v>
      </c>
      <c r="Q4595">
        <v>-454720</v>
      </c>
      <c r="S4595">
        <v>-367875</v>
      </c>
    </row>
    <row r="4596" spans="16:19" x14ac:dyDescent="0.3">
      <c r="P4596">
        <v>4595</v>
      </c>
      <c r="Q4596">
        <v>438151</v>
      </c>
      <c r="S4596">
        <v>-445302</v>
      </c>
    </row>
    <row r="4597" spans="16:19" x14ac:dyDescent="0.3">
      <c r="P4597">
        <v>4596</v>
      </c>
      <c r="Q4597">
        <v>-471522</v>
      </c>
      <c r="S4597">
        <v>242444</v>
      </c>
    </row>
    <row r="4598" spans="16:19" x14ac:dyDescent="0.3">
      <c r="P4598">
        <v>4597</v>
      </c>
      <c r="Q4598">
        <v>-84329</v>
      </c>
      <c r="S4598">
        <v>289797</v>
      </c>
    </row>
    <row r="4599" spans="16:19" x14ac:dyDescent="0.3">
      <c r="P4599">
        <v>4598</v>
      </c>
      <c r="Q4599">
        <v>83157</v>
      </c>
      <c r="S4599">
        <v>-353834</v>
      </c>
    </row>
    <row r="4600" spans="16:19" x14ac:dyDescent="0.3">
      <c r="P4600">
        <v>4599</v>
      </c>
      <c r="Q4600">
        <v>-55468</v>
      </c>
      <c r="S4600">
        <v>-148706</v>
      </c>
    </row>
    <row r="4601" spans="16:19" x14ac:dyDescent="0.3">
      <c r="P4601">
        <v>4600</v>
      </c>
      <c r="Q4601">
        <v>-425014</v>
      </c>
      <c r="S4601">
        <v>175591</v>
      </c>
    </row>
    <row r="4602" spans="16:19" x14ac:dyDescent="0.3">
      <c r="P4602">
        <v>4601</v>
      </c>
      <c r="Q4602">
        <v>155305</v>
      </c>
      <c r="S4602">
        <v>637833</v>
      </c>
    </row>
    <row r="4603" spans="16:19" x14ac:dyDescent="0.3">
      <c r="P4603">
        <v>4602</v>
      </c>
      <c r="Q4603">
        <v>187281</v>
      </c>
      <c r="S4603">
        <v>-320879</v>
      </c>
    </row>
    <row r="4604" spans="16:19" x14ac:dyDescent="0.3">
      <c r="P4604">
        <v>4603</v>
      </c>
      <c r="Q4604">
        <v>-142214</v>
      </c>
      <c r="S4604">
        <v>140861</v>
      </c>
    </row>
    <row r="4605" spans="16:19" x14ac:dyDescent="0.3">
      <c r="P4605">
        <v>4604</v>
      </c>
      <c r="Q4605">
        <v>-469012</v>
      </c>
      <c r="S4605">
        <v>-448068</v>
      </c>
    </row>
    <row r="4606" spans="16:19" x14ac:dyDescent="0.3">
      <c r="P4606">
        <v>4605</v>
      </c>
      <c r="Q4606">
        <v>541253</v>
      </c>
      <c r="S4606">
        <v>-566008</v>
      </c>
    </row>
    <row r="4607" spans="16:19" x14ac:dyDescent="0.3">
      <c r="P4607">
        <v>4606</v>
      </c>
      <c r="Q4607">
        <v>-475412</v>
      </c>
      <c r="S4607">
        <v>-436452</v>
      </c>
    </row>
    <row r="4608" spans="16:19" x14ac:dyDescent="0.3">
      <c r="P4608">
        <v>4607</v>
      </c>
      <c r="Q4608">
        <v>183449</v>
      </c>
      <c r="S4608">
        <v>109059</v>
      </c>
    </row>
    <row r="4609" spans="16:19" x14ac:dyDescent="0.3">
      <c r="P4609">
        <v>4608</v>
      </c>
      <c r="Q4609">
        <v>-374</v>
      </c>
      <c r="S4609">
        <v>341132</v>
      </c>
    </row>
    <row r="4610" spans="16:19" x14ac:dyDescent="0.3">
      <c r="P4610">
        <v>4609</v>
      </c>
      <c r="Q4610">
        <v>523216</v>
      </c>
      <c r="S4610">
        <v>286421</v>
      </c>
    </row>
    <row r="4611" spans="16:19" x14ac:dyDescent="0.3">
      <c r="P4611">
        <v>4610</v>
      </c>
      <c r="Q4611">
        <v>43101</v>
      </c>
      <c r="S4611">
        <v>-752570</v>
      </c>
    </row>
    <row r="4612" spans="16:19" x14ac:dyDescent="0.3">
      <c r="P4612">
        <v>4611</v>
      </c>
      <c r="Q4612">
        <v>619698</v>
      </c>
      <c r="S4612">
        <v>-207389</v>
      </c>
    </row>
    <row r="4613" spans="16:19" x14ac:dyDescent="0.3">
      <c r="P4613">
        <v>4612</v>
      </c>
      <c r="Q4613">
        <v>-413242</v>
      </c>
      <c r="S4613">
        <v>-768662</v>
      </c>
    </row>
    <row r="4614" spans="16:19" x14ac:dyDescent="0.3">
      <c r="P4614">
        <v>4613</v>
      </c>
      <c r="Q4614">
        <v>-656480</v>
      </c>
      <c r="S4614">
        <v>-176503</v>
      </c>
    </row>
    <row r="4615" spans="16:19" x14ac:dyDescent="0.3">
      <c r="P4615">
        <v>4614</v>
      </c>
      <c r="Q4615">
        <v>193123</v>
      </c>
      <c r="S4615">
        <v>613188</v>
      </c>
    </row>
    <row r="4616" spans="16:19" x14ac:dyDescent="0.3">
      <c r="P4616">
        <v>4615</v>
      </c>
      <c r="Q4616">
        <v>-386601</v>
      </c>
      <c r="S4616">
        <v>-719930</v>
      </c>
    </row>
    <row r="4617" spans="16:19" x14ac:dyDescent="0.3">
      <c r="P4617">
        <v>4616</v>
      </c>
      <c r="Q4617">
        <v>474636</v>
      </c>
      <c r="S4617">
        <v>470946</v>
      </c>
    </row>
    <row r="4618" spans="16:19" x14ac:dyDescent="0.3">
      <c r="P4618">
        <v>4617</v>
      </c>
      <c r="Q4618">
        <v>22517</v>
      </c>
      <c r="S4618">
        <v>-197751</v>
      </c>
    </row>
    <row r="4619" spans="16:19" x14ac:dyDescent="0.3">
      <c r="P4619">
        <v>4618</v>
      </c>
      <c r="Q4619">
        <v>88917</v>
      </c>
      <c r="S4619">
        <v>448939</v>
      </c>
    </row>
    <row r="4620" spans="16:19" x14ac:dyDescent="0.3">
      <c r="P4620">
        <v>4619</v>
      </c>
      <c r="Q4620">
        <v>-423999</v>
      </c>
      <c r="S4620">
        <v>-176561</v>
      </c>
    </row>
    <row r="4621" spans="16:19" x14ac:dyDescent="0.3">
      <c r="P4621">
        <v>4620</v>
      </c>
      <c r="Q4621">
        <v>208839</v>
      </c>
      <c r="S4621">
        <v>-394573</v>
      </c>
    </row>
    <row r="4622" spans="16:19" x14ac:dyDescent="0.3">
      <c r="P4622">
        <v>4621</v>
      </c>
      <c r="Q4622">
        <v>-316651</v>
      </c>
      <c r="S4622">
        <v>253917</v>
      </c>
    </row>
    <row r="4623" spans="16:19" x14ac:dyDescent="0.3">
      <c r="P4623">
        <v>4622</v>
      </c>
      <c r="Q4623">
        <v>-592267</v>
      </c>
      <c r="S4623">
        <v>376681</v>
      </c>
    </row>
    <row r="4624" spans="16:19" x14ac:dyDescent="0.3">
      <c r="P4624">
        <v>4623</v>
      </c>
      <c r="Q4624">
        <v>-818582</v>
      </c>
      <c r="S4624">
        <v>343891</v>
      </c>
    </row>
    <row r="4625" spans="16:19" x14ac:dyDescent="0.3">
      <c r="P4625">
        <v>4624</v>
      </c>
      <c r="Q4625">
        <v>-337335</v>
      </c>
      <c r="S4625">
        <v>731915</v>
      </c>
    </row>
    <row r="4626" spans="16:19" x14ac:dyDescent="0.3">
      <c r="P4626">
        <v>4625</v>
      </c>
      <c r="Q4626">
        <v>-361521</v>
      </c>
      <c r="S4626">
        <v>603561</v>
      </c>
    </row>
    <row r="4627" spans="16:19" x14ac:dyDescent="0.3">
      <c r="P4627">
        <v>4626</v>
      </c>
      <c r="Q4627">
        <v>145295</v>
      </c>
      <c r="S4627">
        <v>129571</v>
      </c>
    </row>
    <row r="4628" spans="16:19" x14ac:dyDescent="0.3">
      <c r="P4628">
        <v>4627</v>
      </c>
      <c r="Q4628">
        <v>622382</v>
      </c>
      <c r="S4628">
        <v>-367803</v>
      </c>
    </row>
    <row r="4629" spans="16:19" x14ac:dyDescent="0.3">
      <c r="P4629">
        <v>4628</v>
      </c>
      <c r="Q4629">
        <v>-378407</v>
      </c>
      <c r="S4629">
        <v>-55552</v>
      </c>
    </row>
    <row r="4630" spans="16:19" x14ac:dyDescent="0.3">
      <c r="P4630">
        <v>4629</v>
      </c>
      <c r="Q4630">
        <v>14263</v>
      </c>
      <c r="S4630">
        <v>199983</v>
      </c>
    </row>
    <row r="4631" spans="16:19" x14ac:dyDescent="0.3">
      <c r="P4631">
        <v>4630</v>
      </c>
      <c r="Q4631">
        <v>1001386</v>
      </c>
      <c r="S4631">
        <v>301840</v>
      </c>
    </row>
    <row r="4632" spans="16:19" x14ac:dyDescent="0.3">
      <c r="P4632">
        <v>4631</v>
      </c>
      <c r="Q4632">
        <v>-642441</v>
      </c>
      <c r="S4632">
        <v>-311190</v>
      </c>
    </row>
    <row r="4633" spans="16:19" x14ac:dyDescent="0.3">
      <c r="P4633">
        <v>4632</v>
      </c>
      <c r="Q4633">
        <v>294563</v>
      </c>
      <c r="S4633">
        <v>-112582</v>
      </c>
    </row>
    <row r="4634" spans="16:19" x14ac:dyDescent="0.3">
      <c r="P4634">
        <v>4633</v>
      </c>
      <c r="Q4634">
        <v>633501</v>
      </c>
      <c r="S4634">
        <v>-112597</v>
      </c>
    </row>
    <row r="4635" spans="16:19" x14ac:dyDescent="0.3">
      <c r="P4635">
        <v>4634</v>
      </c>
      <c r="Q4635">
        <v>-242016</v>
      </c>
      <c r="S4635">
        <v>6889</v>
      </c>
    </row>
    <row r="4636" spans="16:19" x14ac:dyDescent="0.3">
      <c r="P4636">
        <v>4635</v>
      </c>
      <c r="Q4636">
        <v>-131041</v>
      </c>
      <c r="S4636">
        <v>459170</v>
      </c>
    </row>
    <row r="4637" spans="16:19" x14ac:dyDescent="0.3">
      <c r="P4637">
        <v>4636</v>
      </c>
      <c r="Q4637">
        <v>54516</v>
      </c>
      <c r="S4637">
        <v>-185292</v>
      </c>
    </row>
    <row r="4638" spans="16:19" x14ac:dyDescent="0.3">
      <c r="P4638">
        <v>4637</v>
      </c>
      <c r="Q4638">
        <v>123140</v>
      </c>
      <c r="S4638">
        <v>-864244</v>
      </c>
    </row>
    <row r="4639" spans="16:19" x14ac:dyDescent="0.3">
      <c r="P4639">
        <v>4638</v>
      </c>
      <c r="Q4639">
        <v>546135</v>
      </c>
      <c r="S4639">
        <v>-592855</v>
      </c>
    </row>
    <row r="4640" spans="16:19" x14ac:dyDescent="0.3">
      <c r="P4640">
        <v>4639</v>
      </c>
      <c r="Q4640">
        <v>19382</v>
      </c>
      <c r="S4640">
        <v>-325905</v>
      </c>
    </row>
    <row r="4641" spans="16:19" x14ac:dyDescent="0.3">
      <c r="P4641">
        <v>4640</v>
      </c>
      <c r="Q4641">
        <v>853450</v>
      </c>
      <c r="S4641">
        <v>-262111</v>
      </c>
    </row>
    <row r="4642" spans="16:19" x14ac:dyDescent="0.3">
      <c r="P4642">
        <v>4641</v>
      </c>
      <c r="Q4642">
        <v>-336086</v>
      </c>
      <c r="S4642">
        <v>-329744</v>
      </c>
    </row>
    <row r="4643" spans="16:19" x14ac:dyDescent="0.3">
      <c r="P4643">
        <v>4642</v>
      </c>
      <c r="Q4643">
        <v>-136226</v>
      </c>
      <c r="S4643">
        <v>504839</v>
      </c>
    </row>
    <row r="4644" spans="16:19" x14ac:dyDescent="0.3">
      <c r="P4644">
        <v>4643</v>
      </c>
      <c r="Q4644">
        <v>694628</v>
      </c>
      <c r="S4644">
        <v>-270794</v>
      </c>
    </row>
    <row r="4645" spans="16:19" x14ac:dyDescent="0.3">
      <c r="P4645">
        <v>4644</v>
      </c>
      <c r="Q4645">
        <v>373009</v>
      </c>
      <c r="S4645">
        <v>794289</v>
      </c>
    </row>
    <row r="4646" spans="16:19" x14ac:dyDescent="0.3">
      <c r="P4646">
        <v>4645</v>
      </c>
      <c r="Q4646">
        <v>-281732</v>
      </c>
      <c r="S4646">
        <v>-458119</v>
      </c>
    </row>
    <row r="4647" spans="16:19" x14ac:dyDescent="0.3">
      <c r="P4647">
        <v>4646</v>
      </c>
      <c r="Q4647">
        <v>420656</v>
      </c>
      <c r="S4647">
        <v>290055</v>
      </c>
    </row>
    <row r="4648" spans="16:19" x14ac:dyDescent="0.3">
      <c r="P4648">
        <v>4647</v>
      </c>
      <c r="Q4648">
        <v>101216</v>
      </c>
      <c r="S4648">
        <v>-665466</v>
      </c>
    </row>
    <row r="4649" spans="16:19" x14ac:dyDescent="0.3">
      <c r="P4649">
        <v>4648</v>
      </c>
      <c r="Q4649">
        <v>-572903</v>
      </c>
      <c r="S4649">
        <v>-268818</v>
      </c>
    </row>
    <row r="4650" spans="16:19" x14ac:dyDescent="0.3">
      <c r="P4650">
        <v>4649</v>
      </c>
      <c r="Q4650">
        <v>-611400</v>
      </c>
      <c r="S4650">
        <v>925486</v>
      </c>
    </row>
    <row r="4651" spans="16:19" x14ac:dyDescent="0.3">
      <c r="P4651">
        <v>4650</v>
      </c>
      <c r="Q4651">
        <v>-161226</v>
      </c>
      <c r="S4651">
        <v>83704</v>
      </c>
    </row>
    <row r="4652" spans="16:19" x14ac:dyDescent="0.3">
      <c r="P4652">
        <v>4651</v>
      </c>
      <c r="Q4652">
        <v>-388100</v>
      </c>
      <c r="S4652">
        <v>247616</v>
      </c>
    </row>
    <row r="4653" spans="16:19" x14ac:dyDescent="0.3">
      <c r="P4653">
        <v>4652</v>
      </c>
      <c r="Q4653">
        <v>-511989</v>
      </c>
      <c r="S4653">
        <v>123622</v>
      </c>
    </row>
    <row r="4654" spans="16:19" x14ac:dyDescent="0.3">
      <c r="P4654">
        <v>4653</v>
      </c>
      <c r="Q4654">
        <v>653884</v>
      </c>
      <c r="S4654">
        <v>447603</v>
      </c>
    </row>
    <row r="4655" spans="16:19" x14ac:dyDescent="0.3">
      <c r="P4655">
        <v>4654</v>
      </c>
      <c r="Q4655">
        <v>410447</v>
      </c>
      <c r="S4655">
        <v>159120</v>
      </c>
    </row>
    <row r="4656" spans="16:19" x14ac:dyDescent="0.3">
      <c r="P4656">
        <v>4655</v>
      </c>
      <c r="Q4656">
        <v>108143</v>
      </c>
      <c r="S4656">
        <v>271304</v>
      </c>
    </row>
    <row r="4657" spans="16:19" x14ac:dyDescent="0.3">
      <c r="P4657">
        <v>4656</v>
      </c>
      <c r="Q4657">
        <v>64254</v>
      </c>
      <c r="S4657">
        <v>400030</v>
      </c>
    </row>
    <row r="4658" spans="16:19" x14ac:dyDescent="0.3">
      <c r="P4658">
        <v>4657</v>
      </c>
      <c r="Q4658">
        <v>-133639</v>
      </c>
      <c r="S4658">
        <v>584119</v>
      </c>
    </row>
    <row r="4659" spans="16:19" x14ac:dyDescent="0.3">
      <c r="P4659">
        <v>4658</v>
      </c>
      <c r="Q4659">
        <v>188988</v>
      </c>
      <c r="S4659">
        <v>-150747</v>
      </c>
    </row>
    <row r="4660" spans="16:19" x14ac:dyDescent="0.3">
      <c r="P4660">
        <v>4659</v>
      </c>
      <c r="Q4660">
        <v>140566</v>
      </c>
      <c r="S4660">
        <v>618439</v>
      </c>
    </row>
    <row r="4661" spans="16:19" x14ac:dyDescent="0.3">
      <c r="P4661">
        <v>4660</v>
      </c>
      <c r="Q4661">
        <v>-463208</v>
      </c>
      <c r="S4661">
        <v>-735308</v>
      </c>
    </row>
    <row r="4662" spans="16:19" x14ac:dyDescent="0.3">
      <c r="P4662">
        <v>4661</v>
      </c>
      <c r="Q4662">
        <v>11928</v>
      </c>
      <c r="S4662">
        <v>-174125</v>
      </c>
    </row>
    <row r="4663" spans="16:19" x14ac:dyDescent="0.3">
      <c r="P4663">
        <v>4662</v>
      </c>
      <c r="Q4663">
        <v>139930</v>
      </c>
      <c r="S4663">
        <v>-3820</v>
      </c>
    </row>
    <row r="4664" spans="16:19" x14ac:dyDescent="0.3">
      <c r="P4664">
        <v>4663</v>
      </c>
      <c r="Q4664">
        <v>-194433</v>
      </c>
      <c r="S4664">
        <v>-349765</v>
      </c>
    </row>
    <row r="4665" spans="16:19" x14ac:dyDescent="0.3">
      <c r="P4665">
        <v>4664</v>
      </c>
      <c r="Q4665">
        <v>-330834</v>
      </c>
      <c r="S4665">
        <v>109137</v>
      </c>
    </row>
    <row r="4666" spans="16:19" x14ac:dyDescent="0.3">
      <c r="P4666">
        <v>4665</v>
      </c>
      <c r="Q4666">
        <v>251933</v>
      </c>
      <c r="S4666">
        <v>541305</v>
      </c>
    </row>
    <row r="4667" spans="16:19" x14ac:dyDescent="0.3">
      <c r="P4667">
        <v>4666</v>
      </c>
      <c r="Q4667">
        <v>125864</v>
      </c>
      <c r="S4667">
        <v>-152995</v>
      </c>
    </row>
    <row r="4668" spans="16:19" x14ac:dyDescent="0.3">
      <c r="P4668">
        <v>4667</v>
      </c>
      <c r="Q4668">
        <v>483612</v>
      </c>
      <c r="S4668">
        <v>-543583</v>
      </c>
    </row>
    <row r="4669" spans="16:19" x14ac:dyDescent="0.3">
      <c r="P4669">
        <v>4668</v>
      </c>
      <c r="Q4669">
        <v>-289473</v>
      </c>
      <c r="S4669">
        <v>-127968</v>
      </c>
    </row>
    <row r="4670" spans="16:19" x14ac:dyDescent="0.3">
      <c r="P4670">
        <v>4669</v>
      </c>
      <c r="Q4670">
        <v>149799</v>
      </c>
      <c r="S4670">
        <v>477773</v>
      </c>
    </row>
    <row r="4671" spans="16:19" x14ac:dyDescent="0.3">
      <c r="P4671">
        <v>4670</v>
      </c>
      <c r="Q4671">
        <v>-775836</v>
      </c>
      <c r="S4671">
        <v>506102</v>
      </c>
    </row>
    <row r="4672" spans="16:19" x14ac:dyDescent="0.3">
      <c r="P4672">
        <v>4671</v>
      </c>
      <c r="Q4672">
        <v>-236525</v>
      </c>
      <c r="S4672">
        <v>201874</v>
      </c>
    </row>
    <row r="4673" spans="16:19" x14ac:dyDescent="0.3">
      <c r="P4673">
        <v>4672</v>
      </c>
      <c r="Q4673">
        <v>-462021</v>
      </c>
      <c r="S4673">
        <v>144362</v>
      </c>
    </row>
    <row r="4674" spans="16:19" x14ac:dyDescent="0.3">
      <c r="P4674">
        <v>4673</v>
      </c>
      <c r="Q4674">
        <v>614544</v>
      </c>
      <c r="S4674">
        <v>168938</v>
      </c>
    </row>
    <row r="4675" spans="16:19" x14ac:dyDescent="0.3">
      <c r="P4675">
        <v>4674</v>
      </c>
      <c r="Q4675">
        <v>311063</v>
      </c>
      <c r="S4675">
        <v>525976</v>
      </c>
    </row>
    <row r="4676" spans="16:19" x14ac:dyDescent="0.3">
      <c r="P4676">
        <v>4675</v>
      </c>
      <c r="Q4676">
        <v>-859955</v>
      </c>
      <c r="S4676">
        <v>-484356</v>
      </c>
    </row>
    <row r="4677" spans="16:19" x14ac:dyDescent="0.3">
      <c r="P4677">
        <v>4676</v>
      </c>
      <c r="Q4677">
        <v>51804</v>
      </c>
      <c r="S4677">
        <v>80657</v>
      </c>
    </row>
    <row r="4678" spans="16:19" x14ac:dyDescent="0.3">
      <c r="P4678">
        <v>4677</v>
      </c>
      <c r="Q4678">
        <v>-596936</v>
      </c>
      <c r="S4678">
        <v>-518506</v>
      </c>
    </row>
    <row r="4679" spans="16:19" x14ac:dyDescent="0.3">
      <c r="P4679">
        <v>4678</v>
      </c>
      <c r="Q4679">
        <v>148395</v>
      </c>
      <c r="S4679">
        <v>535673</v>
      </c>
    </row>
    <row r="4680" spans="16:19" x14ac:dyDescent="0.3">
      <c r="P4680">
        <v>4679</v>
      </c>
      <c r="Q4680">
        <v>144634</v>
      </c>
      <c r="S4680">
        <v>389463</v>
      </c>
    </row>
    <row r="4681" spans="16:19" x14ac:dyDescent="0.3">
      <c r="P4681">
        <v>4680</v>
      </c>
      <c r="Q4681">
        <v>147303</v>
      </c>
      <c r="S4681">
        <v>683881</v>
      </c>
    </row>
    <row r="4682" spans="16:19" x14ac:dyDescent="0.3">
      <c r="P4682">
        <v>4681</v>
      </c>
      <c r="Q4682">
        <v>-49905</v>
      </c>
      <c r="S4682">
        <v>-445598</v>
      </c>
    </row>
    <row r="4683" spans="16:19" x14ac:dyDescent="0.3">
      <c r="P4683">
        <v>4682</v>
      </c>
      <c r="Q4683">
        <v>-671781</v>
      </c>
      <c r="S4683">
        <v>-357467</v>
      </c>
    </row>
    <row r="4684" spans="16:19" x14ac:dyDescent="0.3">
      <c r="P4684">
        <v>4683</v>
      </c>
      <c r="Q4684">
        <v>508064</v>
      </c>
      <c r="S4684">
        <v>-291544</v>
      </c>
    </row>
    <row r="4685" spans="16:19" x14ac:dyDescent="0.3">
      <c r="P4685">
        <v>4684</v>
      </c>
      <c r="Q4685">
        <v>-77080</v>
      </c>
      <c r="S4685">
        <v>109818</v>
      </c>
    </row>
    <row r="4686" spans="16:19" x14ac:dyDescent="0.3">
      <c r="P4686">
        <v>4685</v>
      </c>
      <c r="Q4686">
        <v>319092</v>
      </c>
      <c r="S4686">
        <v>-615519</v>
      </c>
    </row>
    <row r="4687" spans="16:19" x14ac:dyDescent="0.3">
      <c r="P4687">
        <v>4686</v>
      </c>
      <c r="Q4687">
        <v>652897</v>
      </c>
      <c r="S4687">
        <v>-306439</v>
      </c>
    </row>
    <row r="4688" spans="16:19" x14ac:dyDescent="0.3">
      <c r="P4688">
        <v>4687</v>
      </c>
      <c r="Q4688">
        <v>849398</v>
      </c>
      <c r="S4688">
        <v>-396888</v>
      </c>
    </row>
    <row r="4689" spans="16:19" x14ac:dyDescent="0.3">
      <c r="P4689">
        <v>4688</v>
      </c>
      <c r="Q4689">
        <v>-343357</v>
      </c>
      <c r="S4689">
        <v>456789</v>
      </c>
    </row>
    <row r="4690" spans="16:19" x14ac:dyDescent="0.3">
      <c r="P4690">
        <v>4689</v>
      </c>
      <c r="Q4690">
        <v>-341888</v>
      </c>
      <c r="S4690">
        <v>623686</v>
      </c>
    </row>
    <row r="4691" spans="16:19" x14ac:dyDescent="0.3">
      <c r="P4691">
        <v>4690</v>
      </c>
      <c r="Q4691">
        <v>-177088</v>
      </c>
      <c r="S4691">
        <v>-499396</v>
      </c>
    </row>
    <row r="4692" spans="16:19" x14ac:dyDescent="0.3">
      <c r="P4692">
        <v>4691</v>
      </c>
      <c r="Q4692">
        <v>-224128</v>
      </c>
      <c r="S4692">
        <v>-482856</v>
      </c>
    </row>
    <row r="4693" spans="16:19" x14ac:dyDescent="0.3">
      <c r="P4693">
        <v>4692</v>
      </c>
      <c r="Q4693">
        <v>331153</v>
      </c>
      <c r="S4693">
        <v>732761</v>
      </c>
    </row>
    <row r="4694" spans="16:19" x14ac:dyDescent="0.3">
      <c r="P4694">
        <v>4693</v>
      </c>
      <c r="Q4694">
        <v>-335068</v>
      </c>
      <c r="S4694">
        <v>166176</v>
      </c>
    </row>
    <row r="4695" spans="16:19" x14ac:dyDescent="0.3">
      <c r="P4695">
        <v>4694</v>
      </c>
      <c r="Q4695">
        <v>-71554</v>
      </c>
      <c r="S4695">
        <v>487132</v>
      </c>
    </row>
    <row r="4696" spans="16:19" x14ac:dyDescent="0.3">
      <c r="P4696">
        <v>4695</v>
      </c>
      <c r="Q4696">
        <v>793708</v>
      </c>
      <c r="S4696">
        <v>-232580</v>
      </c>
    </row>
    <row r="4697" spans="16:19" x14ac:dyDescent="0.3">
      <c r="P4697">
        <v>4696</v>
      </c>
      <c r="Q4697">
        <v>-27212</v>
      </c>
      <c r="S4697">
        <v>-36797</v>
      </c>
    </row>
    <row r="4698" spans="16:19" x14ac:dyDescent="0.3">
      <c r="P4698">
        <v>4697</v>
      </c>
      <c r="Q4698">
        <v>-394477</v>
      </c>
      <c r="S4698">
        <v>555049</v>
      </c>
    </row>
    <row r="4699" spans="16:19" x14ac:dyDescent="0.3">
      <c r="P4699">
        <v>4698</v>
      </c>
      <c r="Q4699">
        <v>549436</v>
      </c>
      <c r="S4699">
        <v>179295</v>
      </c>
    </row>
    <row r="4700" spans="16:19" x14ac:dyDescent="0.3">
      <c r="P4700">
        <v>4699</v>
      </c>
      <c r="Q4700">
        <v>204442</v>
      </c>
      <c r="S4700">
        <v>-421344</v>
      </c>
    </row>
    <row r="4701" spans="16:19" x14ac:dyDescent="0.3">
      <c r="P4701">
        <v>4700</v>
      </c>
      <c r="Q4701">
        <v>-503765</v>
      </c>
      <c r="S4701">
        <v>334884</v>
      </c>
    </row>
    <row r="4702" spans="16:19" x14ac:dyDescent="0.3">
      <c r="P4702">
        <v>4701</v>
      </c>
      <c r="Q4702">
        <v>290845</v>
      </c>
      <c r="S4702">
        <v>-378500</v>
      </c>
    </row>
    <row r="4703" spans="16:19" x14ac:dyDescent="0.3">
      <c r="P4703">
        <v>4702</v>
      </c>
      <c r="Q4703">
        <v>-238886</v>
      </c>
      <c r="S4703">
        <v>-520083</v>
      </c>
    </row>
    <row r="4704" spans="16:19" x14ac:dyDescent="0.3">
      <c r="P4704">
        <v>4703</v>
      </c>
      <c r="Q4704">
        <v>294848</v>
      </c>
      <c r="S4704">
        <v>-335787</v>
      </c>
    </row>
    <row r="4705" spans="16:19" x14ac:dyDescent="0.3">
      <c r="P4705">
        <v>4704</v>
      </c>
      <c r="Q4705">
        <v>451957</v>
      </c>
      <c r="S4705">
        <v>-540502</v>
      </c>
    </row>
    <row r="4706" spans="16:19" x14ac:dyDescent="0.3">
      <c r="P4706">
        <v>4705</v>
      </c>
      <c r="Q4706">
        <v>-482153</v>
      </c>
      <c r="S4706">
        <v>-825633</v>
      </c>
    </row>
    <row r="4707" spans="16:19" x14ac:dyDescent="0.3">
      <c r="P4707">
        <v>4706</v>
      </c>
      <c r="Q4707">
        <v>282244</v>
      </c>
      <c r="S4707">
        <v>13192</v>
      </c>
    </row>
    <row r="4708" spans="16:19" x14ac:dyDescent="0.3">
      <c r="P4708">
        <v>4707</v>
      </c>
      <c r="Q4708">
        <v>-212546</v>
      </c>
      <c r="S4708">
        <v>-388880</v>
      </c>
    </row>
    <row r="4709" spans="16:19" x14ac:dyDescent="0.3">
      <c r="P4709">
        <v>4708</v>
      </c>
      <c r="Q4709">
        <v>-283459</v>
      </c>
      <c r="S4709">
        <v>170361</v>
      </c>
    </row>
    <row r="4710" spans="16:19" x14ac:dyDescent="0.3">
      <c r="P4710">
        <v>4709</v>
      </c>
      <c r="Q4710">
        <v>974818</v>
      </c>
      <c r="S4710">
        <v>-279766</v>
      </c>
    </row>
    <row r="4711" spans="16:19" x14ac:dyDescent="0.3">
      <c r="P4711">
        <v>4710</v>
      </c>
      <c r="Q4711">
        <v>-107653</v>
      </c>
      <c r="S4711">
        <v>-120518</v>
      </c>
    </row>
    <row r="4712" spans="16:19" x14ac:dyDescent="0.3">
      <c r="P4712">
        <v>4711</v>
      </c>
      <c r="Q4712">
        <v>375385</v>
      </c>
      <c r="S4712">
        <v>-220115</v>
      </c>
    </row>
    <row r="4713" spans="16:19" x14ac:dyDescent="0.3">
      <c r="P4713">
        <v>4712</v>
      </c>
      <c r="Q4713">
        <v>459408</v>
      </c>
      <c r="S4713">
        <v>570568</v>
      </c>
    </row>
    <row r="4714" spans="16:19" x14ac:dyDescent="0.3">
      <c r="P4714">
        <v>4713</v>
      </c>
      <c r="Q4714">
        <v>-464350</v>
      </c>
      <c r="S4714">
        <v>356005</v>
      </c>
    </row>
    <row r="4715" spans="16:19" x14ac:dyDescent="0.3">
      <c r="P4715">
        <v>4714</v>
      </c>
      <c r="Q4715">
        <v>-136193</v>
      </c>
      <c r="S4715">
        <v>-132519</v>
      </c>
    </row>
    <row r="4716" spans="16:19" x14ac:dyDescent="0.3">
      <c r="P4716">
        <v>4715</v>
      </c>
      <c r="Q4716">
        <v>325318</v>
      </c>
      <c r="S4716">
        <v>368868</v>
      </c>
    </row>
    <row r="4717" spans="16:19" x14ac:dyDescent="0.3">
      <c r="P4717">
        <v>4716</v>
      </c>
      <c r="Q4717">
        <v>630620</v>
      </c>
      <c r="S4717">
        <v>-202269</v>
      </c>
    </row>
    <row r="4718" spans="16:19" x14ac:dyDescent="0.3">
      <c r="P4718">
        <v>4717</v>
      </c>
      <c r="Q4718">
        <v>369269</v>
      </c>
      <c r="S4718">
        <v>-597401</v>
      </c>
    </row>
    <row r="4719" spans="16:19" x14ac:dyDescent="0.3">
      <c r="P4719">
        <v>4718</v>
      </c>
      <c r="Q4719">
        <v>173154</v>
      </c>
      <c r="S4719">
        <v>589916</v>
      </c>
    </row>
    <row r="4720" spans="16:19" x14ac:dyDescent="0.3">
      <c r="P4720">
        <v>4719</v>
      </c>
      <c r="Q4720">
        <v>414118</v>
      </c>
      <c r="S4720">
        <v>287714</v>
      </c>
    </row>
    <row r="4721" spans="16:19" x14ac:dyDescent="0.3">
      <c r="P4721">
        <v>4720</v>
      </c>
      <c r="Q4721">
        <v>10037</v>
      </c>
      <c r="S4721">
        <v>100627</v>
      </c>
    </row>
    <row r="4722" spans="16:19" x14ac:dyDescent="0.3">
      <c r="P4722">
        <v>4721</v>
      </c>
      <c r="Q4722">
        <v>169506</v>
      </c>
      <c r="S4722">
        <v>-6199</v>
      </c>
    </row>
    <row r="4723" spans="16:19" x14ac:dyDescent="0.3">
      <c r="P4723">
        <v>4722</v>
      </c>
      <c r="Q4723">
        <v>-204802</v>
      </c>
      <c r="S4723">
        <v>-609352</v>
      </c>
    </row>
    <row r="4724" spans="16:19" x14ac:dyDescent="0.3">
      <c r="P4724">
        <v>4723</v>
      </c>
      <c r="Q4724">
        <v>223832</v>
      </c>
      <c r="S4724">
        <v>-73353</v>
      </c>
    </row>
    <row r="4725" spans="16:19" x14ac:dyDescent="0.3">
      <c r="P4725">
        <v>4724</v>
      </c>
      <c r="Q4725">
        <v>-152505</v>
      </c>
      <c r="S4725">
        <v>-291831</v>
      </c>
    </row>
    <row r="4726" spans="16:19" x14ac:dyDescent="0.3">
      <c r="P4726">
        <v>4725</v>
      </c>
      <c r="Q4726">
        <v>171975</v>
      </c>
      <c r="S4726">
        <v>583298</v>
      </c>
    </row>
    <row r="4727" spans="16:19" x14ac:dyDescent="0.3">
      <c r="P4727">
        <v>4726</v>
      </c>
      <c r="Q4727">
        <v>-166691</v>
      </c>
      <c r="S4727">
        <v>606228</v>
      </c>
    </row>
    <row r="4728" spans="16:19" x14ac:dyDescent="0.3">
      <c r="P4728">
        <v>4727</v>
      </c>
      <c r="Q4728">
        <v>-151712</v>
      </c>
      <c r="S4728">
        <v>-586526</v>
      </c>
    </row>
    <row r="4729" spans="16:19" x14ac:dyDescent="0.3">
      <c r="P4729">
        <v>4728</v>
      </c>
      <c r="Q4729">
        <v>-750720</v>
      </c>
      <c r="S4729">
        <v>-267580</v>
      </c>
    </row>
    <row r="4730" spans="16:19" x14ac:dyDescent="0.3">
      <c r="P4730">
        <v>4729</v>
      </c>
      <c r="Q4730">
        <v>-103376</v>
      </c>
      <c r="S4730">
        <v>-360201</v>
      </c>
    </row>
    <row r="4731" spans="16:19" x14ac:dyDescent="0.3">
      <c r="P4731">
        <v>4730</v>
      </c>
      <c r="Q4731">
        <v>-305098</v>
      </c>
      <c r="S4731">
        <v>213018</v>
      </c>
    </row>
    <row r="4732" spans="16:19" x14ac:dyDescent="0.3">
      <c r="P4732">
        <v>4731</v>
      </c>
      <c r="Q4732">
        <v>-534539</v>
      </c>
      <c r="S4732">
        <v>280469</v>
      </c>
    </row>
    <row r="4733" spans="16:19" x14ac:dyDescent="0.3">
      <c r="P4733">
        <v>4732</v>
      </c>
      <c r="Q4733">
        <v>-130419</v>
      </c>
      <c r="S4733">
        <v>28161</v>
      </c>
    </row>
    <row r="4734" spans="16:19" x14ac:dyDescent="0.3">
      <c r="P4734">
        <v>4733</v>
      </c>
      <c r="Q4734">
        <v>559585</v>
      </c>
      <c r="S4734">
        <v>252326</v>
      </c>
    </row>
    <row r="4735" spans="16:19" x14ac:dyDescent="0.3">
      <c r="P4735">
        <v>4734</v>
      </c>
      <c r="Q4735">
        <v>-38587</v>
      </c>
      <c r="S4735">
        <v>435904</v>
      </c>
    </row>
    <row r="4736" spans="16:19" x14ac:dyDescent="0.3">
      <c r="P4736">
        <v>4735</v>
      </c>
      <c r="Q4736">
        <v>-461498</v>
      </c>
      <c r="S4736">
        <v>-509864</v>
      </c>
    </row>
    <row r="4737" spans="16:19" x14ac:dyDescent="0.3">
      <c r="P4737">
        <v>4736</v>
      </c>
      <c r="Q4737">
        <v>7182</v>
      </c>
      <c r="S4737">
        <v>640131</v>
      </c>
    </row>
    <row r="4738" spans="16:19" x14ac:dyDescent="0.3">
      <c r="P4738">
        <v>4737</v>
      </c>
      <c r="Q4738">
        <v>804110</v>
      </c>
      <c r="S4738">
        <v>334712</v>
      </c>
    </row>
    <row r="4739" spans="16:19" x14ac:dyDescent="0.3">
      <c r="P4739">
        <v>4738</v>
      </c>
      <c r="Q4739">
        <v>490011</v>
      </c>
      <c r="S4739">
        <v>31803</v>
      </c>
    </row>
    <row r="4740" spans="16:19" x14ac:dyDescent="0.3">
      <c r="P4740">
        <v>4739</v>
      </c>
      <c r="Q4740">
        <v>-705006</v>
      </c>
      <c r="S4740">
        <v>-183446</v>
      </c>
    </row>
    <row r="4741" spans="16:19" x14ac:dyDescent="0.3">
      <c r="P4741">
        <v>4740</v>
      </c>
      <c r="Q4741">
        <v>507737</v>
      </c>
      <c r="S4741">
        <v>-634842</v>
      </c>
    </row>
    <row r="4742" spans="16:19" x14ac:dyDescent="0.3">
      <c r="P4742">
        <v>4741</v>
      </c>
      <c r="Q4742">
        <v>-355743</v>
      </c>
      <c r="S4742">
        <v>289508</v>
      </c>
    </row>
    <row r="4743" spans="16:19" x14ac:dyDescent="0.3">
      <c r="P4743">
        <v>4742</v>
      </c>
      <c r="Q4743">
        <v>219124</v>
      </c>
      <c r="S4743">
        <v>261423</v>
      </c>
    </row>
    <row r="4744" spans="16:19" x14ac:dyDescent="0.3">
      <c r="P4744">
        <v>4743</v>
      </c>
      <c r="Q4744">
        <v>1699</v>
      </c>
      <c r="S4744">
        <v>191141</v>
      </c>
    </row>
    <row r="4745" spans="16:19" x14ac:dyDescent="0.3">
      <c r="P4745">
        <v>4744</v>
      </c>
      <c r="Q4745">
        <v>-270260</v>
      </c>
      <c r="S4745">
        <v>-455513</v>
      </c>
    </row>
    <row r="4746" spans="16:19" x14ac:dyDescent="0.3">
      <c r="P4746">
        <v>4745</v>
      </c>
      <c r="Q4746">
        <v>1986</v>
      </c>
      <c r="S4746">
        <v>301006</v>
      </c>
    </row>
    <row r="4747" spans="16:19" x14ac:dyDescent="0.3">
      <c r="P4747">
        <v>4746</v>
      </c>
      <c r="Q4747">
        <v>202278</v>
      </c>
      <c r="S4747">
        <v>228027</v>
      </c>
    </row>
    <row r="4748" spans="16:19" x14ac:dyDescent="0.3">
      <c r="P4748">
        <v>4747</v>
      </c>
      <c r="Q4748">
        <v>-737370</v>
      </c>
      <c r="S4748">
        <v>467324</v>
      </c>
    </row>
    <row r="4749" spans="16:19" x14ac:dyDescent="0.3">
      <c r="P4749">
        <v>4748</v>
      </c>
      <c r="Q4749">
        <v>335811</v>
      </c>
      <c r="S4749">
        <v>-487410</v>
      </c>
    </row>
    <row r="4750" spans="16:19" x14ac:dyDescent="0.3">
      <c r="P4750">
        <v>4749</v>
      </c>
      <c r="Q4750">
        <v>-161947</v>
      </c>
      <c r="S4750">
        <v>-133093</v>
      </c>
    </row>
    <row r="4751" spans="16:19" x14ac:dyDescent="0.3">
      <c r="P4751">
        <v>4750</v>
      </c>
      <c r="Q4751">
        <v>154441</v>
      </c>
      <c r="S4751">
        <v>-42545</v>
      </c>
    </row>
    <row r="4752" spans="16:19" x14ac:dyDescent="0.3">
      <c r="P4752">
        <v>4751</v>
      </c>
      <c r="Q4752">
        <v>-111773</v>
      </c>
      <c r="S4752">
        <v>378752</v>
      </c>
    </row>
    <row r="4753" spans="16:19" x14ac:dyDescent="0.3">
      <c r="P4753">
        <v>4752</v>
      </c>
      <c r="Q4753">
        <v>433341</v>
      </c>
      <c r="S4753">
        <v>-642906</v>
      </c>
    </row>
    <row r="4754" spans="16:19" x14ac:dyDescent="0.3">
      <c r="P4754">
        <v>4753</v>
      </c>
      <c r="Q4754">
        <v>199993</v>
      </c>
      <c r="S4754">
        <v>522023</v>
      </c>
    </row>
    <row r="4755" spans="16:19" x14ac:dyDescent="0.3">
      <c r="P4755">
        <v>4754</v>
      </c>
      <c r="Q4755">
        <v>-293538</v>
      </c>
      <c r="S4755">
        <v>191724</v>
      </c>
    </row>
    <row r="4756" spans="16:19" x14ac:dyDescent="0.3">
      <c r="P4756">
        <v>4755</v>
      </c>
      <c r="Q4756">
        <v>73914</v>
      </c>
      <c r="S4756">
        <v>288444</v>
      </c>
    </row>
    <row r="4757" spans="16:19" x14ac:dyDescent="0.3">
      <c r="P4757">
        <v>4756</v>
      </c>
      <c r="Q4757">
        <v>-149903</v>
      </c>
      <c r="S4757">
        <v>-508897</v>
      </c>
    </row>
    <row r="4758" spans="16:19" x14ac:dyDescent="0.3">
      <c r="P4758">
        <v>4757</v>
      </c>
      <c r="Q4758">
        <v>-819909</v>
      </c>
      <c r="S4758">
        <v>393544</v>
      </c>
    </row>
    <row r="4759" spans="16:19" x14ac:dyDescent="0.3">
      <c r="P4759">
        <v>4758</v>
      </c>
      <c r="Q4759">
        <v>307735</v>
      </c>
      <c r="S4759">
        <v>-206461</v>
      </c>
    </row>
    <row r="4760" spans="16:19" x14ac:dyDescent="0.3">
      <c r="P4760">
        <v>4759</v>
      </c>
      <c r="Q4760">
        <v>-285134</v>
      </c>
      <c r="S4760">
        <v>689242</v>
      </c>
    </row>
    <row r="4761" spans="16:19" x14ac:dyDescent="0.3">
      <c r="P4761">
        <v>4760</v>
      </c>
      <c r="Q4761">
        <v>-15721</v>
      </c>
      <c r="S4761">
        <v>-445492</v>
      </c>
    </row>
    <row r="4762" spans="16:19" x14ac:dyDescent="0.3">
      <c r="P4762">
        <v>4761</v>
      </c>
      <c r="Q4762">
        <v>184412</v>
      </c>
      <c r="S4762">
        <v>416609</v>
      </c>
    </row>
    <row r="4763" spans="16:19" x14ac:dyDescent="0.3">
      <c r="P4763">
        <v>4762</v>
      </c>
      <c r="Q4763">
        <v>264228</v>
      </c>
      <c r="S4763">
        <v>-6741</v>
      </c>
    </row>
    <row r="4764" spans="16:19" x14ac:dyDescent="0.3">
      <c r="P4764">
        <v>4763</v>
      </c>
      <c r="Q4764">
        <v>863838</v>
      </c>
      <c r="S4764">
        <v>-440509</v>
      </c>
    </row>
    <row r="4765" spans="16:19" x14ac:dyDescent="0.3">
      <c r="P4765">
        <v>4764</v>
      </c>
      <c r="Q4765">
        <v>670400</v>
      </c>
      <c r="S4765">
        <v>-318145</v>
      </c>
    </row>
    <row r="4766" spans="16:19" x14ac:dyDescent="0.3">
      <c r="P4766">
        <v>4765</v>
      </c>
      <c r="Q4766">
        <v>-205228</v>
      </c>
      <c r="S4766">
        <v>397419</v>
      </c>
    </row>
    <row r="4767" spans="16:19" x14ac:dyDescent="0.3">
      <c r="P4767">
        <v>4766</v>
      </c>
      <c r="Q4767">
        <v>73850</v>
      </c>
      <c r="S4767">
        <v>870506</v>
      </c>
    </row>
    <row r="4768" spans="16:19" x14ac:dyDescent="0.3">
      <c r="P4768">
        <v>4767</v>
      </c>
      <c r="Q4768">
        <v>-503220</v>
      </c>
      <c r="S4768">
        <v>-51038</v>
      </c>
    </row>
    <row r="4769" spans="16:19" x14ac:dyDescent="0.3">
      <c r="P4769">
        <v>4768</v>
      </c>
      <c r="Q4769">
        <v>-127196</v>
      </c>
      <c r="S4769">
        <v>352821</v>
      </c>
    </row>
    <row r="4770" spans="16:19" x14ac:dyDescent="0.3">
      <c r="P4770">
        <v>4769</v>
      </c>
      <c r="Q4770">
        <v>-427749</v>
      </c>
      <c r="S4770">
        <v>913636</v>
      </c>
    </row>
    <row r="4771" spans="16:19" x14ac:dyDescent="0.3">
      <c r="P4771">
        <v>4770</v>
      </c>
      <c r="Q4771">
        <v>-411307</v>
      </c>
      <c r="S4771">
        <v>-20610</v>
      </c>
    </row>
    <row r="4772" spans="16:19" x14ac:dyDescent="0.3">
      <c r="P4772">
        <v>4771</v>
      </c>
      <c r="Q4772">
        <v>-769937</v>
      </c>
      <c r="S4772">
        <v>199429</v>
      </c>
    </row>
    <row r="4773" spans="16:19" x14ac:dyDescent="0.3">
      <c r="P4773">
        <v>4772</v>
      </c>
      <c r="Q4773">
        <v>-604771</v>
      </c>
      <c r="S4773">
        <v>262616</v>
      </c>
    </row>
    <row r="4774" spans="16:19" x14ac:dyDescent="0.3">
      <c r="P4774">
        <v>4773</v>
      </c>
      <c r="Q4774">
        <v>492172</v>
      </c>
      <c r="S4774">
        <v>12275</v>
      </c>
    </row>
    <row r="4775" spans="16:19" x14ac:dyDescent="0.3">
      <c r="P4775">
        <v>4774</v>
      </c>
      <c r="Q4775">
        <v>363622</v>
      </c>
      <c r="S4775">
        <v>1087921</v>
      </c>
    </row>
    <row r="4776" spans="16:19" x14ac:dyDescent="0.3">
      <c r="P4776">
        <v>4775</v>
      </c>
      <c r="Q4776">
        <v>50250</v>
      </c>
      <c r="S4776">
        <v>-224023</v>
      </c>
    </row>
    <row r="4777" spans="16:19" x14ac:dyDescent="0.3">
      <c r="P4777">
        <v>4776</v>
      </c>
      <c r="Q4777">
        <v>-255709</v>
      </c>
      <c r="S4777">
        <v>-305485</v>
      </c>
    </row>
    <row r="4778" spans="16:19" x14ac:dyDescent="0.3">
      <c r="P4778">
        <v>4777</v>
      </c>
      <c r="Q4778">
        <v>359832</v>
      </c>
      <c r="S4778">
        <v>-194798</v>
      </c>
    </row>
    <row r="4779" spans="16:19" x14ac:dyDescent="0.3">
      <c r="P4779">
        <v>4778</v>
      </c>
      <c r="Q4779">
        <v>729666</v>
      </c>
      <c r="S4779">
        <v>521313</v>
      </c>
    </row>
    <row r="4780" spans="16:19" x14ac:dyDescent="0.3">
      <c r="P4780">
        <v>4779</v>
      </c>
      <c r="Q4780">
        <v>-63496</v>
      </c>
      <c r="S4780">
        <v>323936</v>
      </c>
    </row>
    <row r="4781" spans="16:19" x14ac:dyDescent="0.3">
      <c r="P4781">
        <v>4780</v>
      </c>
      <c r="Q4781">
        <v>-365008</v>
      </c>
      <c r="S4781">
        <v>175670</v>
      </c>
    </row>
    <row r="4782" spans="16:19" x14ac:dyDescent="0.3">
      <c r="P4782">
        <v>4781</v>
      </c>
      <c r="Q4782">
        <v>126063</v>
      </c>
      <c r="S4782">
        <v>-616870</v>
      </c>
    </row>
    <row r="4783" spans="16:19" x14ac:dyDescent="0.3">
      <c r="P4783">
        <v>4782</v>
      </c>
      <c r="Q4783">
        <v>672088</v>
      </c>
      <c r="S4783">
        <v>132625</v>
      </c>
    </row>
    <row r="4784" spans="16:19" x14ac:dyDescent="0.3">
      <c r="P4784">
        <v>4783</v>
      </c>
      <c r="Q4784">
        <v>-429645</v>
      </c>
      <c r="S4784">
        <v>253642</v>
      </c>
    </row>
    <row r="4785" spans="16:19" x14ac:dyDescent="0.3">
      <c r="P4785">
        <v>4784</v>
      </c>
      <c r="Q4785">
        <v>653702</v>
      </c>
      <c r="S4785">
        <v>-172229</v>
      </c>
    </row>
    <row r="4786" spans="16:19" x14ac:dyDescent="0.3">
      <c r="P4786">
        <v>4785</v>
      </c>
      <c r="Q4786">
        <v>-192733</v>
      </c>
      <c r="S4786">
        <v>-145683</v>
      </c>
    </row>
    <row r="4787" spans="16:19" x14ac:dyDescent="0.3">
      <c r="P4787">
        <v>4786</v>
      </c>
      <c r="Q4787">
        <v>-130231</v>
      </c>
      <c r="S4787">
        <v>142286</v>
      </c>
    </row>
    <row r="4788" spans="16:19" x14ac:dyDescent="0.3">
      <c r="P4788">
        <v>4787</v>
      </c>
      <c r="Q4788">
        <v>886444</v>
      </c>
      <c r="S4788">
        <v>691618</v>
      </c>
    </row>
    <row r="4789" spans="16:19" x14ac:dyDescent="0.3">
      <c r="P4789">
        <v>4788</v>
      </c>
      <c r="Q4789">
        <v>-421894</v>
      </c>
      <c r="S4789">
        <v>647446</v>
      </c>
    </row>
    <row r="4790" spans="16:19" x14ac:dyDescent="0.3">
      <c r="P4790">
        <v>4789</v>
      </c>
      <c r="Q4790">
        <v>268184</v>
      </c>
      <c r="S4790">
        <v>351719</v>
      </c>
    </row>
    <row r="4791" spans="16:19" x14ac:dyDescent="0.3">
      <c r="P4791">
        <v>4790</v>
      </c>
      <c r="Q4791">
        <v>224427</v>
      </c>
      <c r="S4791">
        <v>-232203</v>
      </c>
    </row>
    <row r="4792" spans="16:19" x14ac:dyDescent="0.3">
      <c r="P4792">
        <v>4791</v>
      </c>
      <c r="Q4792">
        <v>-12257</v>
      </c>
      <c r="S4792">
        <v>-388430</v>
      </c>
    </row>
    <row r="4793" spans="16:19" x14ac:dyDescent="0.3">
      <c r="P4793">
        <v>4792</v>
      </c>
      <c r="Q4793">
        <v>56643</v>
      </c>
      <c r="S4793">
        <v>-732084</v>
      </c>
    </row>
    <row r="4794" spans="16:19" x14ac:dyDescent="0.3">
      <c r="P4794">
        <v>4793</v>
      </c>
      <c r="Q4794">
        <v>-151663</v>
      </c>
      <c r="S4794">
        <v>-156843</v>
      </c>
    </row>
    <row r="4795" spans="16:19" x14ac:dyDescent="0.3">
      <c r="P4795">
        <v>4794</v>
      </c>
      <c r="Q4795">
        <v>-146525</v>
      </c>
      <c r="S4795">
        <v>341568</v>
      </c>
    </row>
    <row r="4796" spans="16:19" x14ac:dyDescent="0.3">
      <c r="P4796">
        <v>4795</v>
      </c>
      <c r="Q4796">
        <v>635211</v>
      </c>
      <c r="S4796">
        <v>482102</v>
      </c>
    </row>
    <row r="4797" spans="16:19" x14ac:dyDescent="0.3">
      <c r="P4797">
        <v>4796</v>
      </c>
      <c r="Q4797">
        <v>902191</v>
      </c>
      <c r="S4797">
        <v>-414429</v>
      </c>
    </row>
    <row r="4798" spans="16:19" x14ac:dyDescent="0.3">
      <c r="P4798">
        <v>4797</v>
      </c>
      <c r="Q4798">
        <v>542530</v>
      </c>
      <c r="S4798">
        <v>5174</v>
      </c>
    </row>
    <row r="4799" spans="16:19" x14ac:dyDescent="0.3">
      <c r="P4799">
        <v>4798</v>
      </c>
      <c r="Q4799">
        <v>-246565</v>
      </c>
      <c r="S4799">
        <v>-3323</v>
      </c>
    </row>
    <row r="4800" spans="16:19" x14ac:dyDescent="0.3">
      <c r="P4800">
        <v>4799</v>
      </c>
      <c r="Q4800">
        <v>479994</v>
      </c>
      <c r="S4800">
        <v>197364</v>
      </c>
    </row>
    <row r="4801" spans="16:19" x14ac:dyDescent="0.3">
      <c r="P4801">
        <v>4800</v>
      </c>
      <c r="Q4801">
        <v>428175</v>
      </c>
      <c r="S4801">
        <v>-658351</v>
      </c>
    </row>
    <row r="4802" spans="16:19" x14ac:dyDescent="0.3">
      <c r="P4802">
        <v>4801</v>
      </c>
      <c r="Q4802">
        <v>108286</v>
      </c>
      <c r="S4802">
        <v>327762</v>
      </c>
    </row>
    <row r="4803" spans="16:19" x14ac:dyDescent="0.3">
      <c r="P4803">
        <v>4802</v>
      </c>
      <c r="Q4803">
        <v>-223523</v>
      </c>
      <c r="S4803">
        <v>530833</v>
      </c>
    </row>
    <row r="4804" spans="16:19" x14ac:dyDescent="0.3">
      <c r="P4804">
        <v>4803</v>
      </c>
      <c r="Q4804">
        <v>-716310</v>
      </c>
      <c r="S4804">
        <v>562912</v>
      </c>
    </row>
    <row r="4805" spans="16:19" x14ac:dyDescent="0.3">
      <c r="P4805">
        <v>4804</v>
      </c>
      <c r="Q4805">
        <v>-516902</v>
      </c>
      <c r="S4805">
        <v>682813</v>
      </c>
    </row>
    <row r="4806" spans="16:19" x14ac:dyDescent="0.3">
      <c r="P4806">
        <v>4805</v>
      </c>
      <c r="Q4806">
        <v>550</v>
      </c>
      <c r="S4806">
        <v>162820</v>
      </c>
    </row>
    <row r="4807" spans="16:19" x14ac:dyDescent="0.3">
      <c r="P4807">
        <v>4806</v>
      </c>
      <c r="Q4807">
        <v>-285372</v>
      </c>
      <c r="S4807">
        <v>170190</v>
      </c>
    </row>
    <row r="4808" spans="16:19" x14ac:dyDescent="0.3">
      <c r="P4808">
        <v>4807</v>
      </c>
      <c r="Q4808">
        <v>-29364</v>
      </c>
      <c r="S4808">
        <v>291551</v>
      </c>
    </row>
    <row r="4809" spans="16:19" x14ac:dyDescent="0.3">
      <c r="P4809">
        <v>4808</v>
      </c>
      <c r="Q4809">
        <v>-430211</v>
      </c>
      <c r="S4809">
        <v>413118</v>
      </c>
    </row>
    <row r="4810" spans="16:19" x14ac:dyDescent="0.3">
      <c r="P4810">
        <v>4809</v>
      </c>
      <c r="Q4810">
        <v>-29487</v>
      </c>
      <c r="S4810">
        <v>-590864</v>
      </c>
    </row>
    <row r="4811" spans="16:19" x14ac:dyDescent="0.3">
      <c r="P4811">
        <v>4810</v>
      </c>
      <c r="Q4811">
        <v>-136293</v>
      </c>
      <c r="S4811">
        <v>576723</v>
      </c>
    </row>
    <row r="4812" spans="16:19" x14ac:dyDescent="0.3">
      <c r="P4812">
        <v>4811</v>
      </c>
      <c r="Q4812">
        <v>922</v>
      </c>
      <c r="S4812">
        <v>-368976</v>
      </c>
    </row>
    <row r="4813" spans="16:19" x14ac:dyDescent="0.3">
      <c r="P4813">
        <v>4812</v>
      </c>
      <c r="Q4813">
        <v>-477659</v>
      </c>
      <c r="S4813">
        <v>-279640</v>
      </c>
    </row>
    <row r="4814" spans="16:19" x14ac:dyDescent="0.3">
      <c r="P4814">
        <v>4813</v>
      </c>
      <c r="Q4814">
        <v>135774</v>
      </c>
      <c r="S4814">
        <v>-590590</v>
      </c>
    </row>
    <row r="4815" spans="16:19" x14ac:dyDescent="0.3">
      <c r="P4815">
        <v>4814</v>
      </c>
      <c r="Q4815">
        <v>-566199</v>
      </c>
      <c r="S4815">
        <v>-822005</v>
      </c>
    </row>
    <row r="4816" spans="16:19" x14ac:dyDescent="0.3">
      <c r="P4816">
        <v>4815</v>
      </c>
      <c r="Q4816">
        <v>-466712</v>
      </c>
      <c r="S4816">
        <v>503122</v>
      </c>
    </row>
    <row r="4817" spans="16:19" x14ac:dyDescent="0.3">
      <c r="P4817">
        <v>4816</v>
      </c>
      <c r="Q4817">
        <v>-380867</v>
      </c>
      <c r="S4817">
        <v>11395</v>
      </c>
    </row>
    <row r="4818" spans="16:19" x14ac:dyDescent="0.3">
      <c r="P4818">
        <v>4817</v>
      </c>
      <c r="Q4818">
        <v>-135840</v>
      </c>
      <c r="S4818">
        <v>317828</v>
      </c>
    </row>
    <row r="4819" spans="16:19" x14ac:dyDescent="0.3">
      <c r="P4819">
        <v>4818</v>
      </c>
      <c r="Q4819">
        <v>-274799</v>
      </c>
      <c r="S4819">
        <v>-466753</v>
      </c>
    </row>
    <row r="4820" spans="16:19" x14ac:dyDescent="0.3">
      <c r="P4820">
        <v>4819</v>
      </c>
      <c r="Q4820">
        <v>676394</v>
      </c>
      <c r="S4820">
        <v>-146295</v>
      </c>
    </row>
    <row r="4821" spans="16:19" x14ac:dyDescent="0.3">
      <c r="P4821">
        <v>4820</v>
      </c>
      <c r="Q4821">
        <v>-22485</v>
      </c>
      <c r="S4821">
        <v>472745</v>
      </c>
    </row>
    <row r="4822" spans="16:19" x14ac:dyDescent="0.3">
      <c r="P4822">
        <v>4821</v>
      </c>
      <c r="Q4822">
        <v>871836</v>
      </c>
      <c r="S4822">
        <v>561453</v>
      </c>
    </row>
    <row r="4823" spans="16:19" x14ac:dyDescent="0.3">
      <c r="P4823">
        <v>4822</v>
      </c>
      <c r="Q4823">
        <v>557675</v>
      </c>
      <c r="S4823">
        <v>26320</v>
      </c>
    </row>
    <row r="4824" spans="16:19" x14ac:dyDescent="0.3">
      <c r="P4824">
        <v>4823</v>
      </c>
      <c r="Q4824">
        <v>-853248</v>
      </c>
      <c r="S4824">
        <v>-109454</v>
      </c>
    </row>
    <row r="4825" spans="16:19" x14ac:dyDescent="0.3">
      <c r="P4825">
        <v>4824</v>
      </c>
      <c r="Q4825">
        <v>-38826</v>
      </c>
      <c r="S4825">
        <v>755909</v>
      </c>
    </row>
    <row r="4826" spans="16:19" x14ac:dyDescent="0.3">
      <c r="P4826">
        <v>4825</v>
      </c>
      <c r="Q4826">
        <v>-419024</v>
      </c>
      <c r="S4826">
        <v>-211464</v>
      </c>
    </row>
    <row r="4827" spans="16:19" x14ac:dyDescent="0.3">
      <c r="P4827">
        <v>4826</v>
      </c>
      <c r="Q4827">
        <v>612027</v>
      </c>
      <c r="S4827">
        <v>-725705</v>
      </c>
    </row>
    <row r="4828" spans="16:19" x14ac:dyDescent="0.3">
      <c r="P4828">
        <v>4827</v>
      </c>
      <c r="Q4828">
        <v>798487</v>
      </c>
      <c r="S4828">
        <v>460925</v>
      </c>
    </row>
    <row r="4829" spans="16:19" x14ac:dyDescent="0.3">
      <c r="P4829">
        <v>4828</v>
      </c>
      <c r="Q4829">
        <v>-418866</v>
      </c>
      <c r="S4829">
        <v>17403</v>
      </c>
    </row>
    <row r="4830" spans="16:19" x14ac:dyDescent="0.3">
      <c r="P4830">
        <v>4829</v>
      </c>
      <c r="Q4830">
        <v>180915</v>
      </c>
      <c r="S4830">
        <v>-55243</v>
      </c>
    </row>
    <row r="4831" spans="16:19" x14ac:dyDescent="0.3">
      <c r="P4831">
        <v>4830</v>
      </c>
      <c r="Q4831">
        <v>278819</v>
      </c>
      <c r="S4831">
        <v>-332828</v>
      </c>
    </row>
    <row r="4832" spans="16:19" x14ac:dyDescent="0.3">
      <c r="P4832">
        <v>4831</v>
      </c>
      <c r="Q4832">
        <v>-310112</v>
      </c>
      <c r="S4832">
        <v>-110957</v>
      </c>
    </row>
    <row r="4833" spans="16:19" x14ac:dyDescent="0.3">
      <c r="P4833">
        <v>4832</v>
      </c>
      <c r="Q4833">
        <v>22277</v>
      </c>
      <c r="S4833">
        <v>101420</v>
      </c>
    </row>
    <row r="4834" spans="16:19" x14ac:dyDescent="0.3">
      <c r="P4834">
        <v>4833</v>
      </c>
      <c r="Q4834">
        <v>261833</v>
      </c>
      <c r="S4834">
        <v>469388</v>
      </c>
    </row>
    <row r="4835" spans="16:19" x14ac:dyDescent="0.3">
      <c r="P4835">
        <v>4834</v>
      </c>
      <c r="Q4835">
        <v>-77346</v>
      </c>
      <c r="S4835">
        <v>-464100</v>
      </c>
    </row>
    <row r="4836" spans="16:19" x14ac:dyDescent="0.3">
      <c r="P4836">
        <v>4835</v>
      </c>
      <c r="Q4836">
        <v>850251</v>
      </c>
      <c r="S4836">
        <v>113147</v>
      </c>
    </row>
    <row r="4837" spans="16:19" x14ac:dyDescent="0.3">
      <c r="P4837">
        <v>4836</v>
      </c>
      <c r="Q4837">
        <v>-3831</v>
      </c>
      <c r="S4837">
        <v>556527</v>
      </c>
    </row>
    <row r="4838" spans="16:19" x14ac:dyDescent="0.3">
      <c r="P4838">
        <v>4837</v>
      </c>
      <c r="Q4838">
        <v>-613069</v>
      </c>
      <c r="S4838">
        <v>-21870</v>
      </c>
    </row>
    <row r="4839" spans="16:19" x14ac:dyDescent="0.3">
      <c r="P4839">
        <v>4838</v>
      </c>
      <c r="Q4839">
        <v>456991</v>
      </c>
      <c r="S4839">
        <v>198893</v>
      </c>
    </row>
    <row r="4840" spans="16:19" x14ac:dyDescent="0.3">
      <c r="P4840">
        <v>4839</v>
      </c>
      <c r="Q4840">
        <v>-29952</v>
      </c>
      <c r="S4840">
        <v>-518172</v>
      </c>
    </row>
    <row r="4841" spans="16:19" x14ac:dyDescent="0.3">
      <c r="P4841">
        <v>4840</v>
      </c>
      <c r="Q4841">
        <v>-257720</v>
      </c>
      <c r="S4841">
        <v>-350431</v>
      </c>
    </row>
    <row r="4842" spans="16:19" x14ac:dyDescent="0.3">
      <c r="P4842">
        <v>4841</v>
      </c>
      <c r="Q4842">
        <v>739547</v>
      </c>
      <c r="S4842">
        <v>275630</v>
      </c>
    </row>
    <row r="4843" spans="16:19" x14ac:dyDescent="0.3">
      <c r="P4843">
        <v>4842</v>
      </c>
      <c r="Q4843">
        <v>-87916</v>
      </c>
      <c r="S4843">
        <v>80595</v>
      </c>
    </row>
    <row r="4844" spans="16:19" x14ac:dyDescent="0.3">
      <c r="P4844">
        <v>4843</v>
      </c>
      <c r="Q4844">
        <v>-596888</v>
      </c>
      <c r="S4844">
        <v>80876</v>
      </c>
    </row>
    <row r="4845" spans="16:19" x14ac:dyDescent="0.3">
      <c r="P4845">
        <v>4844</v>
      </c>
      <c r="Q4845">
        <v>1055317</v>
      </c>
      <c r="S4845">
        <v>47979</v>
      </c>
    </row>
    <row r="4846" spans="16:19" x14ac:dyDescent="0.3">
      <c r="P4846">
        <v>4845</v>
      </c>
      <c r="Q4846">
        <v>-230814</v>
      </c>
      <c r="S4846">
        <v>259994</v>
      </c>
    </row>
    <row r="4847" spans="16:19" x14ac:dyDescent="0.3">
      <c r="P4847">
        <v>4846</v>
      </c>
      <c r="Q4847">
        <v>-127420</v>
      </c>
      <c r="S4847">
        <v>-272419</v>
      </c>
    </row>
    <row r="4848" spans="16:19" x14ac:dyDescent="0.3">
      <c r="P4848">
        <v>4847</v>
      </c>
      <c r="Q4848">
        <v>-580013</v>
      </c>
      <c r="S4848">
        <v>95415</v>
      </c>
    </row>
    <row r="4849" spans="16:19" x14ac:dyDescent="0.3">
      <c r="P4849">
        <v>4848</v>
      </c>
      <c r="Q4849">
        <v>214750</v>
      </c>
      <c r="S4849">
        <v>-572437</v>
      </c>
    </row>
    <row r="4850" spans="16:19" x14ac:dyDescent="0.3">
      <c r="P4850">
        <v>4849</v>
      </c>
      <c r="Q4850">
        <v>-317497</v>
      </c>
      <c r="S4850">
        <v>396206</v>
      </c>
    </row>
    <row r="4851" spans="16:19" x14ac:dyDescent="0.3">
      <c r="P4851">
        <v>4850</v>
      </c>
      <c r="Q4851">
        <v>-677908</v>
      </c>
      <c r="S4851">
        <v>-662299</v>
      </c>
    </row>
    <row r="4852" spans="16:19" x14ac:dyDescent="0.3">
      <c r="P4852">
        <v>4851</v>
      </c>
      <c r="Q4852">
        <v>-604817</v>
      </c>
      <c r="S4852">
        <v>449403</v>
      </c>
    </row>
    <row r="4853" spans="16:19" x14ac:dyDescent="0.3">
      <c r="P4853">
        <v>4852</v>
      </c>
      <c r="Q4853">
        <v>-514237</v>
      </c>
      <c r="S4853">
        <v>914183</v>
      </c>
    </row>
    <row r="4854" spans="16:19" x14ac:dyDescent="0.3">
      <c r="P4854">
        <v>4853</v>
      </c>
      <c r="Q4854">
        <v>281757</v>
      </c>
      <c r="S4854">
        <v>-210893</v>
      </c>
    </row>
    <row r="4855" spans="16:19" x14ac:dyDescent="0.3">
      <c r="P4855">
        <v>4854</v>
      </c>
      <c r="Q4855">
        <v>-751959</v>
      </c>
      <c r="S4855">
        <v>388583</v>
      </c>
    </row>
    <row r="4856" spans="16:19" x14ac:dyDescent="0.3">
      <c r="P4856">
        <v>4855</v>
      </c>
      <c r="Q4856">
        <v>-590499</v>
      </c>
      <c r="S4856">
        <v>735900</v>
      </c>
    </row>
    <row r="4857" spans="16:19" x14ac:dyDescent="0.3">
      <c r="P4857">
        <v>4856</v>
      </c>
      <c r="Q4857">
        <v>-11311</v>
      </c>
      <c r="S4857">
        <v>81842</v>
      </c>
    </row>
    <row r="4858" spans="16:19" x14ac:dyDescent="0.3">
      <c r="P4858">
        <v>4857</v>
      </c>
      <c r="Q4858">
        <v>-18721</v>
      </c>
      <c r="S4858">
        <v>452883</v>
      </c>
    </row>
    <row r="4859" spans="16:19" x14ac:dyDescent="0.3">
      <c r="P4859">
        <v>4858</v>
      </c>
      <c r="Q4859">
        <v>-235961</v>
      </c>
      <c r="S4859">
        <v>-606664</v>
      </c>
    </row>
    <row r="4860" spans="16:19" x14ac:dyDescent="0.3">
      <c r="P4860">
        <v>4859</v>
      </c>
      <c r="Q4860">
        <v>210296</v>
      </c>
      <c r="S4860">
        <v>-790535</v>
      </c>
    </row>
    <row r="4861" spans="16:19" x14ac:dyDescent="0.3">
      <c r="P4861">
        <v>4860</v>
      </c>
      <c r="Q4861">
        <v>-98005</v>
      </c>
      <c r="S4861">
        <v>-740853</v>
      </c>
    </row>
    <row r="4862" spans="16:19" x14ac:dyDescent="0.3">
      <c r="P4862">
        <v>4861</v>
      </c>
      <c r="Q4862">
        <v>-401338</v>
      </c>
      <c r="S4862">
        <v>-148480</v>
      </c>
    </row>
    <row r="4863" spans="16:19" x14ac:dyDescent="0.3">
      <c r="P4863">
        <v>4862</v>
      </c>
      <c r="Q4863">
        <v>657703</v>
      </c>
      <c r="S4863">
        <v>492424</v>
      </c>
    </row>
    <row r="4864" spans="16:19" x14ac:dyDescent="0.3">
      <c r="P4864">
        <v>4863</v>
      </c>
      <c r="Q4864">
        <v>-135194</v>
      </c>
      <c r="S4864">
        <v>-183876</v>
      </c>
    </row>
    <row r="4865" spans="16:19" x14ac:dyDescent="0.3">
      <c r="P4865">
        <v>4864</v>
      </c>
      <c r="Q4865">
        <v>117639</v>
      </c>
      <c r="S4865">
        <v>676932</v>
      </c>
    </row>
    <row r="4866" spans="16:19" x14ac:dyDescent="0.3">
      <c r="P4866">
        <v>4865</v>
      </c>
      <c r="Q4866">
        <v>-352467</v>
      </c>
      <c r="S4866">
        <v>591439</v>
      </c>
    </row>
    <row r="4867" spans="16:19" x14ac:dyDescent="0.3">
      <c r="P4867">
        <v>4866</v>
      </c>
      <c r="Q4867">
        <v>212726</v>
      </c>
      <c r="S4867">
        <v>445179</v>
      </c>
    </row>
    <row r="4868" spans="16:19" x14ac:dyDescent="0.3">
      <c r="P4868">
        <v>4867</v>
      </c>
      <c r="Q4868">
        <v>244361</v>
      </c>
      <c r="S4868">
        <v>-340347</v>
      </c>
    </row>
    <row r="4869" spans="16:19" x14ac:dyDescent="0.3">
      <c r="P4869">
        <v>4868</v>
      </c>
      <c r="Q4869">
        <v>-247114</v>
      </c>
      <c r="S4869">
        <v>326106</v>
      </c>
    </row>
    <row r="4870" spans="16:19" x14ac:dyDescent="0.3">
      <c r="P4870">
        <v>4869</v>
      </c>
      <c r="Q4870">
        <v>-485359</v>
      </c>
      <c r="S4870">
        <v>-451068</v>
      </c>
    </row>
    <row r="4871" spans="16:19" x14ac:dyDescent="0.3">
      <c r="P4871">
        <v>4870</v>
      </c>
      <c r="Q4871">
        <v>26848</v>
      </c>
      <c r="S4871">
        <v>223450</v>
      </c>
    </row>
    <row r="4872" spans="16:19" x14ac:dyDescent="0.3">
      <c r="P4872">
        <v>4871</v>
      </c>
      <c r="Q4872">
        <v>162768</v>
      </c>
      <c r="S4872">
        <v>650123</v>
      </c>
    </row>
    <row r="4873" spans="16:19" x14ac:dyDescent="0.3">
      <c r="P4873">
        <v>4872</v>
      </c>
      <c r="Q4873">
        <v>-550776</v>
      </c>
      <c r="S4873">
        <v>-498170</v>
      </c>
    </row>
    <row r="4874" spans="16:19" x14ac:dyDescent="0.3">
      <c r="P4874">
        <v>4873</v>
      </c>
      <c r="Q4874">
        <v>38171</v>
      </c>
      <c r="S4874">
        <v>346421</v>
      </c>
    </row>
    <row r="4875" spans="16:19" x14ac:dyDescent="0.3">
      <c r="P4875">
        <v>4874</v>
      </c>
      <c r="Q4875">
        <v>-134705</v>
      </c>
      <c r="S4875">
        <v>483699</v>
      </c>
    </row>
    <row r="4876" spans="16:19" x14ac:dyDescent="0.3">
      <c r="P4876">
        <v>4875</v>
      </c>
      <c r="Q4876">
        <v>356443</v>
      </c>
      <c r="S4876">
        <v>-247865</v>
      </c>
    </row>
    <row r="4877" spans="16:19" x14ac:dyDescent="0.3">
      <c r="P4877">
        <v>4876</v>
      </c>
      <c r="Q4877">
        <v>211837</v>
      </c>
      <c r="S4877">
        <v>60557</v>
      </c>
    </row>
    <row r="4878" spans="16:19" x14ac:dyDescent="0.3">
      <c r="P4878">
        <v>4877</v>
      </c>
      <c r="Q4878">
        <v>921474</v>
      </c>
      <c r="S4878">
        <v>86345</v>
      </c>
    </row>
    <row r="4879" spans="16:19" x14ac:dyDescent="0.3">
      <c r="P4879">
        <v>4878</v>
      </c>
      <c r="Q4879">
        <v>-46576</v>
      </c>
      <c r="S4879">
        <v>171886</v>
      </c>
    </row>
    <row r="4880" spans="16:19" x14ac:dyDescent="0.3">
      <c r="P4880">
        <v>4879</v>
      </c>
      <c r="Q4880">
        <v>-284960</v>
      </c>
      <c r="S4880">
        <v>538573</v>
      </c>
    </row>
    <row r="4881" spans="16:19" x14ac:dyDescent="0.3">
      <c r="P4881">
        <v>4880</v>
      </c>
      <c r="Q4881">
        <v>9315</v>
      </c>
      <c r="S4881">
        <v>-289369</v>
      </c>
    </row>
    <row r="4882" spans="16:19" x14ac:dyDescent="0.3">
      <c r="P4882">
        <v>4881</v>
      </c>
      <c r="Q4882">
        <v>58552</v>
      </c>
      <c r="S4882">
        <v>270408</v>
      </c>
    </row>
    <row r="4883" spans="16:19" x14ac:dyDescent="0.3">
      <c r="P4883">
        <v>4882</v>
      </c>
      <c r="Q4883">
        <v>-323374</v>
      </c>
      <c r="S4883">
        <v>-61107</v>
      </c>
    </row>
    <row r="4884" spans="16:19" x14ac:dyDescent="0.3">
      <c r="P4884">
        <v>4883</v>
      </c>
      <c r="Q4884">
        <v>-581725</v>
      </c>
      <c r="S4884">
        <v>100687</v>
      </c>
    </row>
    <row r="4885" spans="16:19" x14ac:dyDescent="0.3">
      <c r="P4885">
        <v>4884</v>
      </c>
      <c r="Q4885">
        <v>861840</v>
      </c>
      <c r="S4885">
        <v>597761</v>
      </c>
    </row>
    <row r="4886" spans="16:19" x14ac:dyDescent="0.3">
      <c r="P4886">
        <v>4885</v>
      </c>
      <c r="Q4886">
        <v>157692</v>
      </c>
      <c r="S4886">
        <v>-448059</v>
      </c>
    </row>
    <row r="4887" spans="16:19" x14ac:dyDescent="0.3">
      <c r="P4887">
        <v>4886</v>
      </c>
      <c r="Q4887">
        <v>316306</v>
      </c>
      <c r="S4887">
        <v>-301355</v>
      </c>
    </row>
    <row r="4888" spans="16:19" x14ac:dyDescent="0.3">
      <c r="P4888">
        <v>4887</v>
      </c>
      <c r="Q4888">
        <v>-504095</v>
      </c>
      <c r="S4888">
        <v>-180265</v>
      </c>
    </row>
    <row r="4889" spans="16:19" x14ac:dyDescent="0.3">
      <c r="P4889">
        <v>4888</v>
      </c>
      <c r="Q4889">
        <v>978704</v>
      </c>
      <c r="S4889">
        <v>235974</v>
      </c>
    </row>
    <row r="4890" spans="16:19" x14ac:dyDescent="0.3">
      <c r="P4890">
        <v>4889</v>
      </c>
      <c r="Q4890">
        <v>249246</v>
      </c>
      <c r="S4890">
        <v>-340446</v>
      </c>
    </row>
    <row r="4891" spans="16:19" x14ac:dyDescent="0.3">
      <c r="P4891">
        <v>4890</v>
      </c>
      <c r="Q4891">
        <v>-384412</v>
      </c>
      <c r="S4891">
        <v>-506482</v>
      </c>
    </row>
    <row r="4892" spans="16:19" x14ac:dyDescent="0.3">
      <c r="P4892">
        <v>4891</v>
      </c>
      <c r="Q4892">
        <v>-587734</v>
      </c>
      <c r="S4892">
        <v>179553</v>
      </c>
    </row>
    <row r="4893" spans="16:19" x14ac:dyDescent="0.3">
      <c r="P4893">
        <v>4892</v>
      </c>
      <c r="Q4893">
        <v>-477804</v>
      </c>
      <c r="S4893">
        <v>799749</v>
      </c>
    </row>
    <row r="4894" spans="16:19" x14ac:dyDescent="0.3">
      <c r="P4894">
        <v>4893</v>
      </c>
      <c r="Q4894">
        <v>-6481</v>
      </c>
      <c r="S4894">
        <v>442045</v>
      </c>
    </row>
    <row r="4895" spans="16:19" x14ac:dyDescent="0.3">
      <c r="P4895">
        <v>4894</v>
      </c>
      <c r="Q4895">
        <v>268955</v>
      </c>
      <c r="S4895">
        <v>25758</v>
      </c>
    </row>
    <row r="4896" spans="16:19" x14ac:dyDescent="0.3">
      <c r="P4896">
        <v>4895</v>
      </c>
      <c r="Q4896">
        <v>797971</v>
      </c>
      <c r="S4896">
        <v>-97899</v>
      </c>
    </row>
    <row r="4897" spans="16:19" x14ac:dyDescent="0.3">
      <c r="P4897">
        <v>4896</v>
      </c>
      <c r="Q4897">
        <v>407656</v>
      </c>
      <c r="S4897">
        <v>354110</v>
      </c>
    </row>
    <row r="4898" spans="16:19" x14ac:dyDescent="0.3">
      <c r="P4898">
        <v>4897</v>
      </c>
      <c r="Q4898">
        <v>-237191</v>
      </c>
      <c r="S4898">
        <v>806008</v>
      </c>
    </row>
    <row r="4899" spans="16:19" x14ac:dyDescent="0.3">
      <c r="P4899">
        <v>4898</v>
      </c>
      <c r="Q4899">
        <v>-536541</v>
      </c>
      <c r="S4899">
        <v>559428</v>
      </c>
    </row>
    <row r="4900" spans="16:19" x14ac:dyDescent="0.3">
      <c r="P4900">
        <v>4899</v>
      </c>
      <c r="Q4900">
        <v>856608</v>
      </c>
      <c r="S4900">
        <v>-315233</v>
      </c>
    </row>
    <row r="4901" spans="16:19" x14ac:dyDescent="0.3">
      <c r="P4901">
        <v>4900</v>
      </c>
      <c r="Q4901">
        <v>-397960</v>
      </c>
      <c r="S4901">
        <v>-58418</v>
      </c>
    </row>
    <row r="4902" spans="16:19" x14ac:dyDescent="0.3">
      <c r="P4902">
        <v>4901</v>
      </c>
      <c r="Q4902">
        <v>737734</v>
      </c>
      <c r="S4902">
        <v>-234797</v>
      </c>
    </row>
    <row r="4903" spans="16:19" x14ac:dyDescent="0.3">
      <c r="P4903">
        <v>4902</v>
      </c>
      <c r="Q4903">
        <v>-609117</v>
      </c>
      <c r="S4903">
        <v>699378</v>
      </c>
    </row>
    <row r="4904" spans="16:19" x14ac:dyDescent="0.3">
      <c r="P4904">
        <v>4903</v>
      </c>
      <c r="Q4904">
        <v>735058</v>
      </c>
      <c r="S4904">
        <v>-482601</v>
      </c>
    </row>
    <row r="4905" spans="16:19" x14ac:dyDescent="0.3">
      <c r="P4905">
        <v>4904</v>
      </c>
      <c r="Q4905">
        <v>268259</v>
      </c>
      <c r="S4905">
        <v>217900</v>
      </c>
    </row>
    <row r="4906" spans="16:19" x14ac:dyDescent="0.3">
      <c r="P4906">
        <v>4905</v>
      </c>
      <c r="Q4906">
        <v>633253</v>
      </c>
      <c r="S4906">
        <v>-104055</v>
      </c>
    </row>
    <row r="4907" spans="16:19" x14ac:dyDescent="0.3">
      <c r="P4907">
        <v>4906</v>
      </c>
      <c r="Q4907">
        <v>709379</v>
      </c>
      <c r="S4907">
        <v>-626719</v>
      </c>
    </row>
    <row r="4908" spans="16:19" x14ac:dyDescent="0.3">
      <c r="P4908">
        <v>4907</v>
      </c>
      <c r="Q4908">
        <v>85999</v>
      </c>
      <c r="S4908">
        <v>286244</v>
      </c>
    </row>
    <row r="4909" spans="16:19" x14ac:dyDescent="0.3">
      <c r="P4909">
        <v>4908</v>
      </c>
      <c r="Q4909">
        <v>295401</v>
      </c>
      <c r="S4909">
        <v>-145454</v>
      </c>
    </row>
    <row r="4910" spans="16:19" x14ac:dyDescent="0.3">
      <c r="P4910">
        <v>4909</v>
      </c>
      <c r="Q4910">
        <v>-579438</v>
      </c>
      <c r="S4910">
        <v>-541248</v>
      </c>
    </row>
    <row r="4911" spans="16:19" x14ac:dyDescent="0.3">
      <c r="P4911">
        <v>4910</v>
      </c>
      <c r="Q4911">
        <v>-617968</v>
      </c>
      <c r="S4911">
        <v>20326</v>
      </c>
    </row>
    <row r="4912" spans="16:19" x14ac:dyDescent="0.3">
      <c r="P4912">
        <v>4911</v>
      </c>
      <c r="Q4912">
        <v>592424</v>
      </c>
      <c r="S4912">
        <v>852365</v>
      </c>
    </row>
    <row r="4913" spans="16:19" x14ac:dyDescent="0.3">
      <c r="P4913">
        <v>4912</v>
      </c>
      <c r="Q4913">
        <v>534382</v>
      </c>
      <c r="S4913">
        <v>588500</v>
      </c>
    </row>
    <row r="4914" spans="16:19" x14ac:dyDescent="0.3">
      <c r="P4914">
        <v>4913</v>
      </c>
      <c r="Q4914">
        <v>-528988</v>
      </c>
      <c r="S4914">
        <v>-196864</v>
      </c>
    </row>
    <row r="4915" spans="16:19" x14ac:dyDescent="0.3">
      <c r="P4915">
        <v>4914</v>
      </c>
      <c r="Q4915">
        <v>-213925</v>
      </c>
      <c r="S4915">
        <v>39171</v>
      </c>
    </row>
    <row r="4916" spans="16:19" x14ac:dyDescent="0.3">
      <c r="P4916">
        <v>4915</v>
      </c>
      <c r="Q4916">
        <v>265957</v>
      </c>
      <c r="S4916">
        <v>232458</v>
      </c>
    </row>
    <row r="4917" spans="16:19" x14ac:dyDescent="0.3">
      <c r="P4917">
        <v>4916</v>
      </c>
      <c r="Q4917">
        <v>-125502</v>
      </c>
      <c r="S4917">
        <v>-108282</v>
      </c>
    </row>
    <row r="4918" spans="16:19" x14ac:dyDescent="0.3">
      <c r="P4918">
        <v>4917</v>
      </c>
      <c r="Q4918">
        <v>-34658</v>
      </c>
      <c r="S4918">
        <v>115478</v>
      </c>
    </row>
    <row r="4919" spans="16:19" x14ac:dyDescent="0.3">
      <c r="P4919">
        <v>4918</v>
      </c>
      <c r="Q4919">
        <v>-633885</v>
      </c>
      <c r="S4919">
        <v>151457</v>
      </c>
    </row>
    <row r="4920" spans="16:19" x14ac:dyDescent="0.3">
      <c r="P4920">
        <v>4919</v>
      </c>
      <c r="Q4920">
        <v>-473868</v>
      </c>
      <c r="S4920">
        <v>157515</v>
      </c>
    </row>
    <row r="4921" spans="16:19" x14ac:dyDescent="0.3">
      <c r="P4921">
        <v>4920</v>
      </c>
      <c r="Q4921">
        <v>-259944</v>
      </c>
      <c r="S4921">
        <v>56191</v>
      </c>
    </row>
    <row r="4922" spans="16:19" x14ac:dyDescent="0.3">
      <c r="P4922">
        <v>4921</v>
      </c>
      <c r="Q4922">
        <v>288838</v>
      </c>
      <c r="S4922">
        <v>668293</v>
      </c>
    </row>
    <row r="4923" spans="16:19" x14ac:dyDescent="0.3">
      <c r="P4923">
        <v>4922</v>
      </c>
      <c r="Q4923">
        <v>-638125</v>
      </c>
      <c r="S4923">
        <v>128471</v>
      </c>
    </row>
    <row r="4924" spans="16:19" x14ac:dyDescent="0.3">
      <c r="P4924">
        <v>4923</v>
      </c>
      <c r="Q4924">
        <v>-433904</v>
      </c>
      <c r="S4924">
        <v>946885</v>
      </c>
    </row>
    <row r="4925" spans="16:19" x14ac:dyDescent="0.3">
      <c r="P4925">
        <v>4924</v>
      </c>
      <c r="Q4925">
        <v>749710</v>
      </c>
      <c r="S4925">
        <v>47263</v>
      </c>
    </row>
    <row r="4926" spans="16:19" x14ac:dyDescent="0.3">
      <c r="P4926">
        <v>4925</v>
      </c>
      <c r="Q4926">
        <v>149208</v>
      </c>
      <c r="S4926">
        <v>-593239</v>
      </c>
    </row>
    <row r="4927" spans="16:19" x14ac:dyDescent="0.3">
      <c r="P4927">
        <v>4926</v>
      </c>
      <c r="Q4927">
        <v>-486922</v>
      </c>
      <c r="S4927">
        <v>225332</v>
      </c>
    </row>
    <row r="4928" spans="16:19" x14ac:dyDescent="0.3">
      <c r="P4928">
        <v>4927</v>
      </c>
      <c r="Q4928">
        <v>355700</v>
      </c>
      <c r="S4928">
        <v>529942</v>
      </c>
    </row>
    <row r="4929" spans="16:19" x14ac:dyDescent="0.3">
      <c r="P4929">
        <v>4928</v>
      </c>
      <c r="Q4929">
        <v>199377</v>
      </c>
      <c r="S4929">
        <v>-610600</v>
      </c>
    </row>
    <row r="4930" spans="16:19" x14ac:dyDescent="0.3">
      <c r="P4930">
        <v>4929</v>
      </c>
      <c r="Q4930">
        <v>-537546</v>
      </c>
      <c r="S4930">
        <v>407243</v>
      </c>
    </row>
    <row r="4931" spans="16:19" x14ac:dyDescent="0.3">
      <c r="P4931">
        <v>4930</v>
      </c>
      <c r="Q4931">
        <v>-246427</v>
      </c>
      <c r="S4931">
        <v>-405375</v>
      </c>
    </row>
    <row r="4932" spans="16:19" x14ac:dyDescent="0.3">
      <c r="P4932">
        <v>4931</v>
      </c>
      <c r="Q4932">
        <v>-399959</v>
      </c>
      <c r="S4932">
        <v>1015873</v>
      </c>
    </row>
    <row r="4933" spans="16:19" x14ac:dyDescent="0.3">
      <c r="P4933">
        <v>4932</v>
      </c>
      <c r="Q4933">
        <v>-66487</v>
      </c>
      <c r="S4933">
        <v>752949</v>
      </c>
    </row>
    <row r="4934" spans="16:19" x14ac:dyDescent="0.3">
      <c r="P4934">
        <v>4933</v>
      </c>
      <c r="Q4934">
        <v>26886</v>
      </c>
      <c r="S4934">
        <v>848800</v>
      </c>
    </row>
    <row r="4935" spans="16:19" x14ac:dyDescent="0.3">
      <c r="P4935">
        <v>4934</v>
      </c>
      <c r="Q4935">
        <v>-335294</v>
      </c>
      <c r="S4935">
        <v>-368018</v>
      </c>
    </row>
    <row r="4936" spans="16:19" x14ac:dyDescent="0.3">
      <c r="P4936">
        <v>4935</v>
      </c>
      <c r="Q4936">
        <v>205740</v>
      </c>
      <c r="S4936">
        <v>-283182</v>
      </c>
    </row>
    <row r="4937" spans="16:19" x14ac:dyDescent="0.3">
      <c r="P4937">
        <v>4936</v>
      </c>
      <c r="Q4937">
        <v>256714</v>
      </c>
      <c r="S4937">
        <v>-178954</v>
      </c>
    </row>
    <row r="4938" spans="16:19" x14ac:dyDescent="0.3">
      <c r="P4938">
        <v>4937</v>
      </c>
      <c r="Q4938">
        <v>-112138</v>
      </c>
      <c r="S4938">
        <v>257629</v>
      </c>
    </row>
    <row r="4939" spans="16:19" x14ac:dyDescent="0.3">
      <c r="P4939">
        <v>4938</v>
      </c>
      <c r="Q4939">
        <v>-699807</v>
      </c>
      <c r="S4939">
        <v>876957</v>
      </c>
    </row>
    <row r="4940" spans="16:19" x14ac:dyDescent="0.3">
      <c r="P4940">
        <v>4939</v>
      </c>
      <c r="Q4940">
        <v>111704</v>
      </c>
      <c r="S4940">
        <v>691892</v>
      </c>
    </row>
    <row r="4941" spans="16:19" x14ac:dyDescent="0.3">
      <c r="P4941">
        <v>4940</v>
      </c>
      <c r="Q4941">
        <v>-90338</v>
      </c>
      <c r="S4941">
        <v>369834</v>
      </c>
    </row>
    <row r="4942" spans="16:19" x14ac:dyDescent="0.3">
      <c r="P4942">
        <v>4941</v>
      </c>
      <c r="Q4942">
        <v>95641</v>
      </c>
      <c r="S4942">
        <v>-69796</v>
      </c>
    </row>
    <row r="4943" spans="16:19" x14ac:dyDescent="0.3">
      <c r="P4943">
        <v>4942</v>
      </c>
      <c r="Q4943">
        <v>-62938</v>
      </c>
      <c r="S4943">
        <v>88509</v>
      </c>
    </row>
    <row r="4944" spans="16:19" x14ac:dyDescent="0.3">
      <c r="P4944">
        <v>4943</v>
      </c>
      <c r="Q4944">
        <v>-233709</v>
      </c>
      <c r="S4944">
        <v>127966</v>
      </c>
    </row>
    <row r="4945" spans="16:19" x14ac:dyDescent="0.3">
      <c r="P4945">
        <v>4944</v>
      </c>
      <c r="Q4945">
        <v>150857</v>
      </c>
      <c r="S4945">
        <v>797369</v>
      </c>
    </row>
    <row r="4946" spans="16:19" x14ac:dyDescent="0.3">
      <c r="P4946">
        <v>4945</v>
      </c>
      <c r="Q4946">
        <v>595404</v>
      </c>
      <c r="S4946">
        <v>625664</v>
      </c>
    </row>
    <row r="4947" spans="16:19" x14ac:dyDescent="0.3">
      <c r="P4947">
        <v>4946</v>
      </c>
      <c r="Q4947">
        <v>315247</v>
      </c>
      <c r="S4947">
        <v>465757</v>
      </c>
    </row>
    <row r="4948" spans="16:19" x14ac:dyDescent="0.3">
      <c r="P4948">
        <v>4947</v>
      </c>
      <c r="Q4948">
        <v>613556</v>
      </c>
      <c r="S4948">
        <v>-632220</v>
      </c>
    </row>
    <row r="4949" spans="16:19" x14ac:dyDescent="0.3">
      <c r="P4949">
        <v>4948</v>
      </c>
      <c r="Q4949">
        <v>901187</v>
      </c>
      <c r="S4949">
        <v>145733</v>
      </c>
    </row>
    <row r="4950" spans="16:19" x14ac:dyDescent="0.3">
      <c r="P4950">
        <v>4949</v>
      </c>
      <c r="Q4950">
        <v>129705</v>
      </c>
      <c r="S4950">
        <v>-711419</v>
      </c>
    </row>
    <row r="4951" spans="16:19" x14ac:dyDescent="0.3">
      <c r="P4951">
        <v>4950</v>
      </c>
      <c r="Q4951">
        <v>463420</v>
      </c>
      <c r="S4951">
        <v>459098</v>
      </c>
    </row>
    <row r="4952" spans="16:19" x14ac:dyDescent="0.3">
      <c r="P4952">
        <v>4951</v>
      </c>
      <c r="Q4952">
        <v>-213485</v>
      </c>
      <c r="S4952">
        <v>368118</v>
      </c>
    </row>
    <row r="4953" spans="16:19" x14ac:dyDescent="0.3">
      <c r="P4953">
        <v>4952</v>
      </c>
      <c r="Q4953">
        <v>540681</v>
      </c>
      <c r="S4953">
        <v>-556394</v>
      </c>
    </row>
    <row r="4954" spans="16:19" x14ac:dyDescent="0.3">
      <c r="P4954">
        <v>4953</v>
      </c>
      <c r="Q4954">
        <v>-591544</v>
      </c>
      <c r="S4954">
        <v>145858</v>
      </c>
    </row>
    <row r="4955" spans="16:19" x14ac:dyDescent="0.3">
      <c r="P4955">
        <v>4954</v>
      </c>
      <c r="Q4955">
        <v>-443582</v>
      </c>
      <c r="S4955">
        <v>-163729</v>
      </c>
    </row>
    <row r="4956" spans="16:19" x14ac:dyDescent="0.3">
      <c r="P4956">
        <v>4955</v>
      </c>
      <c r="Q4956">
        <v>-682821</v>
      </c>
      <c r="S4956">
        <v>249773</v>
      </c>
    </row>
    <row r="4957" spans="16:19" x14ac:dyDescent="0.3">
      <c r="P4957">
        <v>4956</v>
      </c>
      <c r="Q4957">
        <v>579659</v>
      </c>
      <c r="S4957">
        <v>-411367</v>
      </c>
    </row>
    <row r="4958" spans="16:19" x14ac:dyDescent="0.3">
      <c r="P4958">
        <v>4957</v>
      </c>
      <c r="Q4958">
        <v>62067</v>
      </c>
      <c r="S4958">
        <v>916884</v>
      </c>
    </row>
    <row r="4959" spans="16:19" x14ac:dyDescent="0.3">
      <c r="P4959">
        <v>4958</v>
      </c>
      <c r="Q4959">
        <v>-40575</v>
      </c>
      <c r="S4959">
        <v>-544777</v>
      </c>
    </row>
    <row r="4960" spans="16:19" x14ac:dyDescent="0.3">
      <c r="P4960">
        <v>4959</v>
      </c>
      <c r="Q4960">
        <v>555657</v>
      </c>
      <c r="S4960">
        <v>857003</v>
      </c>
    </row>
    <row r="4961" spans="16:19" x14ac:dyDescent="0.3">
      <c r="P4961">
        <v>4960</v>
      </c>
      <c r="Q4961">
        <v>-587798</v>
      </c>
      <c r="S4961">
        <v>-3346</v>
      </c>
    </row>
    <row r="4962" spans="16:19" x14ac:dyDescent="0.3">
      <c r="P4962">
        <v>4961</v>
      </c>
      <c r="Q4962">
        <v>673491</v>
      </c>
      <c r="S4962">
        <v>-165656</v>
      </c>
    </row>
    <row r="4963" spans="16:19" x14ac:dyDescent="0.3">
      <c r="P4963">
        <v>4962</v>
      </c>
      <c r="Q4963">
        <v>240469</v>
      </c>
      <c r="S4963">
        <v>-589963</v>
      </c>
    </row>
    <row r="4964" spans="16:19" x14ac:dyDescent="0.3">
      <c r="P4964">
        <v>4963</v>
      </c>
      <c r="Q4964">
        <v>512084</v>
      </c>
      <c r="S4964">
        <v>381190</v>
      </c>
    </row>
    <row r="4965" spans="16:19" x14ac:dyDescent="0.3">
      <c r="P4965">
        <v>4964</v>
      </c>
      <c r="Q4965">
        <v>-204692</v>
      </c>
      <c r="S4965">
        <v>-22488</v>
      </c>
    </row>
    <row r="4966" spans="16:19" x14ac:dyDescent="0.3">
      <c r="P4966">
        <v>4965</v>
      </c>
      <c r="Q4966">
        <v>40755</v>
      </c>
      <c r="S4966">
        <v>-172034</v>
      </c>
    </row>
    <row r="4967" spans="16:19" x14ac:dyDescent="0.3">
      <c r="P4967">
        <v>4966</v>
      </c>
      <c r="Q4967">
        <v>-468903</v>
      </c>
      <c r="S4967">
        <v>-372617</v>
      </c>
    </row>
    <row r="4968" spans="16:19" x14ac:dyDescent="0.3">
      <c r="P4968">
        <v>4967</v>
      </c>
      <c r="Q4968">
        <v>648873</v>
      </c>
      <c r="S4968">
        <v>-308286</v>
      </c>
    </row>
    <row r="4969" spans="16:19" x14ac:dyDescent="0.3">
      <c r="P4969">
        <v>4968</v>
      </c>
      <c r="Q4969">
        <v>39360</v>
      </c>
      <c r="S4969">
        <v>186821</v>
      </c>
    </row>
    <row r="4970" spans="16:19" x14ac:dyDescent="0.3">
      <c r="P4970">
        <v>4969</v>
      </c>
      <c r="Q4970">
        <v>-482997</v>
      </c>
      <c r="S4970">
        <v>-45879</v>
      </c>
    </row>
    <row r="4971" spans="16:19" x14ac:dyDescent="0.3">
      <c r="P4971">
        <v>4970</v>
      </c>
      <c r="Q4971">
        <v>-206956</v>
      </c>
      <c r="S4971">
        <v>12041</v>
      </c>
    </row>
    <row r="4972" spans="16:19" x14ac:dyDescent="0.3">
      <c r="P4972">
        <v>4971</v>
      </c>
      <c r="Q4972">
        <v>783993</v>
      </c>
      <c r="S4972">
        <v>501157</v>
      </c>
    </row>
    <row r="4973" spans="16:19" x14ac:dyDescent="0.3">
      <c r="P4973">
        <v>4972</v>
      </c>
      <c r="Q4973">
        <v>-418790</v>
      </c>
      <c r="S4973">
        <v>-189446</v>
      </c>
    </row>
    <row r="4974" spans="16:19" x14ac:dyDescent="0.3">
      <c r="P4974">
        <v>4973</v>
      </c>
      <c r="Q4974">
        <v>-66041</v>
      </c>
      <c r="S4974">
        <v>610670</v>
      </c>
    </row>
    <row r="4975" spans="16:19" x14ac:dyDescent="0.3">
      <c r="P4975">
        <v>4974</v>
      </c>
      <c r="Q4975">
        <v>-121583</v>
      </c>
      <c r="S4975">
        <v>622245</v>
      </c>
    </row>
    <row r="4976" spans="16:19" x14ac:dyDescent="0.3">
      <c r="P4976">
        <v>4975</v>
      </c>
      <c r="Q4976">
        <v>555872</v>
      </c>
      <c r="S4976">
        <v>494049</v>
      </c>
    </row>
    <row r="4977" spans="16:19" x14ac:dyDescent="0.3">
      <c r="P4977">
        <v>4976</v>
      </c>
      <c r="Q4977">
        <v>-589771</v>
      </c>
      <c r="S4977">
        <v>397520</v>
      </c>
    </row>
    <row r="4978" spans="16:19" x14ac:dyDescent="0.3">
      <c r="P4978">
        <v>4977</v>
      </c>
      <c r="Q4978">
        <v>492209</v>
      </c>
      <c r="S4978">
        <v>-843061</v>
      </c>
    </row>
    <row r="4979" spans="16:19" x14ac:dyDescent="0.3">
      <c r="P4979">
        <v>4978</v>
      </c>
      <c r="Q4979">
        <v>302014</v>
      </c>
      <c r="S4979">
        <v>-460305</v>
      </c>
    </row>
    <row r="4980" spans="16:19" x14ac:dyDescent="0.3">
      <c r="P4980">
        <v>4979</v>
      </c>
      <c r="Q4980">
        <v>716342</v>
      </c>
      <c r="S4980">
        <v>-238355</v>
      </c>
    </row>
    <row r="4981" spans="16:19" x14ac:dyDescent="0.3">
      <c r="P4981">
        <v>4980</v>
      </c>
      <c r="Q4981">
        <v>-17789</v>
      </c>
      <c r="S4981">
        <v>186662</v>
      </c>
    </row>
    <row r="4982" spans="16:19" x14ac:dyDescent="0.3">
      <c r="P4982">
        <v>4981</v>
      </c>
      <c r="Q4982">
        <v>-272422</v>
      </c>
      <c r="S4982">
        <v>419308</v>
      </c>
    </row>
    <row r="4983" spans="16:19" x14ac:dyDescent="0.3">
      <c r="P4983">
        <v>4982</v>
      </c>
      <c r="Q4983">
        <v>452432</v>
      </c>
      <c r="S4983">
        <v>-189956</v>
      </c>
    </row>
    <row r="4984" spans="16:19" x14ac:dyDescent="0.3">
      <c r="P4984">
        <v>4983</v>
      </c>
      <c r="Q4984">
        <v>-607733</v>
      </c>
      <c r="S4984">
        <v>702189</v>
      </c>
    </row>
    <row r="4985" spans="16:19" x14ac:dyDescent="0.3">
      <c r="P4985">
        <v>4984</v>
      </c>
      <c r="Q4985">
        <v>-305777</v>
      </c>
      <c r="S4985">
        <v>-428414</v>
      </c>
    </row>
    <row r="4986" spans="16:19" x14ac:dyDescent="0.3">
      <c r="P4986">
        <v>4985</v>
      </c>
      <c r="Q4986">
        <v>157753</v>
      </c>
      <c r="S4986">
        <v>165033</v>
      </c>
    </row>
    <row r="4987" spans="16:19" x14ac:dyDescent="0.3">
      <c r="P4987">
        <v>4986</v>
      </c>
      <c r="Q4987">
        <v>404749</v>
      </c>
      <c r="S4987">
        <v>-113506</v>
      </c>
    </row>
    <row r="4988" spans="16:19" x14ac:dyDescent="0.3">
      <c r="P4988">
        <v>4987</v>
      </c>
      <c r="Q4988">
        <v>-143711</v>
      </c>
      <c r="S4988">
        <v>318892</v>
      </c>
    </row>
    <row r="4989" spans="16:19" x14ac:dyDescent="0.3">
      <c r="P4989">
        <v>4988</v>
      </c>
      <c r="Q4989">
        <v>81027</v>
      </c>
      <c r="S4989">
        <v>532461</v>
      </c>
    </row>
    <row r="4990" spans="16:19" x14ac:dyDescent="0.3">
      <c r="P4990">
        <v>4989</v>
      </c>
      <c r="Q4990">
        <v>-165114</v>
      </c>
      <c r="S4990">
        <v>24813</v>
      </c>
    </row>
    <row r="4991" spans="16:19" x14ac:dyDescent="0.3">
      <c r="P4991">
        <v>4990</v>
      </c>
      <c r="Q4991">
        <v>784002</v>
      </c>
      <c r="S4991">
        <v>647203</v>
      </c>
    </row>
    <row r="4992" spans="16:19" x14ac:dyDescent="0.3">
      <c r="P4992">
        <v>4991</v>
      </c>
      <c r="Q4992">
        <v>-126364</v>
      </c>
      <c r="S4992">
        <v>-332801</v>
      </c>
    </row>
    <row r="4993" spans="16:19" x14ac:dyDescent="0.3">
      <c r="P4993">
        <v>4992</v>
      </c>
      <c r="Q4993">
        <v>741263</v>
      </c>
      <c r="S4993">
        <v>62525</v>
      </c>
    </row>
    <row r="4994" spans="16:19" x14ac:dyDescent="0.3">
      <c r="P4994">
        <v>4993</v>
      </c>
      <c r="Q4994">
        <v>-286881</v>
      </c>
      <c r="S4994">
        <v>-361620</v>
      </c>
    </row>
    <row r="4995" spans="16:19" x14ac:dyDescent="0.3">
      <c r="P4995">
        <v>4994</v>
      </c>
      <c r="Q4995">
        <v>498711</v>
      </c>
      <c r="S4995">
        <v>-31025</v>
      </c>
    </row>
    <row r="4996" spans="16:19" x14ac:dyDescent="0.3">
      <c r="P4996">
        <v>4995</v>
      </c>
      <c r="Q4996">
        <v>-858913</v>
      </c>
      <c r="S4996">
        <v>255173</v>
      </c>
    </row>
    <row r="4997" spans="16:19" x14ac:dyDescent="0.3">
      <c r="P4997">
        <v>4996</v>
      </c>
      <c r="Q4997">
        <v>-373034</v>
      </c>
      <c r="S4997">
        <v>-203261</v>
      </c>
    </row>
    <row r="4998" spans="16:19" x14ac:dyDescent="0.3">
      <c r="P4998">
        <v>4997</v>
      </c>
      <c r="Q4998">
        <v>974653</v>
      </c>
      <c r="S4998">
        <v>487728</v>
      </c>
    </row>
    <row r="4999" spans="16:19" x14ac:dyDescent="0.3">
      <c r="P4999">
        <v>4998</v>
      </c>
      <c r="Q4999">
        <v>-126440</v>
      </c>
      <c r="S4999">
        <v>-424197</v>
      </c>
    </row>
    <row r="5000" spans="16:19" x14ac:dyDescent="0.3">
      <c r="P5000">
        <v>4999</v>
      </c>
      <c r="Q5000">
        <v>-324555</v>
      </c>
      <c r="S5000">
        <v>716110</v>
      </c>
    </row>
    <row r="5001" spans="16:19" x14ac:dyDescent="0.3">
      <c r="P5001">
        <v>5000</v>
      </c>
      <c r="Q5001">
        <v>438535</v>
      </c>
      <c r="S5001">
        <v>136088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q1 15 M</vt:lpstr>
      <vt:lpstr>q2 15 M</vt:lpstr>
      <vt:lpstr>Sheet1</vt:lpstr>
      <vt:lpstr>Bonus 5 Marks for attempting</vt:lpstr>
      <vt:lpstr>Sheet2</vt:lpstr>
      <vt:lpstr>Sheet3</vt:lpstr>
      <vt:lpstr>home work</vt:lpstr>
      <vt:lpstr>monti carlo simulation</vt:lpstr>
      <vt:lpstr>datapoints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Ponnam Abhilash</dc:creator>
  <cp:lastModifiedBy>Jayanth Reddy</cp:lastModifiedBy>
  <dcterms:created xsi:type="dcterms:W3CDTF">2026-02-12T15:38:18Z</dcterms:created>
  <dcterms:modified xsi:type="dcterms:W3CDTF">2026-03-01T15:03:16Z</dcterms:modified>
</cp:coreProperties>
</file>