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xr:revisionPtr revIDLastSave="0" documentId="13_ncr:1_{3AB1D41E-7EA9-44A2-BB1F-3AF1A27F2E34}" xr6:coauthVersionLast="47" xr6:coauthVersionMax="47" xr10:uidLastSave="{00000000-0000-0000-0000-000000000000}"/>
  <bookViews>
    <workbookView xWindow="-104" yWindow="-104" windowWidth="22326" windowHeight="11947" firstSheet="2" activeTab="9" xr2:uid="{00000000-000D-0000-FFFF-FFFF00000000}"/>
  </bookViews>
  <sheets>
    <sheet name="sumproduct " sheetId="4" r:id="rId1"/>
    <sheet name="MIN" sheetId="5" r:id="rId2"/>
    <sheet name="MAX 1" sheetId="2" r:id="rId3"/>
    <sheet name="MAX 2" sheetId="6" r:id="rId4"/>
    <sheet name="MAX 3" sheetId="7" r:id="rId5"/>
    <sheet name="BIN MIN" sheetId="9" r:id="rId6"/>
    <sheet name="BIN MIN 2" sheetId="11" r:id="rId7"/>
    <sheet name="BIN Max 3" sheetId="10" r:id="rId8"/>
    <sheet name="BIN MIN 4" sheetId="15" r:id="rId9"/>
    <sheet name="BIN MIN 5" sheetId="13" r:id="rId10"/>
    <sheet name="Topics Optimistic" sheetId="8" r:id="rId11"/>
  </sheets>
  <definedNames>
    <definedName name="solver_adj" localSheetId="7" hidden="1">'BIN Max 3'!$P$4:$P$7</definedName>
    <definedName name="solver_adj" localSheetId="5" hidden="1">'BIN MIN'!$S$3:$S$15</definedName>
    <definedName name="solver_adj" localSheetId="6" hidden="1">'BIN MIN 2'!$M$3:$M$15</definedName>
    <definedName name="solver_adj" localSheetId="8" hidden="1">'BIN MIN 4'!$S$14:$S$17</definedName>
    <definedName name="solver_adj" localSheetId="9" hidden="1">'BIN MIN 5'!$W$15:$W$26</definedName>
    <definedName name="solver_adj" localSheetId="2" hidden="1">'MAX 1'!$Q$5:$Q$6</definedName>
    <definedName name="solver_adj" localSheetId="3" hidden="1">'MAX 2'!$M$4:$M$5</definedName>
    <definedName name="solver_adj" localSheetId="4" hidden="1">'MAX 3'!$N$4:$N$6</definedName>
    <definedName name="solver_adj" localSheetId="1" hidden="1">MIN!$G$5:$G$7</definedName>
    <definedName name="solver_cvg" localSheetId="7" hidden="1">0.0001</definedName>
    <definedName name="solver_cvg" localSheetId="5" hidden="1">0.0001</definedName>
    <definedName name="solver_cvg" localSheetId="6" hidden="1">0.0001</definedName>
    <definedName name="solver_cvg" localSheetId="8" hidden="1">0.0001</definedName>
    <definedName name="solver_cvg" localSheetId="9" hidden="1">0.0001</definedName>
    <definedName name="solver_cvg" localSheetId="2" hidden="1">0.0001</definedName>
    <definedName name="solver_cvg" localSheetId="3" hidden="1">0.0001</definedName>
    <definedName name="solver_cvg" localSheetId="4" hidden="1">0.0001</definedName>
    <definedName name="solver_cvg" localSheetId="1" hidden="1">0.0001</definedName>
    <definedName name="solver_drv" localSheetId="7" hidden="1">2</definedName>
    <definedName name="solver_drv" localSheetId="5" hidden="1">1</definedName>
    <definedName name="solver_drv" localSheetId="6" hidden="1">1</definedName>
    <definedName name="solver_drv" localSheetId="8" hidden="1">1</definedName>
    <definedName name="solver_drv" localSheetId="9" hidden="1">1</definedName>
    <definedName name="solver_drv" localSheetId="2" hidden="1">1</definedName>
    <definedName name="solver_drv" localSheetId="3" hidden="1">1</definedName>
    <definedName name="solver_drv" localSheetId="4" hidden="1">1</definedName>
    <definedName name="solver_drv" localSheetId="1" hidden="1">1</definedName>
    <definedName name="solver_eng" localSheetId="7" hidden="1">2</definedName>
    <definedName name="solver_eng" localSheetId="5" hidden="1">2</definedName>
    <definedName name="solver_eng" localSheetId="6" hidden="1">2</definedName>
    <definedName name="solver_eng" localSheetId="8" hidden="1">1</definedName>
    <definedName name="solver_eng" localSheetId="9" hidden="1">2</definedName>
    <definedName name="solver_eng" localSheetId="2" hidden="1">2</definedName>
    <definedName name="solver_eng" localSheetId="3" hidden="1">2</definedName>
    <definedName name="solver_eng" localSheetId="4" hidden="1">2</definedName>
    <definedName name="solver_eng" localSheetId="1" hidden="1">2</definedName>
    <definedName name="solver_est" localSheetId="7" hidden="1">1</definedName>
    <definedName name="solver_est" localSheetId="5" hidden="1">1</definedName>
    <definedName name="solver_est" localSheetId="6" hidden="1">1</definedName>
    <definedName name="solver_est" localSheetId="8" hidden="1">1</definedName>
    <definedName name="solver_est" localSheetId="9" hidden="1">1</definedName>
    <definedName name="solver_est" localSheetId="2" hidden="1">1</definedName>
    <definedName name="solver_est" localSheetId="3" hidden="1">1</definedName>
    <definedName name="solver_est" localSheetId="4" hidden="1">1</definedName>
    <definedName name="solver_est" localSheetId="1" hidden="1">1</definedName>
    <definedName name="solver_itr" localSheetId="7" hidden="1">2147483647</definedName>
    <definedName name="solver_itr" localSheetId="5" hidden="1">2147483647</definedName>
    <definedName name="solver_itr" localSheetId="6" hidden="1">2147483647</definedName>
    <definedName name="solver_itr" localSheetId="8" hidden="1">2147483647</definedName>
    <definedName name="solver_itr" localSheetId="9" hidden="1">2147483647</definedName>
    <definedName name="solver_itr" localSheetId="2" hidden="1">2147483647</definedName>
    <definedName name="solver_itr" localSheetId="3" hidden="1">2147483647</definedName>
    <definedName name="solver_itr" localSheetId="4" hidden="1">2147483647</definedName>
    <definedName name="solver_itr" localSheetId="1" hidden="1">2147483647</definedName>
    <definedName name="solver_lhs1" localSheetId="7" hidden="1">'BIN Max 3'!$O$13</definedName>
    <definedName name="solver_lhs1" localSheetId="5" hidden="1">'BIN MIN'!$S$3:$S$15</definedName>
    <definedName name="solver_lhs1" localSheetId="6" hidden="1">'BIN MIN 2'!$M$3:$M$15</definedName>
    <definedName name="solver_lhs1" localSheetId="8" hidden="1">'BIN MIN 4'!$L$20:$Q$20</definedName>
    <definedName name="solver_lhs1" localSheetId="9" hidden="1">'BIN MIN 5'!$J$33:$U$33</definedName>
    <definedName name="solver_lhs1" localSheetId="2" hidden="1">'MAX 1'!$Q$10:$Q$12</definedName>
    <definedName name="solver_lhs1" localSheetId="3" hidden="1">'MAX 2'!$L$11:$L$12</definedName>
    <definedName name="solver_lhs1" localSheetId="4" hidden="1">'MAX 3'!$L$12:$L$14</definedName>
    <definedName name="solver_lhs1" localSheetId="1" hidden="1">MIN!$G$5:$G$7</definedName>
    <definedName name="solver_lhs2" localSheetId="7" hidden="1">'BIN Max 3'!$P$4:$P$7</definedName>
    <definedName name="solver_lhs2" localSheetId="5" hidden="1">'BIN MIN'!$W$9:$W$15</definedName>
    <definedName name="solver_lhs2" localSheetId="6" hidden="1">'BIN MIN 2'!$Q$9:$Q$15</definedName>
    <definedName name="solver_lhs2" localSheetId="8" hidden="1">'BIN MIN 4'!$S$14:$S$17</definedName>
    <definedName name="solver_lhs2" localSheetId="9" hidden="1">'BIN MIN 5'!$W$15:$W$26</definedName>
    <definedName name="solver_lhs2" localSheetId="2" hidden="1">'MAX 1'!$Q$5:$Q$6</definedName>
    <definedName name="solver_lhs2" localSheetId="3" hidden="1">'MAX 2'!$M$4:$M$5</definedName>
    <definedName name="solver_lhs2" localSheetId="4" hidden="1">'MAX 3'!$N$4:$N$6</definedName>
    <definedName name="solver_lhs2" localSheetId="1" hidden="1">MIN!$L$8:$L$9</definedName>
    <definedName name="solver_mip" localSheetId="7" hidden="1">2147483647</definedName>
    <definedName name="solver_mip" localSheetId="5" hidden="1">2147483647</definedName>
    <definedName name="solver_mip" localSheetId="6" hidden="1">2147483647</definedName>
    <definedName name="solver_mip" localSheetId="8" hidden="1">2147483647</definedName>
    <definedName name="solver_mip" localSheetId="9" hidden="1">2147483647</definedName>
    <definedName name="solver_mip" localSheetId="2" hidden="1">2147483647</definedName>
    <definedName name="solver_mip" localSheetId="3" hidden="1">2147483647</definedName>
    <definedName name="solver_mip" localSheetId="4" hidden="1">2147483647</definedName>
    <definedName name="solver_mip" localSheetId="1" hidden="1">2147483647</definedName>
    <definedName name="solver_mni" localSheetId="7" hidden="1">30</definedName>
    <definedName name="solver_mni" localSheetId="5" hidden="1">30</definedName>
    <definedName name="solver_mni" localSheetId="6" hidden="1">30</definedName>
    <definedName name="solver_mni" localSheetId="8" hidden="1">30</definedName>
    <definedName name="solver_mni" localSheetId="9" hidden="1">30</definedName>
    <definedName name="solver_mni" localSheetId="2" hidden="1">30</definedName>
    <definedName name="solver_mni" localSheetId="3" hidden="1">30</definedName>
    <definedName name="solver_mni" localSheetId="4" hidden="1">30</definedName>
    <definedName name="solver_mni" localSheetId="1" hidden="1">30</definedName>
    <definedName name="solver_mrt" localSheetId="7" hidden="1">0.075</definedName>
    <definedName name="solver_mrt" localSheetId="5" hidden="1">0.075</definedName>
    <definedName name="solver_mrt" localSheetId="6" hidden="1">0.075</definedName>
    <definedName name="solver_mrt" localSheetId="8" hidden="1">0.075</definedName>
    <definedName name="solver_mrt" localSheetId="9" hidden="1">0.075</definedName>
    <definedName name="solver_mrt" localSheetId="2" hidden="1">0.075</definedName>
    <definedName name="solver_mrt" localSheetId="3" hidden="1">0.075</definedName>
    <definedName name="solver_mrt" localSheetId="4" hidden="1">0.075</definedName>
    <definedName name="solver_mrt" localSheetId="1" hidden="1">0.075</definedName>
    <definedName name="solver_msl" localSheetId="7" hidden="1">2</definedName>
    <definedName name="solver_msl" localSheetId="5" hidden="1">2</definedName>
    <definedName name="solver_msl" localSheetId="6" hidden="1">2</definedName>
    <definedName name="solver_msl" localSheetId="8" hidden="1">2</definedName>
    <definedName name="solver_msl" localSheetId="9" hidden="1">2</definedName>
    <definedName name="solver_msl" localSheetId="2" hidden="1">2</definedName>
    <definedName name="solver_msl" localSheetId="3" hidden="1">2</definedName>
    <definedName name="solver_msl" localSheetId="4" hidden="1">2</definedName>
    <definedName name="solver_msl" localSheetId="1" hidden="1">2</definedName>
    <definedName name="solver_neg" localSheetId="7" hidden="1">1</definedName>
    <definedName name="solver_neg" localSheetId="5" hidden="1">1</definedName>
    <definedName name="solver_neg" localSheetId="6" hidden="1">1</definedName>
    <definedName name="solver_neg" localSheetId="8" hidden="1">1</definedName>
    <definedName name="solver_neg" localSheetId="9" hidden="1">1</definedName>
    <definedName name="solver_neg" localSheetId="2" hidden="1">1</definedName>
    <definedName name="solver_neg" localSheetId="3" hidden="1">1</definedName>
    <definedName name="solver_neg" localSheetId="4" hidden="1">1</definedName>
    <definedName name="solver_neg" localSheetId="1" hidden="1">1</definedName>
    <definedName name="solver_nod" localSheetId="7" hidden="1">2147483647</definedName>
    <definedName name="solver_nod" localSheetId="5" hidden="1">2147483647</definedName>
    <definedName name="solver_nod" localSheetId="6" hidden="1">2147483647</definedName>
    <definedName name="solver_nod" localSheetId="8" hidden="1">2147483647</definedName>
    <definedName name="solver_nod" localSheetId="9" hidden="1">2147483647</definedName>
    <definedName name="solver_nod" localSheetId="2" hidden="1">2147483647</definedName>
    <definedName name="solver_nod" localSheetId="3" hidden="1">2147483647</definedName>
    <definedName name="solver_nod" localSheetId="4" hidden="1">2147483647</definedName>
    <definedName name="solver_nod" localSheetId="1" hidden="1">2147483647</definedName>
    <definedName name="solver_num" localSheetId="7" hidden="1">2</definedName>
    <definedName name="solver_num" localSheetId="5" hidden="1">2</definedName>
    <definedName name="solver_num" localSheetId="6" hidden="1">2</definedName>
    <definedName name="solver_num" localSheetId="8" hidden="1">2</definedName>
    <definedName name="solver_num" localSheetId="9" hidden="1">2</definedName>
    <definedName name="solver_num" localSheetId="2" hidden="1">2</definedName>
    <definedName name="solver_num" localSheetId="3" hidden="1">2</definedName>
    <definedName name="solver_num" localSheetId="4" hidden="1">2</definedName>
    <definedName name="solver_num" localSheetId="1" hidden="1">2</definedName>
    <definedName name="solver_nwt" localSheetId="7" hidden="1">1</definedName>
    <definedName name="solver_nwt" localSheetId="5" hidden="1">1</definedName>
    <definedName name="solver_nwt" localSheetId="6" hidden="1">1</definedName>
    <definedName name="solver_nwt" localSheetId="8" hidden="1">1</definedName>
    <definedName name="solver_nwt" localSheetId="9" hidden="1">1</definedName>
    <definedName name="solver_nwt" localSheetId="2" hidden="1">1</definedName>
    <definedName name="solver_nwt" localSheetId="3" hidden="1">1</definedName>
    <definedName name="solver_nwt" localSheetId="4" hidden="1">1</definedName>
    <definedName name="solver_nwt" localSheetId="1" hidden="1">1</definedName>
    <definedName name="solver_opt" localSheetId="7" hidden="1">'BIN Max 3'!$Q$10</definedName>
    <definedName name="solver_opt" localSheetId="5" hidden="1">'BIN MIN'!$W$4</definedName>
    <definedName name="solver_opt" localSheetId="6" hidden="1">'BIN MIN 2'!$U$2</definedName>
    <definedName name="solver_opt" localSheetId="8" hidden="1">'BIN MIN 4'!$T$20</definedName>
    <definedName name="solver_opt" localSheetId="9" hidden="1">'BIN MIN 5'!$J$29</definedName>
    <definedName name="solver_opt" localSheetId="2" hidden="1">'MAX 1'!$P$15</definedName>
    <definedName name="solver_opt" localSheetId="3" hidden="1">'MAX 2'!$N$8</definedName>
    <definedName name="solver_opt" localSheetId="4" hidden="1">'MAX 3'!$L$9</definedName>
    <definedName name="solver_opt" localSheetId="1" hidden="1">MIN!$L$5</definedName>
    <definedName name="solver_pre" localSheetId="7" hidden="1">0.000001</definedName>
    <definedName name="solver_pre" localSheetId="5" hidden="1">0.000001</definedName>
    <definedName name="solver_pre" localSheetId="6" hidden="1">0.000001</definedName>
    <definedName name="solver_pre" localSheetId="8" hidden="1">0.000001</definedName>
    <definedName name="solver_pre" localSheetId="9" hidden="1">0.000001</definedName>
    <definedName name="solver_pre" localSheetId="2" hidden="1">0.000001</definedName>
    <definedName name="solver_pre" localSheetId="3" hidden="1">0.000001</definedName>
    <definedName name="solver_pre" localSheetId="4" hidden="1">0.000001</definedName>
    <definedName name="solver_pre" localSheetId="1" hidden="1">0.000001</definedName>
    <definedName name="solver_rbv" localSheetId="7" hidden="1">2</definedName>
    <definedName name="solver_rbv" localSheetId="5" hidden="1">1</definedName>
    <definedName name="solver_rbv" localSheetId="6" hidden="1">1</definedName>
    <definedName name="solver_rbv" localSheetId="8" hidden="1">1</definedName>
    <definedName name="solver_rbv" localSheetId="9" hidden="1">1</definedName>
    <definedName name="solver_rbv" localSheetId="2" hidden="1">1</definedName>
    <definedName name="solver_rbv" localSheetId="3" hidden="1">1</definedName>
    <definedName name="solver_rbv" localSheetId="4" hidden="1">1</definedName>
    <definedName name="solver_rbv" localSheetId="1" hidden="1">1</definedName>
    <definedName name="solver_rel1" localSheetId="7" hidden="1">1</definedName>
    <definedName name="solver_rel1" localSheetId="5" hidden="1">5</definedName>
    <definedName name="solver_rel1" localSheetId="6" hidden="1">5</definedName>
    <definedName name="solver_rel1" localSheetId="8" hidden="1">3</definedName>
    <definedName name="solver_rel1" localSheetId="9" hidden="1">3</definedName>
    <definedName name="solver_rel1" localSheetId="2" hidden="1">1</definedName>
    <definedName name="solver_rel1" localSheetId="3" hidden="1">1</definedName>
    <definedName name="solver_rel1" localSheetId="4" hidden="1">1</definedName>
    <definedName name="solver_rel1" localSheetId="1" hidden="1">4</definedName>
    <definedName name="solver_rel2" localSheetId="7" hidden="1">5</definedName>
    <definedName name="solver_rel2" localSheetId="5" hidden="1">3</definedName>
    <definedName name="solver_rel2" localSheetId="6" hidden="1">3</definedName>
    <definedName name="solver_rel2" localSheetId="8" hidden="1">5</definedName>
    <definedName name="solver_rel2" localSheetId="9" hidden="1">5</definedName>
    <definedName name="solver_rel2" localSheetId="2" hidden="1">4</definedName>
    <definedName name="solver_rel2" localSheetId="3" hidden="1">4</definedName>
    <definedName name="solver_rel2" localSheetId="4" hidden="1">4</definedName>
    <definedName name="solver_rel2" localSheetId="1" hidden="1">3</definedName>
    <definedName name="solver_rhs1" localSheetId="7" hidden="1">'BIN Max 3'!$Q$13</definedName>
    <definedName name="solver_rhs1" localSheetId="5" hidden="1">binary</definedName>
    <definedName name="solver_rhs1" localSheetId="6" hidden="1">"binary"</definedName>
    <definedName name="solver_rhs1" localSheetId="8" hidden="1">'BIN MIN 4'!$L$22:$Q$22</definedName>
    <definedName name="solver_rhs1" localSheetId="9" hidden="1">'BIN MIN 5'!$J$35:$U$35</definedName>
    <definedName name="solver_rhs1" localSheetId="2" hidden="1">'MAX 1'!$S$10:$S$12</definedName>
    <definedName name="solver_rhs1" localSheetId="3" hidden="1">'MAX 2'!$N$11:$N$12</definedName>
    <definedName name="solver_rhs1" localSheetId="4" hidden="1">'MAX 3'!$N$12:$N$14</definedName>
    <definedName name="solver_rhs1" localSheetId="1" hidden="1">integer</definedName>
    <definedName name="solver_rhs2" localSheetId="7" hidden="1">"binary"</definedName>
    <definedName name="solver_rhs2" localSheetId="5" hidden="1">'BIN MIN'!$Y$9:$Y$15</definedName>
    <definedName name="solver_rhs2" localSheetId="6" hidden="1">'BIN MIN 2'!$S$9:$S$15</definedName>
    <definedName name="solver_rhs2" localSheetId="8" hidden="1">"binary"</definedName>
    <definedName name="solver_rhs2" localSheetId="9" hidden="1">binary</definedName>
    <definedName name="solver_rhs2" localSheetId="2" hidden="1">integer</definedName>
    <definedName name="solver_rhs2" localSheetId="3" hidden="1">integer</definedName>
    <definedName name="solver_rhs2" localSheetId="4" hidden="1">integer</definedName>
    <definedName name="solver_rhs2" localSheetId="1" hidden="1">MIN!$N$8:$N$9</definedName>
    <definedName name="solver_rlx" localSheetId="7" hidden="1">2</definedName>
    <definedName name="solver_rlx" localSheetId="5" hidden="1">2</definedName>
    <definedName name="solver_rlx" localSheetId="6" hidden="1">2</definedName>
    <definedName name="solver_rlx" localSheetId="8" hidden="1">2</definedName>
    <definedName name="solver_rlx" localSheetId="9" hidden="1">2</definedName>
    <definedName name="solver_rlx" localSheetId="2" hidden="1">2</definedName>
    <definedName name="solver_rlx" localSheetId="3" hidden="1">2</definedName>
    <definedName name="solver_rlx" localSheetId="4" hidden="1">2</definedName>
    <definedName name="solver_rlx" localSheetId="1" hidden="1">2</definedName>
    <definedName name="solver_rsd" localSheetId="7" hidden="1">0</definedName>
    <definedName name="solver_rsd" localSheetId="5" hidden="1">0</definedName>
    <definedName name="solver_rsd" localSheetId="6" hidden="1">0</definedName>
    <definedName name="solver_rsd" localSheetId="8" hidden="1">0</definedName>
    <definedName name="solver_rsd" localSheetId="9" hidden="1">0</definedName>
    <definedName name="solver_rsd" localSheetId="2" hidden="1">0</definedName>
    <definedName name="solver_rsd" localSheetId="3" hidden="1">0</definedName>
    <definedName name="solver_rsd" localSheetId="4" hidden="1">0</definedName>
    <definedName name="solver_rsd" localSheetId="1" hidden="1">0</definedName>
    <definedName name="solver_scl" localSheetId="7" hidden="1">2</definedName>
    <definedName name="solver_scl" localSheetId="5" hidden="1">1</definedName>
    <definedName name="solver_scl" localSheetId="6" hidden="1">1</definedName>
    <definedName name="solver_scl" localSheetId="8" hidden="1">1</definedName>
    <definedName name="solver_scl" localSheetId="9" hidden="1">1</definedName>
    <definedName name="solver_scl" localSheetId="2" hidden="1">1</definedName>
    <definedName name="solver_scl" localSheetId="3" hidden="1">1</definedName>
    <definedName name="solver_scl" localSheetId="4" hidden="1">1</definedName>
    <definedName name="solver_scl" localSheetId="1" hidden="1">1</definedName>
    <definedName name="solver_sho" localSheetId="7" hidden="1">2</definedName>
    <definedName name="solver_sho" localSheetId="5" hidden="1">2</definedName>
    <definedName name="solver_sho" localSheetId="6" hidden="1">2</definedName>
    <definedName name="solver_sho" localSheetId="8" hidden="1">2</definedName>
    <definedName name="solver_sho" localSheetId="9" hidden="1">2</definedName>
    <definedName name="solver_sho" localSheetId="2" hidden="1">2</definedName>
    <definedName name="solver_sho" localSheetId="3" hidden="1">2</definedName>
    <definedName name="solver_sho" localSheetId="4" hidden="1">2</definedName>
    <definedName name="solver_sho" localSheetId="1" hidden="1">2</definedName>
    <definedName name="solver_ssz" localSheetId="7" hidden="1">100</definedName>
    <definedName name="solver_ssz" localSheetId="5" hidden="1">100</definedName>
    <definedName name="solver_ssz" localSheetId="6" hidden="1">100</definedName>
    <definedName name="solver_ssz" localSheetId="8" hidden="1">100</definedName>
    <definedName name="solver_ssz" localSheetId="9" hidden="1">100</definedName>
    <definedName name="solver_ssz" localSheetId="2" hidden="1">100</definedName>
    <definedName name="solver_ssz" localSheetId="3" hidden="1">100</definedName>
    <definedName name="solver_ssz" localSheetId="4" hidden="1">100</definedName>
    <definedName name="solver_ssz" localSheetId="1" hidden="1">100</definedName>
    <definedName name="solver_tim" localSheetId="7" hidden="1">2147483647</definedName>
    <definedName name="solver_tim" localSheetId="5" hidden="1">2147483647</definedName>
    <definedName name="solver_tim" localSheetId="6" hidden="1">2147483647</definedName>
    <definedName name="solver_tim" localSheetId="8" hidden="1">2147483647</definedName>
    <definedName name="solver_tim" localSheetId="9" hidden="1">2147483647</definedName>
    <definedName name="solver_tim" localSheetId="2" hidden="1">2147483647</definedName>
    <definedName name="solver_tim" localSheetId="3" hidden="1">2147483647</definedName>
    <definedName name="solver_tim" localSheetId="4" hidden="1">2147483647</definedName>
    <definedName name="solver_tim" localSheetId="1" hidden="1">2147483647</definedName>
    <definedName name="solver_tol" localSheetId="7" hidden="1">0.01</definedName>
    <definedName name="solver_tol" localSheetId="5" hidden="1">0.01</definedName>
    <definedName name="solver_tol" localSheetId="6" hidden="1">0.01</definedName>
    <definedName name="solver_tol" localSheetId="8" hidden="1">0.01</definedName>
    <definedName name="solver_tol" localSheetId="9" hidden="1">0.01</definedName>
    <definedName name="solver_tol" localSheetId="2" hidden="1">0.01</definedName>
    <definedName name="solver_tol" localSheetId="3" hidden="1">0.01</definedName>
    <definedName name="solver_tol" localSheetId="4" hidden="1">0.01</definedName>
    <definedName name="solver_tol" localSheetId="1" hidden="1">0.01</definedName>
    <definedName name="solver_typ" localSheetId="7" hidden="1">1</definedName>
    <definedName name="solver_typ" localSheetId="5" hidden="1">2</definedName>
    <definedName name="solver_typ" localSheetId="6" hidden="1">2</definedName>
    <definedName name="solver_typ" localSheetId="8" hidden="1">1</definedName>
    <definedName name="solver_typ" localSheetId="9" hidden="1">2</definedName>
    <definedName name="solver_typ" localSheetId="2" hidden="1">1</definedName>
    <definedName name="solver_typ" localSheetId="3" hidden="1">1</definedName>
    <definedName name="solver_typ" localSheetId="4" hidden="1">1</definedName>
    <definedName name="solver_typ" localSheetId="1" hidden="1">2</definedName>
    <definedName name="solver_val" localSheetId="7" hidden="1">90</definedName>
    <definedName name="solver_val" localSheetId="5" hidden="1">0</definedName>
    <definedName name="solver_val" localSheetId="6" hidden="1">0</definedName>
    <definedName name="solver_val" localSheetId="8" hidden="1">0</definedName>
    <definedName name="solver_val" localSheetId="9" hidden="1">0</definedName>
    <definedName name="solver_val" localSheetId="2" hidden="1">0</definedName>
    <definedName name="solver_val" localSheetId="3" hidden="1">0</definedName>
    <definedName name="solver_val" localSheetId="4" hidden="1">0</definedName>
    <definedName name="solver_val" localSheetId="1" hidden="1">0</definedName>
    <definedName name="solver_ver" localSheetId="7" hidden="1">3</definedName>
    <definedName name="solver_ver" localSheetId="5" hidden="1">3</definedName>
    <definedName name="solver_ver" localSheetId="6" hidden="1">3</definedName>
    <definedName name="solver_ver" localSheetId="8" hidden="1">3</definedName>
    <definedName name="solver_ver" localSheetId="9" hidden="1">3</definedName>
    <definedName name="solver_ver" localSheetId="2" hidden="1">3</definedName>
    <definedName name="solver_ver" localSheetId="3" hidden="1">3</definedName>
    <definedName name="solver_ver" localSheetId="4" hidden="1">3</definedName>
    <definedName name="solver_ver" localSheetId="1"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4" i="9" l="1"/>
  <c r="T20" i="15"/>
  <c r="L20" i="15"/>
  <c r="U2" i="11"/>
  <c r="Q10" i="10"/>
  <c r="O13" i="10"/>
  <c r="M20" i="15" l="1"/>
  <c r="N20" i="15"/>
  <c r="O20" i="15"/>
  <c r="P20" i="15"/>
  <c r="Q20" i="15"/>
  <c r="T33" i="13"/>
  <c r="U33" i="13"/>
  <c r="K33" i="13"/>
  <c r="L33" i="13"/>
  <c r="M33" i="13"/>
  <c r="N33" i="13"/>
  <c r="O33" i="13"/>
  <c r="P33" i="13"/>
  <c r="Q33" i="13"/>
  <c r="R33" i="13"/>
  <c r="S33" i="13"/>
  <c r="J33" i="13"/>
  <c r="J29" i="13"/>
  <c r="Q15" i="11"/>
  <c r="Q14" i="11"/>
  <c r="Q13" i="11"/>
  <c r="Q12" i="11"/>
  <c r="Q11" i="11"/>
  <c r="Q10" i="11"/>
  <c r="Q9" i="11"/>
  <c r="Q4" i="11"/>
  <c r="W15" i="9"/>
  <c r="W14" i="9"/>
  <c r="W13" i="9"/>
  <c r="W12" i="9"/>
  <c r="W10" i="9"/>
  <c r="W9" i="9"/>
  <c r="W11" i="9"/>
  <c r="L14" i="7" l="1"/>
  <c r="L13" i="7"/>
  <c r="L12" i="7"/>
  <c r="L9" i="7"/>
  <c r="L12" i="6"/>
  <c r="L11" i="6"/>
  <c r="N8" i="6"/>
  <c r="P15" i="2" l="1"/>
  <c r="Q12" i="2"/>
  <c r="Q11" i="2"/>
  <c r="Q10" i="2"/>
  <c r="L9" i="5"/>
  <c r="L8" i="5"/>
  <c r="L5" i="5"/>
  <c r="J12" i="4"/>
  <c r="J10" i="4"/>
</calcChain>
</file>

<file path=xl/sharedStrings.xml><?xml version="1.0" encoding="utf-8"?>
<sst xmlns="http://schemas.openxmlformats.org/spreadsheetml/2006/main" count="511" uniqueCount="272">
  <si>
    <t>GRM</t>
  </si>
  <si>
    <t>MEAT</t>
  </si>
  <si>
    <t>BONE</t>
  </si>
  <si>
    <t>PRICE</t>
  </si>
  <si>
    <t>C1</t>
  </si>
  <si>
    <t>C2</t>
  </si>
  <si>
    <t>C3</t>
  </si>
  <si>
    <t>REQ</t>
  </si>
  <si>
    <t>KG</t>
  </si>
  <si>
    <t>QTY</t>
  </si>
  <si>
    <t>OBJECTIVE FUNCTION</t>
  </si>
  <si>
    <t>CONSTRAINTS</t>
  </si>
  <si>
    <t>&gt;=</t>
  </si>
  <si>
    <t>Statistics</t>
  </si>
  <si>
    <t>Machine Learning</t>
  </si>
  <si>
    <t>Web Development</t>
  </si>
  <si>
    <t>DBMS</t>
  </si>
  <si>
    <t>Cloud</t>
  </si>
  <si>
    <t>App Development</t>
  </si>
  <si>
    <t>Required</t>
  </si>
  <si>
    <t>here 1 means knows the technology</t>
  </si>
  <si>
    <t>oranges</t>
  </si>
  <si>
    <t>dragon fruit</t>
  </si>
  <si>
    <t>kiwi</t>
  </si>
  <si>
    <t>Apple</t>
  </si>
  <si>
    <t>qty</t>
  </si>
  <si>
    <t>price</t>
  </si>
  <si>
    <t>MINIMIZE PRICE</t>
  </si>
  <si>
    <t>TOTAL QTY OF MEAT</t>
  </si>
  <si>
    <t>MODEL</t>
  </si>
  <si>
    <t>REQUIRED</t>
  </si>
  <si>
    <t>TOTAL QTY OF BONE</t>
  </si>
  <si>
    <t>BEST SOL</t>
  </si>
  <si>
    <t>WORST SOL</t>
  </si>
  <si>
    <t>ROUNDED OFF</t>
  </si>
  <si>
    <t>INTEGER</t>
  </si>
  <si>
    <t>Integer_Sol</t>
  </si>
  <si>
    <t>Normal_Sol</t>
  </si>
  <si>
    <t>cheese</t>
  </si>
  <si>
    <t>veggies</t>
  </si>
  <si>
    <t>meat</t>
  </si>
  <si>
    <t>veg</t>
  </si>
  <si>
    <t>non_veg</t>
  </si>
  <si>
    <t>TOTAL CHEESE UTILIZATION</t>
  </si>
  <si>
    <t>AVAILABLE</t>
  </si>
  <si>
    <t>&lt;=</t>
  </si>
  <si>
    <t>TOTAL VEGITABLE UTILIZATION</t>
  </si>
  <si>
    <t>TOTAL MEAT UTILIZATION</t>
  </si>
  <si>
    <t>PROFIT</t>
  </si>
  <si>
    <t>OBJECTIVE PROFIT</t>
  </si>
  <si>
    <t>MAXIMIZE PROFIT</t>
  </si>
  <si>
    <t>MATHEMATICAL EQUATIONS</t>
  </si>
  <si>
    <t>X</t>
  </si>
  <si>
    <t>= number of veg pizzas</t>
  </si>
  <si>
    <t>Y</t>
  </si>
  <si>
    <t>= number of non-veg pizzas</t>
  </si>
  <si>
    <t xml:space="preserve">Objective Function </t>
  </si>
  <si>
    <t>Maximize</t>
  </si>
  <si>
    <t>Z = 120*X+ 180*Y</t>
  </si>
  <si>
    <t>Constraints</t>
  </si>
  <si>
    <t xml:space="preserve">Cheese: </t>
  </si>
  <si>
    <t>100X +120Y &lt;= 12000</t>
  </si>
  <si>
    <t>Veggies</t>
  </si>
  <si>
    <t>150X + 80Y &lt;= 9000</t>
  </si>
  <si>
    <t>Meat</t>
  </si>
  <si>
    <t>100Y &lt;= 4000</t>
  </si>
  <si>
    <t>Non Negative Constraints</t>
  </si>
  <si>
    <t xml:space="preserve">Y &gt;= 0 </t>
  </si>
  <si>
    <t>X &gt;= 0</t>
  </si>
  <si>
    <t>3X + 2Y &lt;= 60</t>
  </si>
  <si>
    <t>2X + 4Y &lt;= 80</t>
  </si>
  <si>
    <t>Y &gt;= 0</t>
  </si>
  <si>
    <t>TOPICS TO COVER</t>
  </si>
  <si>
    <t>SOLVING LPP PROBLEM IN EXCEL - MINIMIZATION</t>
  </si>
  <si>
    <t>MATHEMATICAL REPRESENTATION OF LPP PROBLEM</t>
  </si>
  <si>
    <t>SENSITIVITY ANALYSIS</t>
  </si>
  <si>
    <t>TRANSPORTATION PROBLEMS</t>
  </si>
  <si>
    <t>ASSIGNMENT PROBLEMS</t>
  </si>
  <si>
    <t>INTEGER PROBLEMS</t>
  </si>
  <si>
    <t>DECISION THEORY</t>
  </si>
  <si>
    <t>NETWORK MODELS</t>
  </si>
  <si>
    <t>PERT / CPM</t>
  </si>
  <si>
    <t>SIMULATION</t>
  </si>
  <si>
    <t>GAME THEORY</t>
  </si>
  <si>
    <t>BINARY PROBLEMS</t>
  </si>
  <si>
    <t>MULTICRITERIA DECISION MAKING</t>
  </si>
  <si>
    <t>RISK OPTIMIZATION</t>
  </si>
  <si>
    <t>GOAL PROGRAMMING</t>
  </si>
  <si>
    <t xml:space="preserve">LEXICOGRAPHIC OPTIMIZATION </t>
  </si>
  <si>
    <t>QUEUEING THEORY</t>
  </si>
  <si>
    <t>MARKOV ANALYSIS</t>
  </si>
  <si>
    <t>DYNAMIC PROGRAMMING</t>
  </si>
  <si>
    <t>SUPPLY CHAIN NETWORK DESIGN</t>
  </si>
  <si>
    <t>INVENTORY MANAGEMENT PROBEMS</t>
  </si>
  <si>
    <t>NONLINEAR PROGRAMMING</t>
  </si>
  <si>
    <t>SIMULATED ANNEALING</t>
  </si>
  <si>
    <t>MIXED INTEGER PROBLEMS</t>
  </si>
  <si>
    <t xml:space="preserve">OBJECTIVE FUNCTION </t>
  </si>
  <si>
    <t>INTEGER CONSTRAINT</t>
  </si>
  <si>
    <t>SOCIAL MEDIA</t>
  </si>
  <si>
    <t>GOOGLE AD</t>
  </si>
  <si>
    <t>CREATIVE</t>
  </si>
  <si>
    <t>AD MGMT</t>
  </si>
  <si>
    <t>MAXIMIZE</t>
  </si>
  <si>
    <t>CREATIVE HOURS</t>
  </si>
  <si>
    <t>AD HOURS</t>
  </si>
  <si>
    <t>NUMBER OF SOCIAL MEDIA CAMPAIGNS = X</t>
  </si>
  <si>
    <t>NUMBER OF GOOGLE AD CAMPAIGNS = Y</t>
  </si>
  <si>
    <t>MAXIMIZE PROFIT: Z = 4000X + 5000Y</t>
  </si>
  <si>
    <t xml:space="preserve">CREATIVE HOURS: </t>
  </si>
  <si>
    <t>AD MGMT HOURS:</t>
  </si>
  <si>
    <t>NON NEGATIVITY CONSTRAINTS</t>
  </si>
  <si>
    <t>X, Y ARE INTEGERS</t>
  </si>
  <si>
    <t>SOUR</t>
  </si>
  <si>
    <t>HIGHBALL</t>
  </si>
  <si>
    <t>OLDFASHIONED</t>
  </si>
  <si>
    <t>WHISKEY</t>
  </si>
  <si>
    <t>MIXER</t>
  </si>
  <si>
    <t>TIME</t>
  </si>
  <si>
    <t xml:space="preserve">MATHEMATICAL FORMULATION </t>
  </si>
  <si>
    <t>DECISION VARIABLES</t>
  </si>
  <si>
    <t>NUMBER OF SOUR = X</t>
  </si>
  <si>
    <t>NUMBER OF HIGHBALL = Y</t>
  </si>
  <si>
    <t>NUMBER OF OLDFASHIONED = Z</t>
  </si>
  <si>
    <t>MAXIMIZE PROFIT: Z = 420X + 300Y + 480Z</t>
  </si>
  <si>
    <t xml:space="preserve">TIME </t>
  </si>
  <si>
    <t>60X +60Y + 60Z &lt;= 6000</t>
  </si>
  <si>
    <t>48X+ 150Y + 10Z &lt;= 12000</t>
  </si>
  <si>
    <t>3X + 2Y + 4Z &lt;= 300</t>
  </si>
  <si>
    <t>NON NEGATIVE CONSTRAINT</t>
  </si>
  <si>
    <t>X  &gt;= 0</t>
  </si>
  <si>
    <t>Z &gt;= 0</t>
  </si>
  <si>
    <t>X,Y,Z ARE INTEGERS</t>
  </si>
  <si>
    <t>Integer Constraints</t>
  </si>
  <si>
    <t>X,Y are integers</t>
  </si>
  <si>
    <t>Decision Variables</t>
  </si>
  <si>
    <t>DONE</t>
  </si>
  <si>
    <t>SOLVING LPP PROBLEM IN EXCEL - MAXIMIZATION</t>
  </si>
  <si>
    <t>Name</t>
  </si>
  <si>
    <t>A</t>
  </si>
  <si>
    <t>B</t>
  </si>
  <si>
    <t>C</t>
  </si>
  <si>
    <t>D</t>
  </si>
  <si>
    <t>E</t>
  </si>
  <si>
    <t>F</t>
  </si>
  <si>
    <t>G</t>
  </si>
  <si>
    <t>H</t>
  </si>
  <si>
    <t>I</t>
  </si>
  <si>
    <t>J</t>
  </si>
  <si>
    <t>K</t>
  </si>
  <si>
    <t>L</t>
  </si>
  <si>
    <t>Xi is binary</t>
  </si>
  <si>
    <t>Xi = 0 if candidate is not selected</t>
  </si>
  <si>
    <t>Xi = 1 if candidate is selected</t>
  </si>
  <si>
    <t xml:space="preserve">Minimize </t>
  </si>
  <si>
    <t>ΣXi</t>
  </si>
  <si>
    <t>Select</t>
  </si>
  <si>
    <t>Constriants</t>
  </si>
  <si>
    <t>ΣXi*Statistics &gt;= 2</t>
  </si>
  <si>
    <t>ΣXi*ML &gt;= 3</t>
  </si>
  <si>
    <t>ΣXi*WD &gt;= 4</t>
  </si>
  <si>
    <t>ΣXi*DBMS &gt;= 3</t>
  </si>
  <si>
    <t>ΣXi*Cloud &gt;= 2</t>
  </si>
  <si>
    <t>ΣXi*App Development &gt;= 3</t>
  </si>
  <si>
    <t>for</t>
  </si>
  <si>
    <t>i∈{A,B,C,D,E,F,G,H,I,J,K,L}</t>
  </si>
  <si>
    <t>SELECT</t>
  </si>
  <si>
    <t>MINIMIZE</t>
  </si>
  <si>
    <t>S/T Constraints</t>
  </si>
  <si>
    <t>Model</t>
  </si>
  <si>
    <t>ML</t>
  </si>
  <si>
    <t>WD</t>
  </si>
  <si>
    <t>CLOUD</t>
  </si>
  <si>
    <t>APP DEV</t>
  </si>
  <si>
    <t>AI</t>
  </si>
  <si>
    <t>M</t>
  </si>
  <si>
    <t>Σxi*AI &gt;= 1</t>
  </si>
  <si>
    <t>Xi​∈{0,1}∀i</t>
  </si>
  <si>
    <t>Binary Constraint</t>
  </si>
  <si>
    <t>Objective Function</t>
  </si>
  <si>
    <t>Artificial Intelligence (AI)</t>
  </si>
  <si>
    <t>Each candidate may contribute to multiple skill requirements.</t>
  </si>
  <si>
    <t>Task</t>
  </si>
  <si>
    <t>An organization is forming a project team from a pool of 13 candidates (A to M).</t>
  </si>
  <si>
    <t>Each candidate has been evaluated for competency in seven technical skill areas:</t>
  </si>
  <si>
    <t>A value of 1 indicates that the candidate possesses the skill, and 0 indicates that they do not.</t>
  </si>
  <si>
    <t>The project has minimum skill requirements as follows:</t>
  </si>
  <si>
    <t>At least 2 members with Statistics skills</t>
  </si>
  <si>
    <t>At least 3 members with Machine Learning skills</t>
  </si>
  <si>
    <t>At least 4 members with Web Development skills</t>
  </si>
  <si>
    <t>At least 3 members with DBMS skills</t>
  </si>
  <si>
    <t>At least 2 members with Cloud skills</t>
  </si>
  <si>
    <t>At least 2 members with App Development skills</t>
  </si>
  <si>
    <t>At least 1 member with AI skills</t>
  </si>
  <si>
    <t>Candidate M is the only candidate who has AI skills, while other candidates contribute to various combinations of the remaining skills.</t>
  </si>
  <si>
    <t>Select a subset of candidates from A to M such that all the required skill thresholds are met.</t>
  </si>
  <si>
    <t>Ensure that the selection is as small as possible while still satisfying all skill requirements.</t>
  </si>
  <si>
    <t>Justify your selection by clearly explaining how each required skill count is achieved using the chosen candidates.</t>
  </si>
  <si>
    <t>Personalized Offers</t>
  </si>
  <si>
    <t>Faster Onboarding</t>
  </si>
  <si>
    <t>Loyalty Rewards</t>
  </si>
  <si>
    <t>Practive Churn Alerts</t>
  </si>
  <si>
    <t>Hours</t>
  </si>
  <si>
    <t>Prob</t>
  </si>
  <si>
    <t>INSTALL</t>
  </si>
  <si>
    <t>S/ T Constraints</t>
  </si>
  <si>
    <t>REQJUIRED</t>
  </si>
  <si>
    <t xml:space="preserve">Variants: </t>
  </si>
  <si>
    <t>Each location should be served by atleast 2 wifi spots</t>
  </si>
  <si>
    <t>Each location should be served by atleast 3 wifi spots</t>
  </si>
  <si>
    <t>Location L is a jail, min number of wifi spots without serving L</t>
  </si>
  <si>
    <t>COVERAGE PROBLEM</t>
  </si>
  <si>
    <t>A logistics company wants to decide where to open regional distribution hubs to improve last-mile delivery reliability. There are four potential cities where a hub can be opened, and several customer zones that must be served. A hub either operates fully or does not open at all. Each city, if selected, can serve certain customer zones with a known probability of on-time delivery. The company wants to ensure every customer zone is served by at least one open hub, while minimizing the number of hubs opened. The decision variables are binary (open or not open), and the problem is to find the minimum set of hub locations that achieves full coverage.give dataset for this</t>
  </si>
  <si>
    <t>Zone \ Hub</t>
  </si>
  <si>
    <t>H1</t>
  </si>
  <si>
    <t>H2</t>
  </si>
  <si>
    <t>H3</t>
  </si>
  <si>
    <t>H4</t>
  </si>
  <si>
    <t>Z1</t>
  </si>
  <si>
    <t>Z2</t>
  </si>
  <si>
    <t>Z3</t>
  </si>
  <si>
    <t>Z4</t>
  </si>
  <si>
    <t>Z5</t>
  </si>
  <si>
    <t>Z6</t>
  </si>
  <si>
    <t>OPEN</t>
  </si>
  <si>
    <t>ASSIGNMENT</t>
  </si>
  <si>
    <t>FACILITIES LOCATION PROBLEMS</t>
  </si>
  <si>
    <t>SET COVERAGE PROBLEMS</t>
  </si>
  <si>
    <t>GRAPH THEORY: SET PACKING PROBLEM</t>
  </si>
  <si>
    <t>Σxi*Si</t>
  </si>
  <si>
    <t>Salary (S)</t>
  </si>
  <si>
    <t>Select (X)</t>
  </si>
  <si>
    <t>JOB SCHEDULING PROBLEMS</t>
  </si>
  <si>
    <t xml:space="preserve">FACILITY LOCATION </t>
  </si>
  <si>
    <t>KNAP SACK PROBLEM: SELECTION UNDER CAPACITY CONSTRAINTS</t>
  </si>
  <si>
    <t>total cost</t>
  </si>
  <si>
    <t>objective function</t>
  </si>
  <si>
    <t>max</t>
  </si>
  <si>
    <t>constrains</t>
  </si>
  <si>
    <t>Minimize  total cost</t>
  </si>
  <si>
    <t>xi</t>
  </si>
  <si>
    <t>Xi = 0 if features is not selected</t>
  </si>
  <si>
    <t>Xi = 1 if features is selected</t>
  </si>
  <si>
    <t>pi</t>
  </si>
  <si>
    <t>Σxi*pi</t>
  </si>
  <si>
    <t>i∈{Personalized Offers,Faster Onboarding,Loyalty Rewards,Practive Churn Alerts}</t>
  </si>
  <si>
    <t>ΣXi*hours &lt;= 90</t>
  </si>
  <si>
    <t>Maximise prob</t>
  </si>
  <si>
    <t>total no.of hubs to open</t>
  </si>
  <si>
    <t>Xi = 0 if hub  is not selected</t>
  </si>
  <si>
    <t>Xi = 1 if hub is selected</t>
  </si>
  <si>
    <t>i∈{z1,z2,z3,z4,z5,z6}</t>
  </si>
  <si>
    <t>ΣXi*z6 &gt;= 1</t>
  </si>
  <si>
    <t>ΣXi*z5 &gt;= 1</t>
  </si>
  <si>
    <t>ΣXi*z4 &gt;= 1</t>
  </si>
  <si>
    <t>ΣXi*z3 &gt;= 1</t>
  </si>
  <si>
    <t>ΣXi*z2 &gt;= 1</t>
  </si>
  <si>
    <t>ΣXi*z1 &gt;= 1</t>
  </si>
  <si>
    <t>Σxi</t>
  </si>
  <si>
    <t>total</t>
  </si>
  <si>
    <t>ΣXi*A &lt;= 2</t>
  </si>
  <si>
    <t>ΣXi*b &lt;= 2</t>
  </si>
  <si>
    <t>ΣXi*c &lt;= 2</t>
  </si>
  <si>
    <t>ΣXi*d &lt;= 2</t>
  </si>
  <si>
    <t>ΣXi*e &lt;= 2</t>
  </si>
  <si>
    <t>ΣXi*f &lt;= 2</t>
  </si>
  <si>
    <t>ΣXi*g &lt;= 2</t>
  </si>
  <si>
    <t>ΣXi*h &lt;= 2</t>
  </si>
  <si>
    <t>ΣXi*i &lt;= 2</t>
  </si>
  <si>
    <t>ΣXi*j &lt;= 2</t>
  </si>
  <si>
    <t>ΣXi*k &lt;= 2</t>
  </si>
  <si>
    <t>ΣXi*l &lt;=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</si>
</sst>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1"/>
      <color theme="1"/>
      <name val="Calibri"/>
      <family val="2"/>
    </font>
    <font>
      <b/>
      <sz val="13.5"/>
      <color theme="1"/>
      <name val="Calibri"/>
      <family val="2"/>
      <scheme val="minor"/>
    </font>
    <font>
      <b/>
      <i/>
      <sz val="11"/>
      <color theme="1"/>
      <name val="Calibri"/>
      <family val="2"/>
      <scheme val="minor"/>
    </font>
    <font>
      <sz val="12"/>
      <color theme="1"/>
      <name val="Calibri"/>
      <family val="2"/>
      <scheme val="minor"/>
    </font>
    <font>
      <sz val="14"/>
      <color theme="1"/>
      <name val="Calibri"/>
      <family val="2"/>
      <scheme val="minor"/>
    </font>
    <font>
      <b/>
      <sz val="18"/>
      <color theme="1"/>
      <name val="Calibri"/>
      <family val="2"/>
      <scheme val="minor"/>
    </font>
    <font>
      <sz val="11"/>
      <color rgb="FFFF0000"/>
      <name val="Calibri"/>
      <family val="2"/>
      <scheme val="minor"/>
    </font>
    <font>
      <b/>
      <sz val="11"/>
      <color rgb="FFFF0000"/>
      <name val="Calibri"/>
      <family val="2"/>
      <scheme val="minor"/>
    </font>
    <font>
      <sz val="8"/>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5"/>
        <bgColor indexed="64"/>
      </patternFill>
    </fill>
    <fill>
      <patternFill patternType="solid">
        <fgColor rgb="FF92D050"/>
        <bgColor indexed="64"/>
      </patternFill>
    </fill>
  </fills>
  <borders count="5">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3">
    <xf numFmtId="0" fontId="0" fillId="0" borderId="0" xfId="0"/>
    <xf numFmtId="0" fontId="1" fillId="0" borderId="0" xfId="0" applyFont="1"/>
    <xf numFmtId="0" fontId="0" fillId="0" borderId="0" xfId="0" quotePrefix="1"/>
    <xf numFmtId="0" fontId="2" fillId="0" borderId="0" xfId="0" applyFont="1"/>
    <xf numFmtId="0" fontId="3" fillId="0" borderId="0" xfId="0" applyFont="1" applyAlignment="1">
      <alignment vertical="center"/>
    </xf>
    <xf numFmtId="0" fontId="0" fillId="2" borderId="0" xfId="0" applyFill="1"/>
    <xf numFmtId="0" fontId="0" fillId="3" borderId="0" xfId="0" applyFill="1"/>
    <xf numFmtId="0" fontId="0" fillId="4" borderId="0" xfId="0" applyFill="1"/>
    <xf numFmtId="0" fontId="0" fillId="0" borderId="0" xfId="0" applyAlignment="1">
      <alignment horizontal="left" indent="2"/>
    </xf>
    <xf numFmtId="0" fontId="4" fillId="0" borderId="0" xfId="0" applyFont="1" applyAlignment="1">
      <alignment horizontal="left" indent="2"/>
    </xf>
    <xf numFmtId="0" fontId="1" fillId="0" borderId="0" xfId="0" applyFont="1" applyAlignment="1">
      <alignment horizontal="center" vertical="center" wrapText="1"/>
    </xf>
    <xf numFmtId="0" fontId="0" fillId="0" borderId="0" xfId="0" applyAlignment="1">
      <alignment vertical="center" wrapText="1"/>
    </xf>
    <xf numFmtId="0" fontId="7"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9" fillId="0" borderId="0" xfId="0" applyFont="1" applyAlignment="1">
      <alignment horizontal="left" vertical="center" indent="1"/>
    </xf>
    <xf numFmtId="0" fontId="8" fillId="0" borderId="0" xfId="0" applyFont="1" applyAlignment="1">
      <alignment horizontal="left" vertical="center" indent="1"/>
    </xf>
    <xf numFmtId="0" fontId="1" fillId="0" borderId="0" xfId="0" applyFont="1" applyAlignment="1">
      <alignment horizontal="center"/>
    </xf>
    <xf numFmtId="0" fontId="5" fillId="0" borderId="0" xfId="0" applyFont="1" applyAlignment="1">
      <alignment horizontal="left" vertical="top" wrapText="1"/>
    </xf>
    <xf numFmtId="0" fontId="6" fillId="5" borderId="1"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457200</xdr:colOff>
      <xdr:row>1</xdr:row>
      <xdr:rowOff>114300</xdr:rowOff>
    </xdr:from>
    <xdr:to>
      <xdr:col>7</xdr:col>
      <xdr:colOff>236220</xdr:colOff>
      <xdr:row>26</xdr:row>
      <xdr:rowOff>144780</xdr:rowOff>
    </xdr:to>
    <xdr:sp macro="" textlink="">
      <xdr:nvSpPr>
        <xdr:cNvPr id="3" name="TextBox 2">
          <a:extLst>
            <a:ext uri="{FF2B5EF4-FFF2-40B4-BE49-F238E27FC236}">
              <a16:creationId xmlns:a16="http://schemas.microsoft.com/office/drawing/2014/main" id="{EA51A62A-9676-4DF6-9496-F92B37E7B32A}"/>
            </a:ext>
          </a:extLst>
        </xdr:cNvPr>
        <xdr:cNvSpPr txBox="1"/>
      </xdr:nvSpPr>
      <xdr:spPr>
        <a:xfrm>
          <a:off x="457200" y="297180"/>
          <a:ext cx="4046220" cy="4602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A pizza outlet produces </a:t>
          </a:r>
          <a:r>
            <a:rPr lang="en-US" sz="1600" b="1"/>
            <a:t>Veg Pizzas</a:t>
          </a:r>
          <a:r>
            <a:rPr lang="en-US" sz="1600"/>
            <a:t> and </a:t>
          </a:r>
          <a:r>
            <a:rPr lang="en-US" sz="1600" b="1"/>
            <a:t>Non-Veg Pizzas</a:t>
          </a:r>
          <a:r>
            <a:rPr lang="en-US" sz="1600"/>
            <a:t>. Both types require </a:t>
          </a:r>
          <a:r>
            <a:rPr lang="en-US" sz="1600" b="1"/>
            <a:t>cheese</a:t>
          </a:r>
          <a:r>
            <a:rPr lang="en-US" sz="1600"/>
            <a:t>, </a:t>
          </a:r>
          <a:r>
            <a:rPr lang="en-US" sz="1600" b="1"/>
            <a:t>vegetables</a:t>
          </a:r>
          <a:r>
            <a:rPr lang="en-US" sz="1600"/>
            <a:t>, and </a:t>
          </a:r>
          <a:r>
            <a:rPr lang="en-US" sz="1600" b="1"/>
            <a:t>meat</a:t>
          </a:r>
          <a:r>
            <a:rPr lang="en-US" sz="1600"/>
            <a:t> as ingredients. The availability of ingredients is limited.</a:t>
          </a:r>
        </a:p>
        <a:p>
          <a:r>
            <a:rPr lang="en-US" sz="1600"/>
            <a:t>Each </a:t>
          </a:r>
          <a:r>
            <a:rPr lang="en-US" sz="1600" b="1"/>
            <a:t>Veg Pizza</a:t>
          </a:r>
          <a:r>
            <a:rPr lang="en-US" sz="1600"/>
            <a:t> requires </a:t>
          </a:r>
          <a:r>
            <a:rPr lang="en-US" sz="1600" b="1"/>
            <a:t>100 g of cheese</a:t>
          </a:r>
          <a:r>
            <a:rPr lang="en-US" sz="1600"/>
            <a:t> and </a:t>
          </a:r>
          <a:r>
            <a:rPr lang="en-US" sz="1600" b="1"/>
            <a:t>150 g of vegetables</a:t>
          </a:r>
          <a:r>
            <a:rPr lang="en-US" sz="1600"/>
            <a:t>.</a:t>
          </a:r>
        </a:p>
        <a:p>
          <a:r>
            <a:rPr lang="en-US" sz="1600"/>
            <a:t>Each </a:t>
          </a:r>
          <a:r>
            <a:rPr lang="en-US" sz="1600" b="1"/>
            <a:t>Non-Veg Pizza</a:t>
          </a:r>
          <a:r>
            <a:rPr lang="en-US" sz="1600"/>
            <a:t> requires </a:t>
          </a:r>
          <a:r>
            <a:rPr lang="en-US" sz="1600" b="1"/>
            <a:t>120 g of cheese</a:t>
          </a:r>
          <a:r>
            <a:rPr lang="en-US" sz="1600"/>
            <a:t>, </a:t>
          </a:r>
          <a:r>
            <a:rPr lang="en-US" sz="1600" b="1"/>
            <a:t>80 g of vegetables</a:t>
          </a:r>
          <a:r>
            <a:rPr lang="en-US" sz="1600"/>
            <a:t>, and </a:t>
          </a:r>
          <a:r>
            <a:rPr lang="en-US" sz="1600" b="1"/>
            <a:t>100 g of meat</a:t>
          </a:r>
          <a:r>
            <a:rPr lang="en-US" sz="1600"/>
            <a:t>.</a:t>
          </a:r>
        </a:p>
        <a:p>
          <a:r>
            <a:rPr lang="en-US" sz="1600"/>
            <a:t>The outlet has </a:t>
          </a:r>
          <a:r>
            <a:rPr lang="en-US" sz="1600" b="1"/>
            <a:t>12 kg of cheese</a:t>
          </a:r>
          <a:r>
            <a:rPr lang="en-US" sz="1600"/>
            <a:t>, </a:t>
          </a:r>
          <a:r>
            <a:rPr lang="en-US" sz="1600" b="1"/>
            <a:t>9 kg of vegetables</a:t>
          </a:r>
          <a:r>
            <a:rPr lang="en-US" sz="1600"/>
            <a:t>, and </a:t>
          </a:r>
          <a:r>
            <a:rPr lang="en-US" sz="1600" b="1"/>
            <a:t>4 kg of meat</a:t>
          </a:r>
          <a:r>
            <a:rPr lang="en-US" sz="1600"/>
            <a:t> available per day.</a:t>
          </a:r>
        </a:p>
        <a:p>
          <a:r>
            <a:rPr lang="en-US" sz="1600"/>
            <a:t>The profit earned is:</a:t>
          </a:r>
        </a:p>
        <a:p>
          <a:r>
            <a:rPr lang="en-US" sz="1600" b="1"/>
            <a:t>₹120 per Veg Pizza</a:t>
          </a:r>
          <a:endParaRPr lang="en-US" sz="1600"/>
        </a:p>
        <a:p>
          <a:r>
            <a:rPr lang="en-US" sz="1600" b="1"/>
            <a:t>₹180 per Non-Veg Pizza</a:t>
          </a:r>
          <a:endParaRPr lang="en-US" sz="1600"/>
        </a:p>
        <a:p>
          <a:r>
            <a:rPr lang="en-US" sz="1600"/>
            <a:t>Assuming that all pizzas produced are sold, formulate a </a:t>
          </a:r>
          <a:r>
            <a:rPr lang="en-US" sz="1600" b="1"/>
            <a:t>Linear Programming model</a:t>
          </a:r>
          <a:r>
            <a:rPr lang="en-US" sz="1600"/>
            <a:t> to determine how many veg and non-veg pizzas should be produced daily to </a:t>
          </a:r>
          <a:r>
            <a:rPr lang="en-US" sz="1600" b="1"/>
            <a:t>maximize profit</a:t>
          </a:r>
          <a:r>
            <a:rPr lang="en-US" sz="1600"/>
            <a:t>.</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510540</xdr:colOff>
      <xdr:row>0</xdr:row>
      <xdr:rowOff>167640</xdr:rowOff>
    </xdr:from>
    <xdr:to>
      <xdr:col>7</xdr:col>
      <xdr:colOff>411480</xdr:colOff>
      <xdr:row>27</xdr:row>
      <xdr:rowOff>167640</xdr:rowOff>
    </xdr:to>
    <xdr:sp macro="" textlink="">
      <xdr:nvSpPr>
        <xdr:cNvPr id="3" name="TextBox 2">
          <a:extLst>
            <a:ext uri="{FF2B5EF4-FFF2-40B4-BE49-F238E27FC236}">
              <a16:creationId xmlns:a16="http://schemas.microsoft.com/office/drawing/2014/main" id="{22C5D8B3-3CC9-49C7-99C9-08B3E7F62622}"/>
            </a:ext>
          </a:extLst>
        </xdr:cNvPr>
        <xdr:cNvSpPr txBox="1"/>
      </xdr:nvSpPr>
      <xdr:spPr>
        <a:xfrm>
          <a:off x="4168140" y="167640"/>
          <a:ext cx="4168140" cy="4937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A digital marketing agency offers </a:t>
          </a:r>
          <a:r>
            <a:rPr lang="en-US" sz="1600" b="1"/>
            <a:t>Social Media Campaigns</a:t>
          </a:r>
          <a:r>
            <a:rPr lang="en-US" sz="1600"/>
            <a:t> and </a:t>
          </a:r>
          <a:r>
            <a:rPr lang="en-US" sz="1600" b="1"/>
            <a:t>Google Ad Campaigns</a:t>
          </a:r>
          <a:r>
            <a:rPr lang="en-US" sz="1600"/>
            <a:t> to its clients.</a:t>
          </a:r>
          <a:br>
            <a:rPr lang="en-US" sz="1600"/>
          </a:br>
          <a:r>
            <a:rPr lang="en-US" sz="1600"/>
            <a:t>Both services require </a:t>
          </a:r>
          <a:r>
            <a:rPr lang="en-US" sz="1600" b="1"/>
            <a:t>creative hours</a:t>
          </a:r>
          <a:r>
            <a:rPr lang="en-US" sz="1600"/>
            <a:t> and </a:t>
          </a:r>
          <a:r>
            <a:rPr lang="en-US" sz="1600" b="1"/>
            <a:t>ad management hours</a:t>
          </a:r>
          <a:r>
            <a:rPr lang="en-US" sz="1600"/>
            <a:t>. The agency has limited resources per week.</a:t>
          </a:r>
        </a:p>
        <a:p>
          <a:r>
            <a:rPr lang="en-US" sz="1600"/>
            <a:t>Each </a:t>
          </a:r>
          <a:r>
            <a:rPr lang="en-US" sz="1600" b="1"/>
            <a:t>Social Media Campaign</a:t>
          </a:r>
          <a:r>
            <a:rPr lang="en-US" sz="1600"/>
            <a:t> requires</a:t>
          </a:r>
        </a:p>
        <a:p>
          <a:pPr lvl="1"/>
          <a:r>
            <a:rPr lang="en-US" sz="1600"/>
            <a:t>3 hours of creative work</a:t>
          </a:r>
        </a:p>
        <a:p>
          <a:pPr lvl="1"/>
          <a:r>
            <a:rPr lang="en-US" sz="1600"/>
            <a:t>2 hours of ad management</a:t>
          </a:r>
        </a:p>
        <a:p>
          <a:pPr lvl="1"/>
          <a:r>
            <a:rPr lang="en-US" sz="1600"/>
            <a:t>Profit of ₹4,000 per campaign</a:t>
          </a:r>
        </a:p>
        <a:p>
          <a:r>
            <a:rPr lang="en-US" sz="1600"/>
            <a:t>Each </a:t>
          </a:r>
          <a:r>
            <a:rPr lang="en-US" sz="1600" b="1"/>
            <a:t>Google Ad Campaign</a:t>
          </a:r>
          <a:r>
            <a:rPr lang="en-US" sz="1600"/>
            <a:t> requires</a:t>
          </a:r>
        </a:p>
        <a:p>
          <a:pPr lvl="1"/>
          <a:r>
            <a:rPr lang="en-US" sz="1600"/>
            <a:t>2 hours of creative work</a:t>
          </a:r>
        </a:p>
        <a:p>
          <a:pPr lvl="1"/>
          <a:r>
            <a:rPr lang="en-US" sz="1600"/>
            <a:t>4 hours of ad management</a:t>
          </a:r>
        </a:p>
        <a:p>
          <a:pPr lvl="1"/>
          <a:r>
            <a:rPr lang="en-US" sz="1600"/>
            <a:t>Profit of ₹5,000 per campaign</a:t>
          </a:r>
        </a:p>
        <a:p>
          <a:r>
            <a:rPr lang="en-US" sz="1600"/>
            <a:t>The agency has </a:t>
          </a:r>
          <a:r>
            <a:rPr lang="en-US" sz="1600" b="1"/>
            <a:t>60 creative hours</a:t>
          </a:r>
          <a:r>
            <a:rPr lang="en-US" sz="1600"/>
            <a:t> and </a:t>
          </a:r>
          <a:r>
            <a:rPr lang="en-US" sz="1600" b="1"/>
            <a:t>80 ad management hours</a:t>
          </a:r>
          <a:r>
            <a:rPr lang="en-US" sz="1600"/>
            <a:t> available per week.</a:t>
          </a:r>
        </a:p>
        <a:p>
          <a:r>
            <a:rPr lang="en-US" sz="1600"/>
            <a:t>Assuming all campaigns sold generate profit, formulate a </a:t>
          </a:r>
          <a:r>
            <a:rPr lang="en-US" sz="1600" b="1"/>
            <a:t>Linear Programming model</a:t>
          </a:r>
          <a:r>
            <a:rPr lang="en-US" sz="1600"/>
            <a:t> to maximize weekly profit.</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350520</xdr:colOff>
      <xdr:row>0</xdr:row>
      <xdr:rowOff>91440</xdr:rowOff>
    </xdr:from>
    <xdr:to>
      <xdr:col>8</xdr:col>
      <xdr:colOff>129540</xdr:colOff>
      <xdr:row>29</xdr:row>
      <xdr:rowOff>106680</xdr:rowOff>
    </xdr:to>
    <xdr:sp macro="" textlink="">
      <xdr:nvSpPr>
        <xdr:cNvPr id="2" name="TextBox 1">
          <a:extLst>
            <a:ext uri="{FF2B5EF4-FFF2-40B4-BE49-F238E27FC236}">
              <a16:creationId xmlns:a16="http://schemas.microsoft.com/office/drawing/2014/main" id="{6743873B-4F6F-4EF2-8444-B5D93BD529DE}"/>
            </a:ext>
          </a:extLst>
        </xdr:cNvPr>
        <xdr:cNvSpPr txBox="1"/>
      </xdr:nvSpPr>
      <xdr:spPr>
        <a:xfrm>
          <a:off x="4008120" y="91440"/>
          <a:ext cx="4655820" cy="5318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 premium bar serves the following </a:t>
          </a:r>
          <a:r>
            <a:rPr lang="en-US" sz="1400" b="1"/>
            <a:t>industry-recognized whiskey cocktails</a:t>
          </a:r>
          <a:r>
            <a:rPr lang="en-US" sz="1400"/>
            <a:t> during an evening service:</a:t>
          </a:r>
        </a:p>
        <a:p>
          <a:r>
            <a:rPr lang="en-US" sz="1400" b="1"/>
            <a:t>Whiskey Sour</a:t>
          </a:r>
          <a:r>
            <a:rPr lang="en-US" sz="1400" b="0"/>
            <a:t>,</a:t>
          </a:r>
          <a:r>
            <a:rPr lang="en-US" sz="1400" b="0" baseline="0"/>
            <a:t> </a:t>
          </a:r>
          <a:r>
            <a:rPr lang="en-US" sz="1400" b="1"/>
            <a:t>Whiskey Highball</a:t>
          </a:r>
          <a:r>
            <a:rPr lang="en-US" sz="1400" b="0"/>
            <a:t>,</a:t>
          </a:r>
          <a:r>
            <a:rPr lang="en-US" sz="1400" b="0" baseline="0"/>
            <a:t> </a:t>
          </a:r>
          <a:r>
            <a:rPr lang="en-US" sz="1400" b="1"/>
            <a:t>Old Fashioned</a:t>
          </a:r>
          <a:endParaRPr lang="en-US" sz="1400"/>
        </a:p>
        <a:p>
          <a:r>
            <a:rPr lang="en-US" sz="1400"/>
            <a:t>Each cocktail requires whiskey, mixers, and bartender time. The bar has limited resources for the evening, as given below.</a:t>
          </a:r>
        </a:p>
        <a:p>
          <a:r>
            <a:rPr lang="en-US" sz="1400"/>
            <a:t>A </a:t>
          </a:r>
          <a:r>
            <a:rPr lang="en-US" sz="1400" b="1"/>
            <a:t>Whiskey Sour</a:t>
          </a:r>
          <a:r>
            <a:rPr lang="en-US" sz="1400"/>
            <a:t> requires </a:t>
          </a:r>
          <a:r>
            <a:rPr lang="en-US" sz="1400" b="1"/>
            <a:t>60 ml of whiskey</a:t>
          </a:r>
          <a:r>
            <a:rPr lang="en-US" sz="1400"/>
            <a:t>, </a:t>
          </a:r>
          <a:r>
            <a:rPr lang="en-US" sz="1400" b="1"/>
            <a:t>40 ml of  lemon juice and sugar syrup</a:t>
          </a:r>
          <a:r>
            <a:rPr lang="en-US" sz="1400" b="1" baseline="0"/>
            <a:t> (mixer)</a:t>
          </a:r>
          <a:r>
            <a:rPr lang="en-US" sz="1400"/>
            <a:t>, and </a:t>
          </a:r>
          <a:r>
            <a:rPr lang="en-US" sz="1400" b="1"/>
            <a:t>3 minutes of bartender time</a:t>
          </a:r>
          <a:r>
            <a:rPr lang="en-US" sz="1400"/>
            <a:t>. It yields a profit of </a:t>
          </a:r>
          <a:r>
            <a:rPr lang="en-US" sz="1400" b="1"/>
            <a:t>₹420 per glass</a:t>
          </a:r>
          <a:r>
            <a:rPr lang="en-US" sz="1400"/>
            <a:t>.</a:t>
          </a:r>
        </a:p>
        <a:p>
          <a:r>
            <a:rPr lang="en-US" sz="1400"/>
            <a:t>A </a:t>
          </a:r>
          <a:r>
            <a:rPr lang="en-US" sz="1400" b="1"/>
            <a:t>Whiskey Highball</a:t>
          </a:r>
          <a:r>
            <a:rPr lang="en-US" sz="1400"/>
            <a:t> requires </a:t>
          </a:r>
          <a:r>
            <a:rPr lang="en-US" sz="1400" b="1"/>
            <a:t>60 ml of whiskey</a:t>
          </a:r>
          <a:r>
            <a:rPr lang="en-US" sz="1400"/>
            <a:t>, </a:t>
          </a:r>
          <a:r>
            <a:rPr lang="en-US" sz="1400" b="1"/>
            <a:t>150 ml of soda (mixer)</a:t>
          </a:r>
          <a:r>
            <a:rPr lang="en-US" sz="1400"/>
            <a:t>, and </a:t>
          </a:r>
          <a:r>
            <a:rPr lang="en-US" sz="1400" b="1"/>
            <a:t>2 minutes of bartender time</a:t>
          </a:r>
          <a:r>
            <a:rPr lang="en-US" sz="1400"/>
            <a:t>. It yields a profit of </a:t>
          </a:r>
          <a:r>
            <a:rPr lang="en-US" sz="1400" b="1"/>
            <a:t>₹300 per glass</a:t>
          </a:r>
          <a:r>
            <a:rPr lang="en-US" sz="1400"/>
            <a:t>.</a:t>
          </a:r>
        </a:p>
        <a:p>
          <a:r>
            <a:rPr lang="en-US" sz="1400"/>
            <a:t>An </a:t>
          </a:r>
          <a:r>
            <a:rPr lang="en-US" sz="1400" b="1"/>
            <a:t>Old Fashioned</a:t>
          </a:r>
          <a:r>
            <a:rPr lang="en-US" sz="1400"/>
            <a:t> requires </a:t>
          </a:r>
          <a:r>
            <a:rPr lang="en-US" sz="1400" b="1"/>
            <a:t>60 ml of whiskey</a:t>
          </a:r>
          <a:r>
            <a:rPr lang="en-US" sz="1400"/>
            <a:t>, </a:t>
          </a:r>
          <a:r>
            <a:rPr lang="en-US" sz="1400" b="1"/>
            <a:t>10 ml of sugar syrup (mixer)</a:t>
          </a:r>
          <a:r>
            <a:rPr lang="en-US" sz="1400"/>
            <a:t>, and </a:t>
          </a:r>
          <a:r>
            <a:rPr lang="en-US" sz="1400" b="1"/>
            <a:t>4 minutes of bartender time</a:t>
          </a:r>
          <a:r>
            <a:rPr lang="en-US" sz="1400"/>
            <a:t>. It yields a profit of </a:t>
          </a:r>
          <a:r>
            <a:rPr lang="en-US" sz="1400" b="1"/>
            <a:t>₹480 per glass</a:t>
          </a:r>
          <a:r>
            <a:rPr lang="en-US" sz="1400"/>
            <a:t>.</a:t>
          </a:r>
        </a:p>
        <a:p>
          <a:r>
            <a:rPr lang="en-US" sz="1400"/>
            <a:t>The bar has </a:t>
          </a:r>
          <a:r>
            <a:rPr lang="en-US" sz="1400" b="1"/>
            <a:t>6,000 ml of whiskey</a:t>
          </a:r>
          <a:r>
            <a:rPr lang="en-US" sz="1400"/>
            <a:t>, </a:t>
          </a:r>
          <a:r>
            <a:rPr lang="en-US" sz="1400" b="1"/>
            <a:t>12,000 ml of mixers (including soda, lemon juice, and sugar syrup)</a:t>
          </a:r>
          <a:r>
            <a:rPr lang="en-US" sz="1400"/>
            <a:t>, and </a:t>
          </a:r>
          <a:r>
            <a:rPr lang="en-US" sz="1400" b="1"/>
            <a:t>300 minutes of bartender time</a:t>
          </a:r>
          <a:r>
            <a:rPr lang="en-US" sz="1400"/>
            <a:t> available for the evening.</a:t>
          </a:r>
        </a:p>
        <a:p>
          <a:r>
            <a:rPr lang="en-US" sz="1400"/>
            <a:t>Assuming that all cocktails prepared are sold:</a:t>
          </a:r>
        </a:p>
        <a:p>
          <a:r>
            <a:rPr lang="en-US" sz="1400" b="1"/>
            <a:t>(a)</a:t>
          </a:r>
          <a:r>
            <a:rPr lang="en-US" sz="1400"/>
            <a:t> Define suitable decision variables.</a:t>
          </a:r>
          <a:br>
            <a:rPr lang="en-US" sz="1400"/>
          </a:br>
          <a:r>
            <a:rPr lang="en-US" sz="1400" b="1"/>
            <a:t>(b)</a:t>
          </a:r>
          <a:r>
            <a:rPr lang="en-US" sz="1400"/>
            <a:t> Formulate a </a:t>
          </a:r>
          <a:r>
            <a:rPr lang="en-US" sz="1400" b="1"/>
            <a:t>Linear Programming Problem (LPP)</a:t>
          </a:r>
          <a:r>
            <a:rPr lang="en-US" sz="1400"/>
            <a:t> to </a:t>
          </a:r>
          <a:r>
            <a:rPr lang="en-US" sz="1400" b="1"/>
            <a:t>maximize total profit</a:t>
          </a:r>
          <a:r>
            <a:rPr lang="en-US" sz="1400"/>
            <a:t> subject to the above constraints.</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228600</xdr:colOff>
      <xdr:row>1</xdr:row>
      <xdr:rowOff>7620</xdr:rowOff>
    </xdr:from>
    <xdr:to>
      <xdr:col>8</xdr:col>
      <xdr:colOff>548640</xdr:colOff>
      <xdr:row>23</xdr:row>
      <xdr:rowOff>137160</xdr:rowOff>
    </xdr:to>
    <xdr:sp macro="" textlink="">
      <xdr:nvSpPr>
        <xdr:cNvPr id="2" name="TextBox 1">
          <a:extLst>
            <a:ext uri="{FF2B5EF4-FFF2-40B4-BE49-F238E27FC236}">
              <a16:creationId xmlns:a16="http://schemas.microsoft.com/office/drawing/2014/main" id="{70DD90B8-90EF-4113-A1D0-CDF6D88279FA}"/>
            </a:ext>
          </a:extLst>
        </xdr:cNvPr>
        <xdr:cNvSpPr txBox="1"/>
      </xdr:nvSpPr>
      <xdr:spPr>
        <a:xfrm>
          <a:off x="228600" y="190500"/>
          <a:ext cx="5196840" cy="415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 subscription-based digital service is facing rising customer churn and wants to </a:t>
          </a:r>
          <a:r>
            <a:rPr lang="en-US" sz="1400" b="1"/>
            <a:t>prioritize retention features</a:t>
          </a:r>
          <a:r>
            <a:rPr lang="en-US" sz="1400"/>
            <a:t> for the upcoming development cycle. Management has shortlisted four product features: personalized offers, faster onboarding, loyalty rewards, and proactive churn alerts. Each feature must be </a:t>
          </a:r>
          <a:r>
            <a:rPr lang="en-US" sz="1400" b="1"/>
            <a:t>either fully implemented or not implemented at all</a:t>
          </a:r>
          <a:r>
            <a:rPr lang="en-US" sz="1400"/>
            <a:t>, since partial rollout does not yield measurable retention benefits. Based on historical data and survival analysis, the analytics team has estimated the </a:t>
          </a:r>
          <a:r>
            <a:rPr lang="en-US" sz="1400" b="1"/>
            <a:t>probability of improving customer retention</a:t>
          </a:r>
          <a:r>
            <a:rPr lang="en-US" sz="1400"/>
            <a:t> associated with each feature. At the same time, the engineering team has a strict capacity limit of </a:t>
          </a:r>
          <a:r>
            <a:rPr lang="en-US" sz="1400" b="1"/>
            <a:t>90 total work hours</a:t>
          </a:r>
          <a:r>
            <a:rPr lang="en-US" sz="1400"/>
            <a:t> for the cycle. Implementing personalized offers requires </a:t>
          </a:r>
          <a:r>
            <a:rPr lang="en-US" sz="1400" b="1"/>
            <a:t>40 hours</a:t>
          </a:r>
          <a:r>
            <a:rPr lang="en-US" sz="1400"/>
            <a:t> and is expected to increase retention probability by </a:t>
          </a:r>
          <a:r>
            <a:rPr lang="en-US" sz="1400" b="1"/>
            <a:t>0.09</a:t>
          </a:r>
          <a:r>
            <a:rPr lang="en-US" sz="1400"/>
            <a:t>; faster onboarding requires </a:t>
          </a:r>
          <a:r>
            <a:rPr lang="en-US" sz="1400" b="1"/>
            <a:t>30 hours</a:t>
          </a:r>
          <a:r>
            <a:rPr lang="en-US" sz="1400"/>
            <a:t> with an estimated retention probability of </a:t>
          </a:r>
          <a:r>
            <a:rPr lang="en-US" sz="1400" b="1"/>
            <a:t>0.06</a:t>
          </a:r>
          <a:r>
            <a:rPr lang="en-US" sz="1400"/>
            <a:t>; loyalty rewards require </a:t>
          </a:r>
          <a:r>
            <a:rPr lang="en-US" sz="1400" b="1"/>
            <a:t>50 hours</a:t>
          </a:r>
          <a:r>
            <a:rPr lang="en-US" sz="1400"/>
            <a:t> with an estimated retention probability of </a:t>
          </a:r>
          <a:r>
            <a:rPr lang="en-US" sz="1400" b="1"/>
            <a:t>0.08</a:t>
          </a:r>
          <a:r>
            <a:rPr lang="en-US" sz="1400"/>
            <a:t>; and proactive churn alerts require </a:t>
          </a:r>
          <a:r>
            <a:rPr lang="en-US" sz="1400" b="1"/>
            <a:t>20 hours</a:t>
          </a:r>
          <a:r>
            <a:rPr lang="en-US" sz="1400"/>
            <a:t> with an estimated retention probability of </a:t>
          </a:r>
          <a:r>
            <a:rPr lang="en-US" sz="1400" b="1"/>
            <a:t>0.05</a:t>
          </a:r>
          <a:r>
            <a:rPr lang="en-US" sz="1400"/>
            <a:t>. The decision problem is to select a </a:t>
          </a:r>
          <a:r>
            <a:rPr lang="en-US" sz="1400" b="1"/>
            <a:t>binary combination of features</a:t>
          </a:r>
          <a:r>
            <a:rPr lang="en-US" sz="1400"/>
            <a:t> that maximizes the </a:t>
          </a:r>
          <a:r>
            <a:rPr lang="en-US" sz="1400" b="1"/>
            <a:t>overall expected retention probability</a:t>
          </a:r>
          <a:r>
            <a:rPr lang="en-US" sz="1400"/>
            <a:t> without exceeding the 90-hour constraint.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7620</xdr:colOff>
      <xdr:row>1</xdr:row>
      <xdr:rowOff>137160</xdr:rowOff>
    </xdr:from>
    <xdr:to>
      <xdr:col>7</xdr:col>
      <xdr:colOff>15240</xdr:colOff>
      <xdr:row>13</xdr:row>
      <xdr:rowOff>7620</xdr:rowOff>
    </xdr:to>
    <xdr:sp macro="" textlink="">
      <xdr:nvSpPr>
        <xdr:cNvPr id="2" name="TextBox 1">
          <a:extLst>
            <a:ext uri="{FF2B5EF4-FFF2-40B4-BE49-F238E27FC236}">
              <a16:creationId xmlns:a16="http://schemas.microsoft.com/office/drawing/2014/main" id="{1B3F729D-183B-4161-9DBC-8AFC74ABD860}"/>
            </a:ext>
          </a:extLst>
        </xdr:cNvPr>
        <xdr:cNvSpPr txBox="1"/>
      </xdr:nvSpPr>
      <xdr:spPr>
        <a:xfrm>
          <a:off x="617220" y="320040"/>
          <a:ext cx="3665220" cy="2095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Binary Covering Problem (Maximum Coverage)</a:t>
          </a:r>
        </a:p>
        <a:p>
          <a:r>
            <a:rPr lang="en-US" sz="1400"/>
            <a:t>A municipal corporation wants to place </a:t>
          </a:r>
          <a:r>
            <a:rPr lang="en-US" sz="1400" b="1"/>
            <a:t>public Wi-Fi hotspots</a:t>
          </a:r>
          <a:r>
            <a:rPr lang="en-US" sz="1400"/>
            <a:t> to maximize area coverage. Each</a:t>
          </a:r>
          <a:r>
            <a:rPr lang="en-US" sz="1400" baseline="0"/>
            <a:t> wifi spot can serve all immedite adjecent location. </a:t>
          </a:r>
          <a:r>
            <a:rPr lang="en-US" sz="1400"/>
            <a:t>The decision problem is to choose which hotspot locations to activate (binary decisions) so that the </a:t>
          </a:r>
          <a:r>
            <a:rPr lang="en-US" sz="1400" b="1"/>
            <a:t>maximum number of neighborhoods are covered</a:t>
          </a:r>
          <a:r>
            <a:rPr lang="en-US" sz="1400"/>
            <a:t>, subject to the limit on the number of installations.</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2CDCF-1B0C-4488-A6B3-D4F0817BCF60}">
  <dimension ref="H3:J12"/>
  <sheetViews>
    <sheetView topLeftCell="C2" zoomScale="132" workbookViewId="0">
      <selection activeCell="J13" sqref="J13"/>
    </sheetView>
  </sheetViews>
  <sheetFormatPr defaultRowHeight="14.4" x14ac:dyDescent="0.3"/>
  <cols>
    <col min="8" max="8" width="15" customWidth="1"/>
  </cols>
  <sheetData>
    <row r="3" spans="8:10" x14ac:dyDescent="0.3">
      <c r="I3" t="s">
        <v>25</v>
      </c>
      <c r="J3" t="s">
        <v>26</v>
      </c>
    </row>
    <row r="4" spans="8:10" x14ac:dyDescent="0.3">
      <c r="H4" t="s">
        <v>21</v>
      </c>
      <c r="I4">
        <v>2</v>
      </c>
      <c r="J4">
        <v>50</v>
      </c>
    </row>
    <row r="5" spans="8:10" x14ac:dyDescent="0.3">
      <c r="H5" t="s">
        <v>22</v>
      </c>
      <c r="I5">
        <v>3</v>
      </c>
      <c r="J5">
        <v>150</v>
      </c>
    </row>
    <row r="6" spans="8:10" x14ac:dyDescent="0.3">
      <c r="H6" t="s">
        <v>23</v>
      </c>
      <c r="I6">
        <v>1</v>
      </c>
      <c r="J6">
        <v>250</v>
      </c>
    </row>
    <row r="7" spans="8:10" x14ac:dyDescent="0.3">
      <c r="H7" t="s">
        <v>24</v>
      </c>
      <c r="I7">
        <v>2</v>
      </c>
      <c r="J7">
        <v>100</v>
      </c>
    </row>
    <row r="10" spans="8:10" x14ac:dyDescent="0.3">
      <c r="J10">
        <f>I4*J4+I5*J5+I6*J6+I7*J7</f>
        <v>1000</v>
      </c>
    </row>
    <row r="12" spans="8:10" x14ac:dyDescent="0.3">
      <c r="J12">
        <f>SUMPRODUCT(I4:I7,J4:J7)</f>
        <v>1000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8945A-C460-4D50-99DB-E5D63EB232E7}">
  <dimension ref="C1:O11"/>
  <sheetViews>
    <sheetView zoomScale="140" zoomScaleNormal="140" workbookViewId="0">
      <selection activeCell="H20" sqref="H20"/>
    </sheetView>
  </sheetViews>
  <sheetFormatPr defaultRowHeight="14.4" x14ac:dyDescent="0.3"/>
  <cols>
    <col min="7" max="7" width="10.69921875" customWidth="1"/>
    <col min="8" max="8" width="10.8984375" customWidth="1"/>
    <col min="9" max="9" width="3.19921875" customWidth="1"/>
    <col min="14" max="14" width="12.69921875" customWidth="1"/>
  </cols>
  <sheetData>
    <row r="1" spans="3:15" x14ac:dyDescent="0.3">
      <c r="N1" t="s">
        <v>33</v>
      </c>
      <c r="O1">
        <v>9625</v>
      </c>
    </row>
    <row r="2" spans="3:15" x14ac:dyDescent="0.3">
      <c r="N2" t="s">
        <v>32</v>
      </c>
      <c r="O2">
        <v>8625</v>
      </c>
    </row>
    <row r="3" spans="3:15" x14ac:dyDescent="0.3">
      <c r="D3" t="s">
        <v>0</v>
      </c>
      <c r="E3" t="s">
        <v>0</v>
      </c>
      <c r="N3" t="s">
        <v>34</v>
      </c>
      <c r="O3">
        <v>9075</v>
      </c>
    </row>
    <row r="4" spans="3:15" x14ac:dyDescent="0.3">
      <c r="D4" t="s">
        <v>1</v>
      </c>
      <c r="E4" t="s">
        <v>2</v>
      </c>
      <c r="F4" t="s">
        <v>3</v>
      </c>
      <c r="G4" t="s">
        <v>36</v>
      </c>
      <c r="H4" t="s">
        <v>37</v>
      </c>
      <c r="J4" t="s">
        <v>10</v>
      </c>
      <c r="N4" t="s">
        <v>35</v>
      </c>
      <c r="O4">
        <v>8875</v>
      </c>
    </row>
    <row r="5" spans="3:15" x14ac:dyDescent="0.3">
      <c r="C5" t="s">
        <v>4</v>
      </c>
      <c r="D5">
        <v>1000</v>
      </c>
      <c r="E5">
        <v>0</v>
      </c>
      <c r="F5">
        <v>1100</v>
      </c>
      <c r="G5">
        <v>2</v>
      </c>
      <c r="H5">
        <v>0</v>
      </c>
      <c r="J5" t="s">
        <v>27</v>
      </c>
      <c r="L5">
        <f>SUMPRODUCT(F5:F7,G5:G7)</f>
        <v>8875</v>
      </c>
    </row>
    <row r="6" spans="3:15" x14ac:dyDescent="0.3">
      <c r="C6" t="s">
        <v>5</v>
      </c>
      <c r="D6">
        <v>750</v>
      </c>
      <c r="E6">
        <v>250</v>
      </c>
      <c r="F6">
        <v>800</v>
      </c>
      <c r="G6">
        <v>8</v>
      </c>
      <c r="H6">
        <v>10.666666666666666</v>
      </c>
    </row>
    <row r="7" spans="3:15" x14ac:dyDescent="0.3">
      <c r="C7" t="s">
        <v>6</v>
      </c>
      <c r="D7">
        <v>0</v>
      </c>
      <c r="E7">
        <v>1000</v>
      </c>
      <c r="F7">
        <v>275</v>
      </c>
      <c r="G7">
        <v>1</v>
      </c>
      <c r="H7">
        <v>0.33333333333333348</v>
      </c>
      <c r="J7" t="s">
        <v>11</v>
      </c>
      <c r="L7" t="s">
        <v>29</v>
      </c>
      <c r="N7" t="s">
        <v>30</v>
      </c>
    </row>
    <row r="8" spans="3:15" x14ac:dyDescent="0.3">
      <c r="J8" t="s">
        <v>28</v>
      </c>
      <c r="L8">
        <f>SUMPRODUCT(D5:D7,G5:G7)</f>
        <v>8000</v>
      </c>
      <c r="M8" t="s">
        <v>12</v>
      </c>
      <c r="N8">
        <v>8000</v>
      </c>
    </row>
    <row r="9" spans="3:15" x14ac:dyDescent="0.3">
      <c r="J9" t="s">
        <v>31</v>
      </c>
      <c r="L9">
        <f>SUMPRODUCT(E5:E7,G5:G7)</f>
        <v>3000</v>
      </c>
      <c r="M9" t="s">
        <v>12</v>
      </c>
      <c r="N9">
        <v>3000</v>
      </c>
    </row>
    <row r="10" spans="3:15" x14ac:dyDescent="0.3">
      <c r="D10" t="s">
        <v>1</v>
      </c>
      <c r="E10" t="s">
        <v>2</v>
      </c>
    </row>
    <row r="11" spans="3:15" x14ac:dyDescent="0.3">
      <c r="C11" t="s">
        <v>7</v>
      </c>
      <c r="D11">
        <v>8</v>
      </c>
      <c r="E11">
        <v>3</v>
      </c>
      <c r="F11" t="s">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D11FB-05AC-40FE-AEA3-3DADBF460476}">
  <dimension ref="M3:S34"/>
  <sheetViews>
    <sheetView topLeftCell="A10" workbookViewId="0">
      <selection activeCell="S28" sqref="S28"/>
    </sheetView>
  </sheetViews>
  <sheetFormatPr defaultRowHeight="14.4" x14ac:dyDescent="0.3"/>
  <sheetData>
    <row r="3" spans="13:19" x14ac:dyDescent="0.3">
      <c r="N3">
        <v>12000</v>
      </c>
      <c r="O3">
        <v>9000</v>
      </c>
      <c r="P3">
        <v>4000</v>
      </c>
    </row>
    <row r="4" spans="13:19" x14ac:dyDescent="0.3">
      <c r="N4" t="s">
        <v>38</v>
      </c>
      <c r="O4" t="s">
        <v>39</v>
      </c>
      <c r="P4" t="s">
        <v>40</v>
      </c>
      <c r="Q4" t="s">
        <v>9</v>
      </c>
      <c r="R4" t="s">
        <v>48</v>
      </c>
    </row>
    <row r="5" spans="13:19" x14ac:dyDescent="0.3">
      <c r="M5" t="s">
        <v>41</v>
      </c>
      <c r="N5">
        <v>100</v>
      </c>
      <c r="O5">
        <v>150</v>
      </c>
      <c r="P5">
        <v>0</v>
      </c>
      <c r="Q5">
        <v>38</v>
      </c>
      <c r="R5">
        <v>120</v>
      </c>
    </row>
    <row r="6" spans="13:19" x14ac:dyDescent="0.3">
      <c r="M6" t="s">
        <v>42</v>
      </c>
      <c r="N6">
        <v>120</v>
      </c>
      <c r="O6">
        <v>80</v>
      </c>
      <c r="P6">
        <v>100</v>
      </c>
      <c r="Q6">
        <v>40</v>
      </c>
      <c r="R6">
        <v>180</v>
      </c>
    </row>
    <row r="9" spans="13:19" x14ac:dyDescent="0.3">
      <c r="Q9" t="s">
        <v>29</v>
      </c>
      <c r="S9" t="s">
        <v>44</v>
      </c>
    </row>
    <row r="10" spans="13:19" x14ac:dyDescent="0.3">
      <c r="M10" t="s">
        <v>43</v>
      </c>
      <c r="Q10">
        <f>SUMPRODUCT(Q5:Q6,N5:N6)</f>
        <v>8600</v>
      </c>
      <c r="R10" t="s">
        <v>45</v>
      </c>
      <c r="S10">
        <v>12000</v>
      </c>
    </row>
    <row r="11" spans="13:19" x14ac:dyDescent="0.3">
      <c r="M11" t="s">
        <v>46</v>
      </c>
      <c r="Q11">
        <f>SUMPRODUCT(Q5:Q6,O5:O6)</f>
        <v>8900</v>
      </c>
      <c r="R11" t="s">
        <v>45</v>
      </c>
      <c r="S11">
        <v>9000</v>
      </c>
    </row>
    <row r="12" spans="13:19" x14ac:dyDescent="0.3">
      <c r="M12" t="s">
        <v>47</v>
      </c>
      <c r="Q12">
        <f>SUMPRODUCT(P5:P6,Q5:Q6)</f>
        <v>4000</v>
      </c>
      <c r="R12" t="s">
        <v>45</v>
      </c>
      <c r="S12">
        <v>4000</v>
      </c>
    </row>
    <row r="14" spans="13:19" x14ac:dyDescent="0.3">
      <c r="M14" t="s">
        <v>49</v>
      </c>
    </row>
    <row r="15" spans="13:19" x14ac:dyDescent="0.3">
      <c r="M15" t="s">
        <v>50</v>
      </c>
      <c r="P15">
        <f>SUMPRODUCT(R5:R6,Q5:Q6)</f>
        <v>11760</v>
      </c>
    </row>
    <row r="17" spans="13:15" x14ac:dyDescent="0.3">
      <c r="M17" s="1" t="s">
        <v>51</v>
      </c>
    </row>
    <row r="18" spans="13:15" x14ac:dyDescent="0.3">
      <c r="M18" t="s">
        <v>135</v>
      </c>
    </row>
    <row r="19" spans="13:15" x14ac:dyDescent="0.3">
      <c r="N19" t="s">
        <v>52</v>
      </c>
      <c r="O19" s="2" t="s">
        <v>53</v>
      </c>
    </row>
    <row r="20" spans="13:15" x14ac:dyDescent="0.3">
      <c r="N20" t="s">
        <v>54</v>
      </c>
      <c r="O20" s="2" t="s">
        <v>55</v>
      </c>
    </row>
    <row r="22" spans="13:15" x14ac:dyDescent="0.3">
      <c r="M22" t="s">
        <v>56</v>
      </c>
    </row>
    <row r="23" spans="13:15" x14ac:dyDescent="0.3">
      <c r="N23" t="s">
        <v>57</v>
      </c>
      <c r="O23" t="s">
        <v>58</v>
      </c>
    </row>
    <row r="26" spans="13:15" x14ac:dyDescent="0.3">
      <c r="M26" t="s">
        <v>59</v>
      </c>
    </row>
    <row r="27" spans="13:15" x14ac:dyDescent="0.3">
      <c r="N27" t="s">
        <v>60</v>
      </c>
      <c r="O27" t="s">
        <v>61</v>
      </c>
    </row>
    <row r="28" spans="13:15" x14ac:dyDescent="0.3">
      <c r="N28" t="s">
        <v>62</v>
      </c>
      <c r="O28" t="s">
        <v>63</v>
      </c>
    </row>
    <row r="29" spans="13:15" x14ac:dyDescent="0.3">
      <c r="N29" t="s">
        <v>64</v>
      </c>
      <c r="O29" t="s">
        <v>65</v>
      </c>
    </row>
    <row r="30" spans="13:15" x14ac:dyDescent="0.3">
      <c r="N30" t="s">
        <v>66</v>
      </c>
    </row>
    <row r="31" spans="13:15" x14ac:dyDescent="0.3">
      <c r="O31" t="s">
        <v>68</v>
      </c>
    </row>
    <row r="32" spans="13:15" x14ac:dyDescent="0.3">
      <c r="O32" t="s">
        <v>67</v>
      </c>
    </row>
    <row r="33" spans="14:15" x14ac:dyDescent="0.3">
      <c r="N33" t="s">
        <v>133</v>
      </c>
    </row>
    <row r="34" spans="14:15" x14ac:dyDescent="0.3">
      <c r="O34" t="s">
        <v>134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1DD09-AC56-4582-97E3-E02F9BC3484C}">
  <dimension ref="J2:N33"/>
  <sheetViews>
    <sheetView workbookViewId="0">
      <selection activeCell="J15" sqref="J15"/>
    </sheetView>
  </sheetViews>
  <sheetFormatPr defaultRowHeight="14.4" x14ac:dyDescent="0.3"/>
  <cols>
    <col min="10" max="10" width="15.796875" customWidth="1"/>
  </cols>
  <sheetData>
    <row r="2" spans="10:14" x14ac:dyDescent="0.3">
      <c r="K2">
        <v>60</v>
      </c>
      <c r="L2">
        <v>80</v>
      </c>
    </row>
    <row r="3" spans="10:14" x14ac:dyDescent="0.3">
      <c r="K3" t="s">
        <v>101</v>
      </c>
      <c r="L3" t="s">
        <v>102</v>
      </c>
      <c r="M3" t="s">
        <v>9</v>
      </c>
      <c r="N3" t="s">
        <v>48</v>
      </c>
    </row>
    <row r="4" spans="10:14" x14ac:dyDescent="0.3">
      <c r="J4" t="s">
        <v>99</v>
      </c>
      <c r="K4">
        <v>3</v>
      </c>
      <c r="L4">
        <v>2</v>
      </c>
      <c r="M4">
        <v>10</v>
      </c>
      <c r="N4">
        <v>4000</v>
      </c>
    </row>
    <row r="5" spans="10:14" x14ac:dyDescent="0.3">
      <c r="J5" t="s">
        <v>100</v>
      </c>
      <c r="K5">
        <v>2</v>
      </c>
      <c r="L5">
        <v>4</v>
      </c>
      <c r="M5">
        <v>15</v>
      </c>
      <c r="N5">
        <v>5000</v>
      </c>
    </row>
    <row r="8" spans="10:14" x14ac:dyDescent="0.3">
      <c r="J8" t="s">
        <v>10</v>
      </c>
      <c r="L8" t="s">
        <v>50</v>
      </c>
      <c r="N8">
        <f>SUMPRODUCT(M4:M5,N4:N5)</f>
        <v>115000</v>
      </c>
    </row>
    <row r="10" spans="10:14" x14ac:dyDescent="0.3">
      <c r="J10" t="s">
        <v>11</v>
      </c>
      <c r="L10" t="s">
        <v>29</v>
      </c>
      <c r="N10" t="s">
        <v>44</v>
      </c>
    </row>
    <row r="11" spans="10:14" x14ac:dyDescent="0.3">
      <c r="J11" t="s">
        <v>104</v>
      </c>
      <c r="L11">
        <f>SUMPRODUCT(M4:M5,K4:K5)</f>
        <v>60</v>
      </c>
      <c r="M11" t="s">
        <v>45</v>
      </c>
      <c r="N11">
        <v>60</v>
      </c>
    </row>
    <row r="12" spans="10:14" x14ac:dyDescent="0.3">
      <c r="J12" t="s">
        <v>105</v>
      </c>
      <c r="L12">
        <f>SUMPRODUCT(M4:M5,L4:L5)</f>
        <v>80</v>
      </c>
      <c r="M12" t="s">
        <v>45</v>
      </c>
      <c r="N12">
        <v>80</v>
      </c>
    </row>
    <row r="14" spans="10:14" x14ac:dyDescent="0.3">
      <c r="J14" t="s">
        <v>120</v>
      </c>
    </row>
    <row r="16" spans="10:14" x14ac:dyDescent="0.3">
      <c r="K16" t="s">
        <v>106</v>
      </c>
    </row>
    <row r="17" spans="10:13" x14ac:dyDescent="0.3">
      <c r="K17" t="s">
        <v>107</v>
      </c>
    </row>
    <row r="19" spans="10:13" x14ac:dyDescent="0.3">
      <c r="J19" t="s">
        <v>97</v>
      </c>
    </row>
    <row r="21" spans="10:13" x14ac:dyDescent="0.3">
      <c r="K21" t="s">
        <v>108</v>
      </c>
    </row>
    <row r="23" spans="10:13" x14ac:dyDescent="0.3">
      <c r="J23" t="s">
        <v>11</v>
      </c>
    </row>
    <row r="25" spans="10:13" x14ac:dyDescent="0.3">
      <c r="K25" t="s">
        <v>109</v>
      </c>
      <c r="M25" t="s">
        <v>69</v>
      </c>
    </row>
    <row r="26" spans="10:13" x14ac:dyDescent="0.3">
      <c r="K26" t="s">
        <v>110</v>
      </c>
      <c r="M26" t="s">
        <v>70</v>
      </c>
    </row>
    <row r="28" spans="10:13" x14ac:dyDescent="0.3">
      <c r="K28" t="s">
        <v>111</v>
      </c>
    </row>
    <row r="29" spans="10:13" x14ac:dyDescent="0.3">
      <c r="K29" t="s">
        <v>68</v>
      </c>
    </row>
    <row r="30" spans="10:13" x14ac:dyDescent="0.3">
      <c r="K30" t="s">
        <v>67</v>
      </c>
    </row>
    <row r="32" spans="10:13" x14ac:dyDescent="0.3">
      <c r="K32" t="s">
        <v>98</v>
      </c>
    </row>
    <row r="33" spans="11:11" x14ac:dyDescent="0.3">
      <c r="K33" t="s">
        <v>112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BED5D-E86A-42F1-965A-7FB30AAEF259}">
  <dimension ref="J2:O38"/>
  <sheetViews>
    <sheetView workbookViewId="0">
      <selection activeCell="I1" sqref="I1"/>
    </sheetView>
  </sheetViews>
  <sheetFormatPr defaultRowHeight="14.4" x14ac:dyDescent="0.3"/>
  <cols>
    <col min="10" max="10" width="17.59765625" customWidth="1"/>
  </cols>
  <sheetData>
    <row r="2" spans="10:15" x14ac:dyDescent="0.3">
      <c r="K2">
        <v>6000</v>
      </c>
      <c r="L2">
        <v>12000</v>
      </c>
      <c r="M2">
        <v>300</v>
      </c>
    </row>
    <row r="3" spans="10:15" x14ac:dyDescent="0.3">
      <c r="K3" t="s">
        <v>116</v>
      </c>
      <c r="L3" t="s">
        <v>117</v>
      </c>
      <c r="M3" t="s">
        <v>118</v>
      </c>
      <c r="N3" t="s">
        <v>9</v>
      </c>
      <c r="O3" t="s">
        <v>48</v>
      </c>
    </row>
    <row r="4" spans="10:15" x14ac:dyDescent="0.3">
      <c r="J4" t="s">
        <v>113</v>
      </c>
      <c r="K4">
        <v>60</v>
      </c>
      <c r="L4">
        <v>40</v>
      </c>
      <c r="M4">
        <v>3</v>
      </c>
      <c r="N4">
        <v>100</v>
      </c>
      <c r="O4">
        <v>420</v>
      </c>
    </row>
    <row r="5" spans="10:15" x14ac:dyDescent="0.3">
      <c r="J5" t="s">
        <v>114</v>
      </c>
      <c r="K5">
        <v>60</v>
      </c>
      <c r="L5">
        <v>150</v>
      </c>
      <c r="M5">
        <v>2</v>
      </c>
      <c r="N5">
        <v>0</v>
      </c>
      <c r="O5">
        <v>300</v>
      </c>
    </row>
    <row r="6" spans="10:15" x14ac:dyDescent="0.3">
      <c r="J6" t="s">
        <v>115</v>
      </c>
      <c r="K6">
        <v>60</v>
      </c>
      <c r="L6">
        <v>10</v>
      </c>
      <c r="M6">
        <v>4</v>
      </c>
      <c r="N6">
        <v>0</v>
      </c>
      <c r="O6">
        <v>480</v>
      </c>
    </row>
    <row r="8" spans="10:15" x14ac:dyDescent="0.3">
      <c r="J8" t="s">
        <v>97</v>
      </c>
    </row>
    <row r="9" spans="10:15" x14ac:dyDescent="0.3">
      <c r="K9" t="s">
        <v>103</v>
      </c>
      <c r="L9">
        <f>SUMPRODUCT(N4:N6,O4:O6)</f>
        <v>42000</v>
      </c>
    </row>
    <row r="11" spans="10:15" x14ac:dyDescent="0.3">
      <c r="J11" t="s">
        <v>11</v>
      </c>
    </row>
    <row r="12" spans="10:15" x14ac:dyDescent="0.3">
      <c r="K12" t="s">
        <v>116</v>
      </c>
      <c r="L12">
        <f>SUMPRODUCT(N4:N6,K4:K6)</f>
        <v>6000</v>
      </c>
      <c r="M12" t="s">
        <v>45</v>
      </c>
      <c r="N12">
        <v>6000</v>
      </c>
    </row>
    <row r="13" spans="10:15" x14ac:dyDescent="0.3">
      <c r="K13" t="s">
        <v>117</v>
      </c>
      <c r="L13">
        <f>SUMPRODUCT(N4:N6,L4:L6)</f>
        <v>4000</v>
      </c>
      <c r="M13" t="s">
        <v>45</v>
      </c>
      <c r="N13">
        <v>12000</v>
      </c>
    </row>
    <row r="14" spans="10:15" x14ac:dyDescent="0.3">
      <c r="K14" t="s">
        <v>118</v>
      </c>
      <c r="L14">
        <f>SUMPRODUCT(N4:N6,M4:M6)</f>
        <v>300</v>
      </c>
      <c r="M14" t="s">
        <v>45</v>
      </c>
      <c r="N14">
        <v>300</v>
      </c>
    </row>
    <row r="17" spans="10:12" x14ac:dyDescent="0.3">
      <c r="J17" t="s">
        <v>119</v>
      </c>
    </row>
    <row r="19" spans="10:12" x14ac:dyDescent="0.3">
      <c r="J19" t="s">
        <v>120</v>
      </c>
    </row>
    <row r="20" spans="10:12" x14ac:dyDescent="0.3">
      <c r="K20" t="s">
        <v>121</v>
      </c>
    </row>
    <row r="21" spans="10:12" x14ac:dyDescent="0.3">
      <c r="K21" t="s">
        <v>122</v>
      </c>
    </row>
    <row r="22" spans="10:12" x14ac:dyDescent="0.3">
      <c r="K22" t="s">
        <v>123</v>
      </c>
    </row>
    <row r="24" spans="10:12" x14ac:dyDescent="0.3">
      <c r="J24" t="s">
        <v>97</v>
      </c>
    </row>
    <row r="25" spans="10:12" x14ac:dyDescent="0.3">
      <c r="K25" t="s">
        <v>124</v>
      </c>
    </row>
    <row r="27" spans="10:12" x14ac:dyDescent="0.3">
      <c r="J27" t="s">
        <v>11</v>
      </c>
    </row>
    <row r="28" spans="10:12" x14ac:dyDescent="0.3">
      <c r="K28" t="s">
        <v>116</v>
      </c>
      <c r="L28" t="s">
        <v>126</v>
      </c>
    </row>
    <row r="29" spans="10:12" x14ac:dyDescent="0.3">
      <c r="K29" t="s">
        <v>117</v>
      </c>
      <c r="L29" t="s">
        <v>127</v>
      </c>
    </row>
    <row r="30" spans="10:12" x14ac:dyDescent="0.3">
      <c r="K30" t="s">
        <v>125</v>
      </c>
      <c r="L30" t="s">
        <v>128</v>
      </c>
    </row>
    <row r="32" spans="10:12" x14ac:dyDescent="0.3">
      <c r="K32" t="s">
        <v>129</v>
      </c>
    </row>
    <row r="33" spans="11:11" x14ac:dyDescent="0.3">
      <c r="K33" t="s">
        <v>130</v>
      </c>
    </row>
    <row r="34" spans="11:11" x14ac:dyDescent="0.3">
      <c r="K34" t="s">
        <v>71</v>
      </c>
    </row>
    <row r="35" spans="11:11" x14ac:dyDescent="0.3">
      <c r="K35" t="s">
        <v>131</v>
      </c>
    </row>
    <row r="37" spans="11:11" x14ac:dyDescent="0.3">
      <c r="K37" t="s">
        <v>98</v>
      </c>
    </row>
    <row r="38" spans="11:11" x14ac:dyDescent="0.3">
      <c r="K38" t="s">
        <v>132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F6C0D-5A17-4214-B0C3-CE125D10BFBA}">
  <dimension ref="A2:Y39"/>
  <sheetViews>
    <sheetView topLeftCell="I23" zoomScale="121" workbookViewId="0">
      <selection activeCell="V19" sqref="V19:X39"/>
    </sheetView>
  </sheetViews>
  <sheetFormatPr defaultRowHeight="14.4" x14ac:dyDescent="0.3"/>
  <cols>
    <col min="6" max="9" width="8.8984375" customWidth="1"/>
  </cols>
  <sheetData>
    <row r="2" spans="1:25" x14ac:dyDescent="0.3">
      <c r="J2" t="s">
        <v>138</v>
      </c>
      <c r="K2" t="s">
        <v>13</v>
      </c>
      <c r="L2" t="s">
        <v>14</v>
      </c>
      <c r="M2" t="s">
        <v>15</v>
      </c>
      <c r="N2" t="s">
        <v>16</v>
      </c>
      <c r="O2" t="s">
        <v>17</v>
      </c>
      <c r="P2" t="s">
        <v>18</v>
      </c>
      <c r="Q2" t="s">
        <v>174</v>
      </c>
      <c r="S2" t="s">
        <v>166</v>
      </c>
      <c r="V2" t="s">
        <v>97</v>
      </c>
    </row>
    <row r="3" spans="1:25" x14ac:dyDescent="0.3">
      <c r="A3" t="s">
        <v>183</v>
      </c>
      <c r="J3" t="s">
        <v>139</v>
      </c>
      <c r="K3" s="6">
        <v>1</v>
      </c>
      <c r="L3" s="6">
        <v>1</v>
      </c>
      <c r="M3" s="6">
        <v>1</v>
      </c>
      <c r="N3" s="6">
        <v>1</v>
      </c>
      <c r="O3" s="5">
        <v>0</v>
      </c>
      <c r="P3" s="5">
        <v>0</v>
      </c>
      <c r="Q3" s="5">
        <v>0</v>
      </c>
      <c r="R3" s="5"/>
      <c r="S3" s="5">
        <v>1</v>
      </c>
    </row>
    <row r="4" spans="1:25" x14ac:dyDescent="0.3">
      <c r="A4" t="s">
        <v>184</v>
      </c>
      <c r="J4" t="s">
        <v>140</v>
      </c>
      <c r="K4">
        <v>0</v>
      </c>
      <c r="L4">
        <v>1</v>
      </c>
      <c r="M4">
        <v>1</v>
      </c>
      <c r="N4">
        <v>1</v>
      </c>
      <c r="O4">
        <v>0</v>
      </c>
      <c r="P4">
        <v>0</v>
      </c>
      <c r="Q4">
        <v>0</v>
      </c>
      <c r="S4">
        <v>0</v>
      </c>
      <c r="V4" t="s">
        <v>167</v>
      </c>
      <c r="W4">
        <f>SUM(S3:S15)</f>
        <v>5</v>
      </c>
    </row>
    <row r="5" spans="1:25" x14ac:dyDescent="0.3">
      <c r="A5" s="9" t="s">
        <v>13</v>
      </c>
      <c r="J5" t="s">
        <v>141</v>
      </c>
      <c r="K5" s="5">
        <v>0</v>
      </c>
      <c r="L5" s="5">
        <v>0</v>
      </c>
      <c r="M5" s="6">
        <v>1</v>
      </c>
      <c r="N5" s="5">
        <v>1</v>
      </c>
      <c r="O5" s="5">
        <v>0</v>
      </c>
      <c r="P5" s="6">
        <v>1</v>
      </c>
      <c r="Q5" s="6">
        <v>0</v>
      </c>
      <c r="R5" s="5"/>
      <c r="S5" s="5">
        <v>1</v>
      </c>
    </row>
    <row r="6" spans="1:25" x14ac:dyDescent="0.3">
      <c r="A6" s="9" t="s">
        <v>14</v>
      </c>
      <c r="J6" t="s">
        <v>142</v>
      </c>
      <c r="K6">
        <v>0</v>
      </c>
      <c r="L6">
        <v>1</v>
      </c>
      <c r="M6">
        <v>1</v>
      </c>
      <c r="N6">
        <v>0</v>
      </c>
      <c r="O6">
        <v>0</v>
      </c>
      <c r="P6">
        <v>1</v>
      </c>
      <c r="Q6">
        <v>0</v>
      </c>
      <c r="S6">
        <v>0</v>
      </c>
    </row>
    <row r="7" spans="1:25" x14ac:dyDescent="0.3">
      <c r="A7" s="9" t="s">
        <v>15</v>
      </c>
      <c r="J7" t="s">
        <v>143</v>
      </c>
      <c r="K7">
        <v>1</v>
      </c>
      <c r="L7">
        <v>1</v>
      </c>
      <c r="M7">
        <v>0</v>
      </c>
      <c r="N7">
        <v>0</v>
      </c>
      <c r="O7">
        <v>1</v>
      </c>
      <c r="P7">
        <v>0</v>
      </c>
      <c r="Q7">
        <v>0</v>
      </c>
      <c r="S7">
        <v>0</v>
      </c>
      <c r="V7" t="s">
        <v>168</v>
      </c>
    </row>
    <row r="8" spans="1:25" x14ac:dyDescent="0.3">
      <c r="A8" s="9" t="s">
        <v>16</v>
      </c>
      <c r="J8" t="s">
        <v>144</v>
      </c>
      <c r="K8">
        <v>0</v>
      </c>
      <c r="L8">
        <v>0</v>
      </c>
      <c r="M8">
        <v>1</v>
      </c>
      <c r="N8">
        <v>1</v>
      </c>
      <c r="O8">
        <v>1</v>
      </c>
      <c r="P8">
        <v>0</v>
      </c>
      <c r="Q8">
        <v>0</v>
      </c>
      <c r="S8">
        <v>0</v>
      </c>
      <c r="W8" t="s">
        <v>169</v>
      </c>
      <c r="Y8" t="s">
        <v>19</v>
      </c>
    </row>
    <row r="9" spans="1:25" x14ac:dyDescent="0.3">
      <c r="A9" s="9" t="s">
        <v>17</v>
      </c>
      <c r="J9" t="s">
        <v>145</v>
      </c>
      <c r="K9" s="6">
        <v>1</v>
      </c>
      <c r="L9" s="6">
        <v>1</v>
      </c>
      <c r="M9" s="6">
        <v>1</v>
      </c>
      <c r="N9" s="5">
        <v>0</v>
      </c>
      <c r="O9" s="6">
        <v>1</v>
      </c>
      <c r="P9" s="6">
        <v>1</v>
      </c>
      <c r="Q9" s="6">
        <v>0</v>
      </c>
      <c r="R9" s="5"/>
      <c r="S9" s="5">
        <v>1</v>
      </c>
      <c r="V9" t="s">
        <v>13</v>
      </c>
      <c r="W9">
        <f>SUMPRODUCT(S3:S15,K3:K15)</f>
        <v>2</v>
      </c>
      <c r="X9" t="s">
        <v>12</v>
      </c>
      <c r="Y9">
        <v>2</v>
      </c>
    </row>
    <row r="10" spans="1:25" x14ac:dyDescent="0.3">
      <c r="A10" s="9" t="s">
        <v>18</v>
      </c>
      <c r="J10" t="s">
        <v>146</v>
      </c>
      <c r="K10">
        <v>0</v>
      </c>
      <c r="L10">
        <v>1</v>
      </c>
      <c r="M10">
        <v>0</v>
      </c>
      <c r="N10">
        <v>1</v>
      </c>
      <c r="O10">
        <v>0</v>
      </c>
      <c r="P10">
        <v>0</v>
      </c>
      <c r="Q10">
        <v>0</v>
      </c>
      <c r="S10">
        <v>0</v>
      </c>
      <c r="V10" t="s">
        <v>170</v>
      </c>
      <c r="W10">
        <f>SUMPRODUCT(S3:S15,L3:L15)</f>
        <v>3</v>
      </c>
      <c r="X10" t="s">
        <v>12</v>
      </c>
      <c r="Y10">
        <v>3</v>
      </c>
    </row>
    <row r="11" spans="1:25" x14ac:dyDescent="0.3">
      <c r="A11" s="9" t="s">
        <v>180</v>
      </c>
      <c r="J11" t="s">
        <v>147</v>
      </c>
      <c r="K11">
        <v>0</v>
      </c>
      <c r="L11">
        <v>0</v>
      </c>
      <c r="M11">
        <v>1</v>
      </c>
      <c r="N11">
        <v>0</v>
      </c>
      <c r="O11">
        <v>0</v>
      </c>
      <c r="P11">
        <v>1</v>
      </c>
      <c r="Q11">
        <v>0</v>
      </c>
      <c r="S11">
        <v>0</v>
      </c>
      <c r="V11" t="s">
        <v>171</v>
      </c>
      <c r="W11">
        <f>SUMPRODUCT(S3:S14,M3:M14)</f>
        <v>4</v>
      </c>
      <c r="X11" t="s">
        <v>12</v>
      </c>
      <c r="Y11">
        <v>4</v>
      </c>
    </row>
    <row r="12" spans="1:25" x14ac:dyDescent="0.3">
      <c r="A12" t="s">
        <v>185</v>
      </c>
      <c r="J12" t="s">
        <v>148</v>
      </c>
      <c r="K12" s="5">
        <v>0</v>
      </c>
      <c r="L12" s="6">
        <v>1</v>
      </c>
      <c r="M12" s="6">
        <v>1</v>
      </c>
      <c r="N12" s="6">
        <v>1</v>
      </c>
      <c r="O12" s="6">
        <v>1</v>
      </c>
      <c r="P12" s="5">
        <v>0</v>
      </c>
      <c r="Q12" s="5">
        <v>0</v>
      </c>
      <c r="R12" s="5"/>
      <c r="S12" s="5">
        <v>1</v>
      </c>
      <c r="V12" t="s">
        <v>16</v>
      </c>
      <c r="W12">
        <f>SUMPRODUCT(S3:S15,N3:N15)</f>
        <v>3</v>
      </c>
      <c r="X12" t="s">
        <v>12</v>
      </c>
      <c r="Y12">
        <v>3</v>
      </c>
    </row>
    <row r="13" spans="1:25" x14ac:dyDescent="0.3">
      <c r="A13" t="s">
        <v>186</v>
      </c>
      <c r="J13" t="s">
        <v>149</v>
      </c>
      <c r="K13">
        <v>0</v>
      </c>
      <c r="L13">
        <v>1</v>
      </c>
      <c r="M13">
        <v>1</v>
      </c>
      <c r="N13">
        <v>0</v>
      </c>
      <c r="O13">
        <v>0</v>
      </c>
      <c r="P13">
        <v>1</v>
      </c>
      <c r="Q13">
        <v>0</v>
      </c>
      <c r="S13">
        <v>0</v>
      </c>
      <c r="V13" t="s">
        <v>172</v>
      </c>
      <c r="W13">
        <f>SUMPRODUCT(S3:S15,O3:O15)</f>
        <v>2</v>
      </c>
      <c r="X13" t="s">
        <v>12</v>
      </c>
      <c r="Y13">
        <v>2</v>
      </c>
    </row>
    <row r="14" spans="1:25" x14ac:dyDescent="0.3">
      <c r="A14" s="9" t="s">
        <v>187</v>
      </c>
      <c r="J14" t="s">
        <v>150</v>
      </c>
      <c r="K14">
        <v>0</v>
      </c>
      <c r="L14">
        <v>0</v>
      </c>
      <c r="M14">
        <v>0</v>
      </c>
      <c r="N14">
        <v>0</v>
      </c>
      <c r="O14">
        <v>1</v>
      </c>
      <c r="P14">
        <v>1</v>
      </c>
      <c r="Q14">
        <v>0</v>
      </c>
      <c r="S14">
        <v>0</v>
      </c>
      <c r="V14" t="s">
        <v>173</v>
      </c>
      <c r="W14">
        <f>SUMPRODUCT(P3:P15,S3:S15)</f>
        <v>2</v>
      </c>
      <c r="X14" t="s">
        <v>12</v>
      </c>
      <c r="Y14">
        <v>2</v>
      </c>
    </row>
    <row r="15" spans="1:25" x14ac:dyDescent="0.3">
      <c r="A15" s="9" t="s">
        <v>188</v>
      </c>
      <c r="J15" t="s">
        <v>175</v>
      </c>
      <c r="K15" s="5">
        <v>0</v>
      </c>
      <c r="L15" s="5">
        <v>0</v>
      </c>
      <c r="M15" s="5">
        <v>0</v>
      </c>
      <c r="N15" s="5">
        <v>0</v>
      </c>
      <c r="O15" s="5">
        <v>0</v>
      </c>
      <c r="P15" s="5">
        <v>0</v>
      </c>
      <c r="Q15" s="7">
        <v>1</v>
      </c>
      <c r="R15" s="5"/>
      <c r="S15" s="5">
        <v>1</v>
      </c>
      <c r="V15" t="s">
        <v>174</v>
      </c>
      <c r="W15">
        <f>SUMPRODUCT(S3:S15,Q3:Q15)</f>
        <v>1</v>
      </c>
      <c r="X15" t="s">
        <v>12</v>
      </c>
      <c r="Y15">
        <v>1</v>
      </c>
    </row>
    <row r="16" spans="1:25" x14ac:dyDescent="0.3">
      <c r="A16" s="9" t="s">
        <v>189</v>
      </c>
    </row>
    <row r="17" spans="1:23" x14ac:dyDescent="0.3">
      <c r="A17" s="9" t="s">
        <v>190</v>
      </c>
      <c r="K17" t="s">
        <v>13</v>
      </c>
      <c r="L17" t="s">
        <v>14</v>
      </c>
      <c r="M17" t="s">
        <v>15</v>
      </c>
      <c r="N17" t="s">
        <v>16</v>
      </c>
      <c r="O17" t="s">
        <v>17</v>
      </c>
      <c r="P17" t="s">
        <v>18</v>
      </c>
      <c r="Q17" t="s">
        <v>174</v>
      </c>
    </row>
    <row r="18" spans="1:23" x14ac:dyDescent="0.3">
      <c r="A18" s="9" t="s">
        <v>191</v>
      </c>
      <c r="J18" t="s">
        <v>19</v>
      </c>
      <c r="K18">
        <v>2</v>
      </c>
      <c r="L18">
        <v>3</v>
      </c>
      <c r="M18">
        <v>4</v>
      </c>
      <c r="N18">
        <v>3</v>
      </c>
      <c r="O18">
        <v>2</v>
      </c>
      <c r="P18">
        <v>2</v>
      </c>
      <c r="Q18">
        <v>1</v>
      </c>
    </row>
    <row r="19" spans="1:23" x14ac:dyDescent="0.3">
      <c r="A19" s="9" t="s">
        <v>192</v>
      </c>
      <c r="V19" s="1" t="s">
        <v>135</v>
      </c>
    </row>
    <row r="20" spans="1:23" x14ac:dyDescent="0.3">
      <c r="A20" s="9" t="s">
        <v>193</v>
      </c>
      <c r="W20" t="s">
        <v>151</v>
      </c>
    </row>
    <row r="21" spans="1:23" x14ac:dyDescent="0.3">
      <c r="A21" t="s">
        <v>181</v>
      </c>
      <c r="W21" t="s">
        <v>152</v>
      </c>
    </row>
    <row r="22" spans="1:23" x14ac:dyDescent="0.3">
      <c r="A22" t="s">
        <v>194</v>
      </c>
      <c r="W22" t="s">
        <v>153</v>
      </c>
    </row>
    <row r="23" spans="1:23" x14ac:dyDescent="0.3">
      <c r="A23" s="1" t="s">
        <v>182</v>
      </c>
    </row>
    <row r="24" spans="1:23" x14ac:dyDescent="0.3">
      <c r="A24" s="8" t="s">
        <v>195</v>
      </c>
      <c r="V24" s="1" t="s">
        <v>179</v>
      </c>
    </row>
    <row r="25" spans="1:23" x14ac:dyDescent="0.3">
      <c r="A25" s="8" t="s">
        <v>196</v>
      </c>
      <c r="V25" t="s">
        <v>154</v>
      </c>
      <c r="W25" s="3" t="s">
        <v>155</v>
      </c>
    </row>
    <row r="26" spans="1:23" x14ac:dyDescent="0.3">
      <c r="A26" s="8" t="s">
        <v>197</v>
      </c>
      <c r="W26" t="s">
        <v>164</v>
      </c>
    </row>
    <row r="27" spans="1:23" x14ac:dyDescent="0.3">
      <c r="W27" t="s">
        <v>165</v>
      </c>
    </row>
    <row r="29" spans="1:23" x14ac:dyDescent="0.3">
      <c r="V29" s="1" t="s">
        <v>157</v>
      </c>
    </row>
    <row r="30" spans="1:23" x14ac:dyDescent="0.3">
      <c r="W30" t="s">
        <v>158</v>
      </c>
    </row>
    <row r="31" spans="1:23" x14ac:dyDescent="0.3">
      <c r="W31" t="s">
        <v>159</v>
      </c>
    </row>
    <row r="32" spans="1:23" x14ac:dyDescent="0.3">
      <c r="W32" t="s">
        <v>160</v>
      </c>
    </row>
    <row r="33" spans="23:23" x14ac:dyDescent="0.3">
      <c r="W33" t="s">
        <v>161</v>
      </c>
    </row>
    <row r="34" spans="23:23" x14ac:dyDescent="0.3">
      <c r="W34" t="s">
        <v>162</v>
      </c>
    </row>
    <row r="35" spans="23:23" x14ac:dyDescent="0.3">
      <c r="W35" t="s">
        <v>163</v>
      </c>
    </row>
    <row r="36" spans="23:23" x14ac:dyDescent="0.3">
      <c r="W36" t="s">
        <v>176</v>
      </c>
    </row>
    <row r="38" spans="23:23" x14ac:dyDescent="0.3">
      <c r="W38" t="s">
        <v>178</v>
      </c>
    </row>
    <row r="39" spans="23:23" x14ac:dyDescent="0.3">
      <c r="W39" t="s">
        <v>177</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E89A8-FC0C-490E-A143-D15245A54CD3}">
  <dimension ref="C1:U39"/>
  <sheetViews>
    <sheetView topLeftCell="A10" zoomScale="71" zoomScaleNormal="71" workbookViewId="0">
      <selection activeCell="P19" sqref="P19:R40"/>
    </sheetView>
  </sheetViews>
  <sheetFormatPr defaultRowHeight="14.4" x14ac:dyDescent="0.3"/>
  <sheetData>
    <row r="1" spans="3:21" x14ac:dyDescent="0.3">
      <c r="P1" s="17" t="s">
        <v>225</v>
      </c>
      <c r="Q1" s="17"/>
      <c r="R1" s="17"/>
      <c r="U1" t="s">
        <v>235</v>
      </c>
    </row>
    <row r="2" spans="3:21" x14ac:dyDescent="0.3">
      <c r="C2" t="s">
        <v>138</v>
      </c>
      <c r="D2" t="s">
        <v>13</v>
      </c>
      <c r="E2" t="s">
        <v>14</v>
      </c>
      <c r="F2" t="s">
        <v>15</v>
      </c>
      <c r="G2" t="s">
        <v>16</v>
      </c>
      <c r="H2" t="s">
        <v>17</v>
      </c>
      <c r="I2" t="s">
        <v>18</v>
      </c>
      <c r="J2" t="s">
        <v>174</v>
      </c>
      <c r="K2" t="s">
        <v>230</v>
      </c>
      <c r="M2" t="s">
        <v>231</v>
      </c>
      <c r="P2" t="s">
        <v>97</v>
      </c>
      <c r="U2">
        <f>SUMPRODUCT(K3:K15,M3:M15)</f>
        <v>42</v>
      </c>
    </row>
    <row r="3" spans="3:21" x14ac:dyDescent="0.3">
      <c r="C3" t="s">
        <v>139</v>
      </c>
      <c r="D3" s="6">
        <v>1</v>
      </c>
      <c r="E3" s="6">
        <v>1</v>
      </c>
      <c r="F3" s="6">
        <v>1</v>
      </c>
      <c r="G3" s="6">
        <v>1</v>
      </c>
      <c r="H3" s="5">
        <v>0</v>
      </c>
      <c r="I3" s="5">
        <v>0</v>
      </c>
      <c r="J3" s="5">
        <v>0</v>
      </c>
      <c r="K3" s="5">
        <v>7</v>
      </c>
      <c r="L3" s="5"/>
      <c r="M3" s="5">
        <v>1</v>
      </c>
    </row>
    <row r="4" spans="3:21" x14ac:dyDescent="0.3">
      <c r="C4" t="s">
        <v>140</v>
      </c>
      <c r="D4">
        <v>0</v>
      </c>
      <c r="E4">
        <v>1</v>
      </c>
      <c r="F4">
        <v>1</v>
      </c>
      <c r="G4">
        <v>1</v>
      </c>
      <c r="H4">
        <v>0</v>
      </c>
      <c r="I4">
        <v>0</v>
      </c>
      <c r="J4">
        <v>0</v>
      </c>
      <c r="K4">
        <v>4</v>
      </c>
      <c r="M4">
        <v>1</v>
      </c>
      <c r="P4" t="s">
        <v>167</v>
      </c>
      <c r="Q4">
        <f>SUM(M3:M15)</f>
        <v>7</v>
      </c>
    </row>
    <row r="5" spans="3:21" x14ac:dyDescent="0.3">
      <c r="C5" t="s">
        <v>141</v>
      </c>
      <c r="D5" s="5">
        <v>0</v>
      </c>
      <c r="E5" s="5">
        <v>0</v>
      </c>
      <c r="F5" s="6">
        <v>1</v>
      </c>
      <c r="G5" s="5">
        <v>1</v>
      </c>
      <c r="H5" s="5">
        <v>0</v>
      </c>
      <c r="I5" s="6">
        <v>1</v>
      </c>
      <c r="J5" s="6">
        <v>0</v>
      </c>
      <c r="K5" s="6">
        <v>9</v>
      </c>
      <c r="L5" s="5"/>
      <c r="M5" s="5">
        <v>0</v>
      </c>
    </row>
    <row r="6" spans="3:21" x14ac:dyDescent="0.3">
      <c r="C6" t="s">
        <v>142</v>
      </c>
      <c r="D6">
        <v>0</v>
      </c>
      <c r="E6">
        <v>1</v>
      </c>
      <c r="F6">
        <v>1</v>
      </c>
      <c r="G6">
        <v>0</v>
      </c>
      <c r="H6">
        <v>0</v>
      </c>
      <c r="I6">
        <v>1</v>
      </c>
      <c r="J6">
        <v>0</v>
      </c>
      <c r="K6">
        <v>5</v>
      </c>
      <c r="M6">
        <v>0</v>
      </c>
    </row>
    <row r="7" spans="3:21" x14ac:dyDescent="0.3">
      <c r="C7" t="s">
        <v>143</v>
      </c>
      <c r="D7">
        <v>1</v>
      </c>
      <c r="E7">
        <v>1</v>
      </c>
      <c r="F7">
        <v>0</v>
      </c>
      <c r="G7">
        <v>0</v>
      </c>
      <c r="H7">
        <v>1</v>
      </c>
      <c r="I7">
        <v>0</v>
      </c>
      <c r="J7">
        <v>0</v>
      </c>
      <c r="K7">
        <v>5</v>
      </c>
      <c r="M7">
        <v>1</v>
      </c>
      <c r="P7" t="s">
        <v>168</v>
      </c>
    </row>
    <row r="8" spans="3:21" x14ac:dyDescent="0.3">
      <c r="C8" t="s">
        <v>144</v>
      </c>
      <c r="D8">
        <v>0</v>
      </c>
      <c r="E8">
        <v>0</v>
      </c>
      <c r="F8">
        <v>1</v>
      </c>
      <c r="G8">
        <v>1</v>
      </c>
      <c r="H8">
        <v>1</v>
      </c>
      <c r="I8">
        <v>0</v>
      </c>
      <c r="J8">
        <v>0</v>
      </c>
      <c r="K8">
        <v>5</v>
      </c>
      <c r="M8">
        <v>1</v>
      </c>
      <c r="Q8" t="s">
        <v>169</v>
      </c>
      <c r="S8" t="s">
        <v>19</v>
      </c>
    </row>
    <row r="9" spans="3:21" x14ac:dyDescent="0.3">
      <c r="C9" t="s">
        <v>145</v>
      </c>
      <c r="D9" s="6">
        <v>1</v>
      </c>
      <c r="E9" s="6">
        <v>1</v>
      </c>
      <c r="F9" s="6">
        <v>1</v>
      </c>
      <c r="G9" s="5">
        <v>0</v>
      </c>
      <c r="H9" s="6">
        <v>1</v>
      </c>
      <c r="I9" s="6">
        <v>1</v>
      </c>
      <c r="J9" s="6">
        <v>0</v>
      </c>
      <c r="K9" s="6">
        <v>12</v>
      </c>
      <c r="L9" s="5"/>
      <c r="M9" s="5">
        <v>0</v>
      </c>
      <c r="P9" t="s">
        <v>13</v>
      </c>
      <c r="Q9">
        <f>SUMPRODUCT(M3:M15,D3:D15)</f>
        <v>2</v>
      </c>
      <c r="R9" t="s">
        <v>12</v>
      </c>
      <c r="S9">
        <v>2</v>
      </c>
    </row>
    <row r="10" spans="3:21" x14ac:dyDescent="0.3">
      <c r="C10" t="s">
        <v>146</v>
      </c>
      <c r="D10">
        <v>0</v>
      </c>
      <c r="E10">
        <v>1</v>
      </c>
      <c r="F10">
        <v>0</v>
      </c>
      <c r="G10">
        <v>1</v>
      </c>
      <c r="H10">
        <v>0</v>
      </c>
      <c r="I10">
        <v>0</v>
      </c>
      <c r="J10">
        <v>0</v>
      </c>
      <c r="K10">
        <v>5</v>
      </c>
      <c r="M10">
        <v>0</v>
      </c>
      <c r="P10" t="s">
        <v>170</v>
      </c>
      <c r="Q10">
        <f>SUMPRODUCT(M3:M15,E3:E15)</f>
        <v>4</v>
      </c>
      <c r="R10" t="s">
        <v>12</v>
      </c>
      <c r="S10">
        <v>3</v>
      </c>
    </row>
    <row r="11" spans="3:21" x14ac:dyDescent="0.3">
      <c r="C11" t="s">
        <v>147</v>
      </c>
      <c r="D11">
        <v>0</v>
      </c>
      <c r="E11">
        <v>0</v>
      </c>
      <c r="F11">
        <v>1</v>
      </c>
      <c r="G11">
        <v>0</v>
      </c>
      <c r="H11">
        <v>0</v>
      </c>
      <c r="I11">
        <v>1</v>
      </c>
      <c r="J11">
        <v>0</v>
      </c>
      <c r="K11">
        <v>5</v>
      </c>
      <c r="M11">
        <v>0</v>
      </c>
      <c r="P11" t="s">
        <v>171</v>
      </c>
      <c r="Q11">
        <f>SUMPRODUCT(M3:M14,F3:F14)</f>
        <v>4</v>
      </c>
      <c r="R11" t="s">
        <v>12</v>
      </c>
      <c r="S11">
        <v>4</v>
      </c>
    </row>
    <row r="12" spans="3:21" x14ac:dyDescent="0.3">
      <c r="C12" t="s">
        <v>148</v>
      </c>
      <c r="D12" s="5">
        <v>0</v>
      </c>
      <c r="E12" s="6">
        <v>1</v>
      </c>
      <c r="F12" s="6">
        <v>1</v>
      </c>
      <c r="G12" s="6">
        <v>1</v>
      </c>
      <c r="H12" s="6">
        <v>1</v>
      </c>
      <c r="I12" s="5">
        <v>0</v>
      </c>
      <c r="J12" s="5">
        <v>0</v>
      </c>
      <c r="K12" s="5">
        <v>14</v>
      </c>
      <c r="L12" s="5"/>
      <c r="M12" s="5">
        <v>0</v>
      </c>
      <c r="P12" t="s">
        <v>16</v>
      </c>
      <c r="Q12">
        <f>SUMPRODUCT(M3:M15,G3:G15)</f>
        <v>3</v>
      </c>
      <c r="R12" t="s">
        <v>12</v>
      </c>
      <c r="S12">
        <v>3</v>
      </c>
    </row>
    <row r="13" spans="3:21" x14ac:dyDescent="0.3">
      <c r="C13" t="s">
        <v>149</v>
      </c>
      <c r="D13">
        <v>0</v>
      </c>
      <c r="E13">
        <v>1</v>
      </c>
      <c r="F13">
        <v>1</v>
      </c>
      <c r="G13">
        <v>0</v>
      </c>
      <c r="H13">
        <v>0</v>
      </c>
      <c r="I13">
        <v>1</v>
      </c>
      <c r="J13">
        <v>0</v>
      </c>
      <c r="K13">
        <v>3</v>
      </c>
      <c r="M13">
        <v>1</v>
      </c>
      <c r="P13" t="s">
        <v>172</v>
      </c>
      <c r="Q13">
        <f>SUMPRODUCT(M3:M15,H3:H15)</f>
        <v>3</v>
      </c>
      <c r="R13" t="s">
        <v>12</v>
      </c>
      <c r="S13">
        <v>2</v>
      </c>
    </row>
    <row r="14" spans="3:21" x14ac:dyDescent="0.3">
      <c r="C14" t="s">
        <v>150</v>
      </c>
      <c r="D14">
        <v>0</v>
      </c>
      <c r="E14">
        <v>0</v>
      </c>
      <c r="F14">
        <v>0</v>
      </c>
      <c r="G14">
        <v>0</v>
      </c>
      <c r="H14">
        <v>1</v>
      </c>
      <c r="I14">
        <v>1</v>
      </c>
      <c r="J14">
        <v>0</v>
      </c>
      <c r="K14">
        <v>3</v>
      </c>
      <c r="M14">
        <v>1</v>
      </c>
      <c r="P14" t="s">
        <v>173</v>
      </c>
      <c r="Q14">
        <f>SUMPRODUCT(I3:I15,M3:M15)</f>
        <v>2</v>
      </c>
      <c r="R14" t="s">
        <v>12</v>
      </c>
      <c r="S14">
        <v>2</v>
      </c>
    </row>
    <row r="15" spans="3:21" x14ac:dyDescent="0.3">
      <c r="C15" t="s">
        <v>175</v>
      </c>
      <c r="D15" s="5">
        <v>0</v>
      </c>
      <c r="E15" s="5">
        <v>0</v>
      </c>
      <c r="F15" s="5">
        <v>0</v>
      </c>
      <c r="G15" s="5">
        <v>0</v>
      </c>
      <c r="H15" s="5">
        <v>0</v>
      </c>
      <c r="I15" s="5">
        <v>0</v>
      </c>
      <c r="J15" s="7">
        <v>1</v>
      </c>
      <c r="K15" s="7">
        <v>15</v>
      </c>
      <c r="L15" s="5"/>
      <c r="M15" s="5">
        <v>1</v>
      </c>
      <c r="P15" t="s">
        <v>174</v>
      </c>
      <c r="Q15">
        <f>SUMPRODUCT(M3:M15,J3:J15)</f>
        <v>1</v>
      </c>
      <c r="R15" t="s">
        <v>12</v>
      </c>
      <c r="S15">
        <v>1</v>
      </c>
    </row>
    <row r="17" spans="3:17" x14ac:dyDescent="0.3">
      <c r="D17" t="s">
        <v>13</v>
      </c>
      <c r="E17" t="s">
        <v>14</v>
      </c>
      <c r="F17" t="s">
        <v>15</v>
      </c>
      <c r="G17" t="s">
        <v>16</v>
      </c>
      <c r="H17" t="s">
        <v>17</v>
      </c>
      <c r="I17" t="s">
        <v>18</v>
      </c>
      <c r="J17" t="s">
        <v>174</v>
      </c>
    </row>
    <row r="18" spans="3:17" x14ac:dyDescent="0.3">
      <c r="C18" t="s">
        <v>19</v>
      </c>
      <c r="D18">
        <v>2</v>
      </c>
      <c r="E18">
        <v>3</v>
      </c>
      <c r="F18">
        <v>4</v>
      </c>
      <c r="G18">
        <v>3</v>
      </c>
      <c r="H18">
        <v>2</v>
      </c>
      <c r="I18">
        <v>2</v>
      </c>
      <c r="J18">
        <v>1</v>
      </c>
    </row>
    <row r="19" spans="3:17" x14ac:dyDescent="0.3">
      <c r="P19" s="1" t="s">
        <v>135</v>
      </c>
    </row>
    <row r="20" spans="3:17" x14ac:dyDescent="0.3">
      <c r="Q20" t="s">
        <v>151</v>
      </c>
    </row>
    <row r="21" spans="3:17" x14ac:dyDescent="0.3">
      <c r="E21" t="s">
        <v>20</v>
      </c>
      <c r="Q21" t="s">
        <v>152</v>
      </c>
    </row>
    <row r="22" spans="3:17" x14ac:dyDescent="0.3">
      <c r="Q22" t="s">
        <v>153</v>
      </c>
    </row>
    <row r="24" spans="3:17" x14ac:dyDescent="0.3">
      <c r="P24" s="1" t="s">
        <v>179</v>
      </c>
    </row>
    <row r="25" spans="3:17" x14ac:dyDescent="0.3">
      <c r="P25" t="s">
        <v>239</v>
      </c>
      <c r="Q25" s="3" t="s">
        <v>229</v>
      </c>
    </row>
    <row r="26" spans="3:17" x14ac:dyDescent="0.3">
      <c r="Q26" t="s">
        <v>164</v>
      </c>
    </row>
    <row r="27" spans="3:17" x14ac:dyDescent="0.3">
      <c r="Q27" t="s">
        <v>165</v>
      </c>
    </row>
    <row r="29" spans="3:17" x14ac:dyDescent="0.3">
      <c r="P29" s="1" t="s">
        <v>157</v>
      </c>
    </row>
    <row r="30" spans="3:17" x14ac:dyDescent="0.3">
      <c r="Q30" t="s">
        <v>158</v>
      </c>
    </row>
    <row r="31" spans="3:17" x14ac:dyDescent="0.3">
      <c r="Q31" t="s">
        <v>159</v>
      </c>
    </row>
    <row r="32" spans="3:17" x14ac:dyDescent="0.3">
      <c r="Q32" t="s">
        <v>160</v>
      </c>
    </row>
    <row r="33" spans="17:17" x14ac:dyDescent="0.3">
      <c r="Q33" t="s">
        <v>161</v>
      </c>
    </row>
    <row r="34" spans="17:17" x14ac:dyDescent="0.3">
      <c r="Q34" t="s">
        <v>162</v>
      </c>
    </row>
    <row r="35" spans="17:17" x14ac:dyDescent="0.3">
      <c r="Q35" t="s">
        <v>163</v>
      </c>
    </row>
    <row r="36" spans="17:17" x14ac:dyDescent="0.3">
      <c r="Q36" t="s">
        <v>176</v>
      </c>
    </row>
    <row r="38" spans="17:17" x14ac:dyDescent="0.3">
      <c r="Q38" t="s">
        <v>178</v>
      </c>
    </row>
    <row r="39" spans="17:17" x14ac:dyDescent="0.3">
      <c r="Q39" t="s">
        <v>177</v>
      </c>
    </row>
  </sheetData>
  <mergeCells count="1">
    <mergeCell ref="P1:R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361E8-3FC1-497A-9797-02EA5071B985}">
  <dimension ref="K1:Q30"/>
  <sheetViews>
    <sheetView zoomScale="70" zoomScaleNormal="70" workbookViewId="0">
      <selection activeCell="K21" sqref="K21"/>
    </sheetView>
  </sheetViews>
  <sheetFormatPr defaultRowHeight="14.4" x14ac:dyDescent="0.3"/>
  <cols>
    <col min="12" max="12" width="19.69921875" customWidth="1"/>
    <col min="16" max="16" width="12.796875" customWidth="1"/>
  </cols>
  <sheetData>
    <row r="1" spans="11:17" x14ac:dyDescent="0.3">
      <c r="K1" s="17" t="s">
        <v>234</v>
      </c>
      <c r="L1" s="17"/>
      <c r="M1" s="17"/>
      <c r="N1" s="17"/>
      <c r="O1" s="17"/>
      <c r="P1" s="17"/>
      <c r="Q1" s="17"/>
    </row>
    <row r="2" spans="11:17" x14ac:dyDescent="0.3">
      <c r="N2" t="s">
        <v>243</v>
      </c>
      <c r="P2" t="s">
        <v>240</v>
      </c>
    </row>
    <row r="3" spans="11:17" x14ac:dyDescent="0.3">
      <c r="M3" t="s">
        <v>202</v>
      </c>
      <c r="N3" t="s">
        <v>203</v>
      </c>
      <c r="P3" t="s">
        <v>156</v>
      </c>
    </row>
    <row r="4" spans="11:17" x14ac:dyDescent="0.3">
      <c r="L4" t="s">
        <v>198</v>
      </c>
      <c r="M4">
        <v>40</v>
      </c>
      <c r="N4">
        <v>0.09</v>
      </c>
      <c r="P4">
        <v>1</v>
      </c>
    </row>
    <row r="5" spans="11:17" x14ac:dyDescent="0.3">
      <c r="L5" t="s">
        <v>199</v>
      </c>
      <c r="M5">
        <v>30</v>
      </c>
      <c r="N5">
        <v>0.06</v>
      </c>
      <c r="P5">
        <v>1</v>
      </c>
    </row>
    <row r="6" spans="11:17" x14ac:dyDescent="0.3">
      <c r="L6" t="s">
        <v>200</v>
      </c>
      <c r="M6">
        <v>50</v>
      </c>
      <c r="N6">
        <v>0.08</v>
      </c>
      <c r="P6">
        <v>0</v>
      </c>
    </row>
    <row r="7" spans="11:17" x14ac:dyDescent="0.3">
      <c r="L7" t="s">
        <v>201</v>
      </c>
      <c r="M7">
        <v>20</v>
      </c>
      <c r="N7">
        <v>0.05</v>
      </c>
      <c r="P7">
        <v>1</v>
      </c>
    </row>
    <row r="9" spans="11:17" x14ac:dyDescent="0.3">
      <c r="P9" t="s">
        <v>236</v>
      </c>
    </row>
    <row r="10" spans="11:17" x14ac:dyDescent="0.3">
      <c r="P10" t="s">
        <v>237</v>
      </c>
      <c r="Q10">
        <f>SUMPRODUCT(N4:N7,P4:P7)</f>
        <v>0.2</v>
      </c>
    </row>
    <row r="12" spans="11:17" x14ac:dyDescent="0.3">
      <c r="O12" t="s">
        <v>238</v>
      </c>
    </row>
    <row r="13" spans="11:17" x14ac:dyDescent="0.3">
      <c r="O13">
        <f>SUMPRODUCT(M4:M7,P4:P7)</f>
        <v>90</v>
      </c>
      <c r="P13" t="s">
        <v>45</v>
      </c>
      <c r="Q13">
        <v>90</v>
      </c>
    </row>
    <row r="16" spans="11:17" x14ac:dyDescent="0.3">
      <c r="P16" s="1" t="s">
        <v>135</v>
      </c>
    </row>
    <row r="17" spans="16:17" x14ac:dyDescent="0.3">
      <c r="Q17" t="s">
        <v>151</v>
      </c>
    </row>
    <row r="18" spans="16:17" x14ac:dyDescent="0.3">
      <c r="Q18" t="s">
        <v>241</v>
      </c>
    </row>
    <row r="19" spans="16:17" x14ac:dyDescent="0.3">
      <c r="Q19" t="s">
        <v>242</v>
      </c>
    </row>
    <row r="21" spans="16:17" x14ac:dyDescent="0.3">
      <c r="P21" s="1" t="s">
        <v>179</v>
      </c>
    </row>
    <row r="22" spans="16:17" x14ac:dyDescent="0.3">
      <c r="P22" t="s">
        <v>247</v>
      </c>
      <c r="Q22" s="3" t="s">
        <v>244</v>
      </c>
    </row>
    <row r="23" spans="16:17" x14ac:dyDescent="0.3">
      <c r="Q23" t="s">
        <v>164</v>
      </c>
    </row>
    <row r="24" spans="16:17" x14ac:dyDescent="0.3">
      <c r="Q24" t="s">
        <v>245</v>
      </c>
    </row>
    <row r="26" spans="16:17" x14ac:dyDescent="0.3">
      <c r="P26" s="1" t="s">
        <v>157</v>
      </c>
    </row>
    <row r="27" spans="16:17" x14ac:dyDescent="0.3">
      <c r="Q27" t="s">
        <v>246</v>
      </c>
    </row>
    <row r="29" spans="16:17" x14ac:dyDescent="0.3">
      <c r="Q29" t="s">
        <v>178</v>
      </c>
    </row>
    <row r="30" spans="16:17" x14ac:dyDescent="0.3">
      <c r="Q30" t="s">
        <v>177</v>
      </c>
    </row>
  </sheetData>
  <mergeCells count="1">
    <mergeCell ref="K1:Q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CC3D9-A9E7-4E19-911D-2FA847CD6AE2}">
  <dimension ref="B1:W31"/>
  <sheetViews>
    <sheetView topLeftCell="E7" workbookViewId="0">
      <selection activeCell="W23" sqref="W23"/>
    </sheetView>
  </sheetViews>
  <sheetFormatPr defaultRowHeight="14.4" x14ac:dyDescent="0.3"/>
  <sheetData>
    <row r="1" spans="2:23" x14ac:dyDescent="0.3">
      <c r="I1" s="17" t="s">
        <v>233</v>
      </c>
      <c r="J1" s="17"/>
      <c r="K1" s="17"/>
      <c r="L1" s="17"/>
      <c r="M1" s="17"/>
    </row>
    <row r="3" spans="2:23" ht="14.4" customHeight="1" x14ac:dyDescent="0.3">
      <c r="B3" s="18" t="s">
        <v>212</v>
      </c>
      <c r="C3" s="18"/>
      <c r="D3" s="18"/>
      <c r="E3" s="18"/>
      <c r="F3" s="18"/>
      <c r="I3" s="10" t="s">
        <v>213</v>
      </c>
      <c r="J3" s="10" t="s">
        <v>214</v>
      </c>
      <c r="K3" s="10" t="s">
        <v>215</v>
      </c>
      <c r="L3" s="10" t="s">
        <v>216</v>
      </c>
      <c r="M3" s="10" t="s">
        <v>217</v>
      </c>
    </row>
    <row r="4" spans="2:23" ht="14.4" customHeight="1" x14ac:dyDescent="0.3">
      <c r="B4" s="18"/>
      <c r="C4" s="18"/>
      <c r="D4" s="18"/>
      <c r="E4" s="18"/>
      <c r="F4" s="18"/>
      <c r="I4" s="11" t="s">
        <v>218</v>
      </c>
      <c r="J4" s="11">
        <v>1</v>
      </c>
      <c r="K4" s="11">
        <v>0</v>
      </c>
      <c r="L4" s="11">
        <v>1</v>
      </c>
      <c r="M4" s="11">
        <v>0</v>
      </c>
    </row>
    <row r="5" spans="2:23" ht="14.4" customHeight="1" x14ac:dyDescent="0.3">
      <c r="B5" s="18"/>
      <c r="C5" s="18"/>
      <c r="D5" s="18"/>
      <c r="E5" s="18"/>
      <c r="F5" s="18"/>
      <c r="I5" s="11" t="s">
        <v>219</v>
      </c>
      <c r="J5" s="11">
        <v>1</v>
      </c>
      <c r="K5" s="11">
        <v>1</v>
      </c>
      <c r="L5" s="11">
        <v>0</v>
      </c>
      <c r="M5" s="11">
        <v>0</v>
      </c>
    </row>
    <row r="6" spans="2:23" ht="14.4" customHeight="1" x14ac:dyDescent="0.3">
      <c r="B6" s="18"/>
      <c r="C6" s="18"/>
      <c r="D6" s="18"/>
      <c r="E6" s="18"/>
      <c r="F6" s="18"/>
      <c r="I6" s="11" t="s">
        <v>220</v>
      </c>
      <c r="J6" s="11">
        <v>0</v>
      </c>
      <c r="K6" s="11">
        <v>1</v>
      </c>
      <c r="L6" s="11">
        <v>1</v>
      </c>
      <c r="M6" s="11">
        <v>0</v>
      </c>
    </row>
    <row r="7" spans="2:23" ht="14.4" customHeight="1" x14ac:dyDescent="0.3">
      <c r="B7" s="18"/>
      <c r="C7" s="18"/>
      <c r="D7" s="18"/>
      <c r="E7" s="18"/>
      <c r="F7" s="18"/>
      <c r="I7" s="11" t="s">
        <v>221</v>
      </c>
      <c r="J7" s="11">
        <v>0</v>
      </c>
      <c r="K7" s="11">
        <v>0</v>
      </c>
      <c r="L7" s="11">
        <v>1</v>
      </c>
      <c r="M7" s="11">
        <v>1</v>
      </c>
    </row>
    <row r="8" spans="2:23" ht="14.4" customHeight="1" x14ac:dyDescent="0.3">
      <c r="B8" s="18"/>
      <c r="C8" s="18"/>
      <c r="D8" s="18"/>
      <c r="E8" s="18"/>
      <c r="F8" s="18"/>
      <c r="I8" s="11" t="s">
        <v>222</v>
      </c>
      <c r="J8" s="11">
        <v>0</v>
      </c>
      <c r="K8" s="11">
        <v>1</v>
      </c>
      <c r="L8" s="11">
        <v>0</v>
      </c>
      <c r="M8" s="11">
        <v>1</v>
      </c>
    </row>
    <row r="9" spans="2:23" ht="14.4" customHeight="1" x14ac:dyDescent="0.3">
      <c r="B9" s="18"/>
      <c r="C9" s="18"/>
      <c r="D9" s="18"/>
      <c r="E9" s="18"/>
      <c r="F9" s="18"/>
      <c r="I9" s="11" t="s">
        <v>223</v>
      </c>
      <c r="J9" s="11">
        <v>1</v>
      </c>
      <c r="K9" s="11">
        <v>0</v>
      </c>
      <c r="L9" s="11">
        <v>0</v>
      </c>
      <c r="M9" s="11">
        <v>1</v>
      </c>
    </row>
    <row r="10" spans="2:23" ht="14.4" customHeight="1" x14ac:dyDescent="0.3">
      <c r="B10" s="18"/>
      <c r="C10" s="18"/>
      <c r="D10" s="18"/>
      <c r="E10" s="18"/>
      <c r="F10" s="18"/>
    </row>
    <row r="11" spans="2:23" ht="14.4" customHeight="1" x14ac:dyDescent="0.3">
      <c r="B11" s="18"/>
      <c r="C11" s="18"/>
      <c r="D11" s="18"/>
      <c r="E11" s="18"/>
      <c r="F11" s="18"/>
      <c r="V11" s="1" t="s">
        <v>135</v>
      </c>
    </row>
    <row r="12" spans="2:23" ht="14.4" customHeight="1" x14ac:dyDescent="0.3">
      <c r="B12" s="18"/>
      <c r="C12" s="18"/>
      <c r="D12" s="18"/>
      <c r="E12" s="18"/>
      <c r="F12" s="18"/>
      <c r="S12" t="s">
        <v>240</v>
      </c>
      <c r="W12" t="s">
        <v>151</v>
      </c>
    </row>
    <row r="13" spans="2:23" ht="14.4" customHeight="1" x14ac:dyDescent="0.3">
      <c r="B13" s="18"/>
      <c r="C13" s="18"/>
      <c r="D13" s="18"/>
      <c r="E13" s="18"/>
      <c r="F13" s="18"/>
      <c r="K13" s="10" t="s">
        <v>213</v>
      </c>
      <c r="L13" s="11" t="s">
        <v>218</v>
      </c>
      <c r="M13" s="11" t="s">
        <v>219</v>
      </c>
      <c r="N13" s="11" t="s">
        <v>220</v>
      </c>
      <c r="O13" s="11" t="s">
        <v>221</v>
      </c>
      <c r="P13" s="11" t="s">
        <v>222</v>
      </c>
      <c r="Q13" s="11" t="s">
        <v>223</v>
      </c>
      <c r="S13" s="11" t="s">
        <v>224</v>
      </c>
      <c r="W13" t="s">
        <v>249</v>
      </c>
    </row>
    <row r="14" spans="2:23" ht="14.4" customHeight="1" x14ac:dyDescent="0.3">
      <c r="B14" s="18"/>
      <c r="C14" s="18"/>
      <c r="D14" s="18"/>
      <c r="E14" s="18"/>
      <c r="F14" s="18"/>
      <c r="K14" s="10" t="s">
        <v>214</v>
      </c>
      <c r="L14" s="11">
        <v>1</v>
      </c>
      <c r="M14" s="11">
        <v>1</v>
      </c>
      <c r="N14" s="11">
        <v>0</v>
      </c>
      <c r="O14" s="11">
        <v>0</v>
      </c>
      <c r="P14" s="11">
        <v>0</v>
      </c>
      <c r="Q14" s="11">
        <v>1</v>
      </c>
      <c r="S14" s="11">
        <v>1</v>
      </c>
      <c r="W14" t="s">
        <v>250</v>
      </c>
    </row>
    <row r="15" spans="2:23" ht="14.4" customHeight="1" x14ac:dyDescent="0.3">
      <c r="B15" s="18"/>
      <c r="C15" s="18"/>
      <c r="D15" s="18"/>
      <c r="E15" s="18"/>
      <c r="F15" s="18"/>
      <c r="K15" s="10" t="s">
        <v>215</v>
      </c>
      <c r="L15" s="11">
        <v>0</v>
      </c>
      <c r="M15" s="11">
        <v>1</v>
      </c>
      <c r="N15" s="11">
        <v>1</v>
      </c>
      <c r="O15" s="11">
        <v>0</v>
      </c>
      <c r="P15" s="11">
        <v>1</v>
      </c>
      <c r="Q15" s="11">
        <v>0</v>
      </c>
      <c r="S15" s="11">
        <v>1</v>
      </c>
    </row>
    <row r="16" spans="2:23" ht="14.4" customHeight="1" x14ac:dyDescent="0.3">
      <c r="B16" s="18"/>
      <c r="C16" s="18"/>
      <c r="D16" s="18"/>
      <c r="E16" s="18"/>
      <c r="F16" s="18"/>
      <c r="K16" s="10" t="s">
        <v>216</v>
      </c>
      <c r="L16" s="11">
        <v>1</v>
      </c>
      <c r="M16" s="11">
        <v>0</v>
      </c>
      <c r="N16" s="11">
        <v>1</v>
      </c>
      <c r="O16" s="11">
        <v>1</v>
      </c>
      <c r="P16" s="11">
        <v>0</v>
      </c>
      <c r="Q16" s="11">
        <v>0</v>
      </c>
      <c r="S16" s="11">
        <v>0</v>
      </c>
      <c r="V16" s="1" t="s">
        <v>179</v>
      </c>
    </row>
    <row r="17" spans="2:23" ht="14.4" customHeight="1" x14ac:dyDescent="0.3">
      <c r="B17" s="18"/>
      <c r="C17" s="18"/>
      <c r="D17" s="18"/>
      <c r="E17" s="18"/>
      <c r="F17" s="18"/>
      <c r="K17" s="10" t="s">
        <v>217</v>
      </c>
      <c r="L17" s="11">
        <v>0</v>
      </c>
      <c r="M17" s="11">
        <v>0</v>
      </c>
      <c r="N17" s="11">
        <v>0</v>
      </c>
      <c r="O17" s="11">
        <v>1</v>
      </c>
      <c r="P17" s="11">
        <v>1</v>
      </c>
      <c r="Q17" s="11">
        <v>1</v>
      </c>
      <c r="S17" s="11">
        <v>1</v>
      </c>
      <c r="V17" t="s">
        <v>154</v>
      </c>
      <c r="W17" s="3" t="s">
        <v>155</v>
      </c>
    </row>
    <row r="18" spans="2:23" ht="14.4" customHeight="1" x14ac:dyDescent="0.3">
      <c r="B18" s="18"/>
      <c r="C18" s="18"/>
      <c r="D18" s="18"/>
      <c r="E18" s="18"/>
      <c r="F18" s="18"/>
      <c r="W18" t="s">
        <v>164</v>
      </c>
    </row>
    <row r="19" spans="2:23" ht="18.600000000000001" customHeight="1" x14ac:dyDescent="0.3">
      <c r="B19" s="18"/>
      <c r="C19" s="18"/>
      <c r="D19" s="18"/>
      <c r="E19" s="18"/>
      <c r="F19" s="18"/>
      <c r="L19" s="11" t="s">
        <v>218</v>
      </c>
      <c r="M19" s="11" t="s">
        <v>219</v>
      </c>
      <c r="N19" s="11" t="s">
        <v>220</v>
      </c>
      <c r="O19" s="11" t="s">
        <v>221</v>
      </c>
      <c r="P19" s="11" t="s">
        <v>222</v>
      </c>
      <c r="Q19" s="11" t="s">
        <v>223</v>
      </c>
      <c r="W19" t="s">
        <v>251</v>
      </c>
    </row>
    <row r="20" spans="2:23" x14ac:dyDescent="0.3">
      <c r="K20" s="10" t="s">
        <v>169</v>
      </c>
      <c r="L20">
        <f>SUMPRODUCT(L14:L17,$S$14:$S$17)</f>
        <v>1</v>
      </c>
      <c r="M20">
        <f t="shared" ref="M20:Q20" si="0">SUMPRODUCT(M14:M17,$S$14:$S$17)</f>
        <v>2</v>
      </c>
      <c r="N20">
        <f t="shared" si="0"/>
        <v>1</v>
      </c>
      <c r="O20">
        <f t="shared" si="0"/>
        <v>1</v>
      </c>
      <c r="P20">
        <f t="shared" si="0"/>
        <v>2</v>
      </c>
      <c r="Q20">
        <f t="shared" si="0"/>
        <v>2</v>
      </c>
      <c r="S20" t="s">
        <v>248</v>
      </c>
      <c r="T20">
        <f>SUM(S14:S17)</f>
        <v>3</v>
      </c>
    </row>
    <row r="21" spans="2:23" x14ac:dyDescent="0.3">
      <c r="L21" t="s">
        <v>12</v>
      </c>
      <c r="M21" t="s">
        <v>12</v>
      </c>
      <c r="N21" t="s">
        <v>12</v>
      </c>
      <c r="O21" t="s">
        <v>12</v>
      </c>
      <c r="P21" t="s">
        <v>12</v>
      </c>
      <c r="Q21" t="s">
        <v>12</v>
      </c>
      <c r="V21" s="1" t="s">
        <v>157</v>
      </c>
    </row>
    <row r="22" spans="2:23" x14ac:dyDescent="0.3">
      <c r="K22" t="s">
        <v>30</v>
      </c>
      <c r="L22">
        <v>1</v>
      </c>
      <c r="M22">
        <v>1</v>
      </c>
      <c r="N22">
        <v>1</v>
      </c>
      <c r="O22">
        <v>1</v>
      </c>
      <c r="P22">
        <v>1</v>
      </c>
      <c r="Q22">
        <v>1</v>
      </c>
      <c r="W22" t="s">
        <v>257</v>
      </c>
    </row>
    <row r="23" spans="2:23" x14ac:dyDescent="0.3">
      <c r="W23" t="s">
        <v>256</v>
      </c>
    </row>
    <row r="24" spans="2:23" x14ac:dyDescent="0.3">
      <c r="W24" t="s">
        <v>255</v>
      </c>
    </row>
    <row r="25" spans="2:23" x14ac:dyDescent="0.3">
      <c r="W25" t="s">
        <v>254</v>
      </c>
    </row>
    <row r="26" spans="2:23" x14ac:dyDescent="0.3">
      <c r="W26" t="s">
        <v>253</v>
      </c>
    </row>
    <row r="27" spans="2:23" x14ac:dyDescent="0.3">
      <c r="W27" t="s">
        <v>252</v>
      </c>
    </row>
    <row r="30" spans="2:23" x14ac:dyDescent="0.3">
      <c r="W30" t="s">
        <v>178</v>
      </c>
    </row>
    <row r="31" spans="2:23" x14ac:dyDescent="0.3">
      <c r="W31" t="s">
        <v>177</v>
      </c>
    </row>
  </sheetData>
  <mergeCells count="2">
    <mergeCell ref="B3:F19"/>
    <mergeCell ref="I1:M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82326-B891-403C-8A19-FB1F025A8A93}">
  <dimension ref="B1:AB39"/>
  <sheetViews>
    <sheetView tabSelected="1" topLeftCell="G16" workbookViewId="0">
      <selection activeCell="W29" sqref="W29"/>
    </sheetView>
  </sheetViews>
  <sheetFormatPr defaultRowHeight="14.4" x14ac:dyDescent="0.3"/>
  <sheetData>
    <row r="1" spans="2:28" ht="18" x14ac:dyDescent="0.3">
      <c r="I1" s="4" t="s">
        <v>211</v>
      </c>
    </row>
    <row r="3" spans="2:28" ht="15" thickBot="1" x14ac:dyDescent="0.35"/>
    <row r="4" spans="2:28" x14ac:dyDescent="0.3">
      <c r="I4" s="19" t="s">
        <v>139</v>
      </c>
      <c r="J4" s="20"/>
      <c r="K4" s="19" t="s">
        <v>140</v>
      </c>
      <c r="L4" s="20"/>
      <c r="M4" s="19" t="s">
        <v>141</v>
      </c>
      <c r="N4" s="20"/>
      <c r="O4" s="19" t="s">
        <v>142</v>
      </c>
      <c r="P4" s="20"/>
    </row>
    <row r="5" spans="2:28" ht="15" thickBot="1" x14ac:dyDescent="0.35">
      <c r="I5" s="21"/>
      <c r="J5" s="22"/>
      <c r="K5" s="21"/>
      <c r="L5" s="22"/>
      <c r="M5" s="21"/>
      <c r="N5" s="22"/>
      <c r="O5" s="21"/>
      <c r="P5" s="22"/>
    </row>
    <row r="6" spans="2:28" x14ac:dyDescent="0.3">
      <c r="I6" s="19" t="s">
        <v>143</v>
      </c>
      <c r="J6" s="20"/>
      <c r="K6" s="19" t="s">
        <v>144</v>
      </c>
      <c r="L6" s="20"/>
      <c r="M6" s="19" t="s">
        <v>145</v>
      </c>
      <c r="N6" s="20"/>
      <c r="O6" s="19" t="s">
        <v>146</v>
      </c>
      <c r="P6" s="20"/>
    </row>
    <row r="7" spans="2:28" ht="15" thickBot="1" x14ac:dyDescent="0.35">
      <c r="I7" s="21"/>
      <c r="J7" s="22"/>
      <c r="K7" s="21"/>
      <c r="L7" s="22"/>
      <c r="M7" s="21"/>
      <c r="N7" s="22"/>
      <c r="O7" s="21"/>
      <c r="P7" s="22"/>
    </row>
    <row r="8" spans="2:28" x14ac:dyDescent="0.3">
      <c r="I8" s="19" t="s">
        <v>147</v>
      </c>
      <c r="J8" s="20"/>
      <c r="K8" s="19" t="s">
        <v>148</v>
      </c>
      <c r="L8" s="20"/>
      <c r="M8" s="19" t="s">
        <v>149</v>
      </c>
      <c r="N8" s="20"/>
      <c r="O8" s="19" t="s">
        <v>150</v>
      </c>
      <c r="P8" s="20"/>
    </row>
    <row r="9" spans="2:28" ht="15" thickBot="1" x14ac:dyDescent="0.35">
      <c r="I9" s="21"/>
      <c r="J9" s="22"/>
      <c r="K9" s="21"/>
      <c r="L9" s="22"/>
      <c r="M9" s="21"/>
      <c r="N9" s="22"/>
      <c r="O9" s="21"/>
      <c r="P9" s="22"/>
    </row>
    <row r="13" spans="2:28" x14ac:dyDescent="0.3">
      <c r="W13" t="s">
        <v>240</v>
      </c>
    </row>
    <row r="14" spans="2:28" x14ac:dyDescent="0.3">
      <c r="J14" t="s">
        <v>139</v>
      </c>
      <c r="K14" t="s">
        <v>140</v>
      </c>
      <c r="L14" t="s">
        <v>141</v>
      </c>
      <c r="M14" t="s">
        <v>142</v>
      </c>
      <c r="N14" t="s">
        <v>143</v>
      </c>
      <c r="O14" t="s">
        <v>144</v>
      </c>
      <c r="P14" t="s">
        <v>145</v>
      </c>
      <c r="Q14" t="s">
        <v>146</v>
      </c>
      <c r="R14" t="s">
        <v>147</v>
      </c>
      <c r="S14" t="s">
        <v>148</v>
      </c>
      <c r="T14" t="s">
        <v>149</v>
      </c>
      <c r="U14" t="s">
        <v>150</v>
      </c>
      <c r="W14" t="s">
        <v>204</v>
      </c>
      <c r="AA14" s="1" t="s">
        <v>135</v>
      </c>
    </row>
    <row r="15" spans="2:28" x14ac:dyDescent="0.3">
      <c r="I15" t="s">
        <v>139</v>
      </c>
      <c r="J15">
        <v>1</v>
      </c>
      <c r="K15">
        <v>1</v>
      </c>
      <c r="L15">
        <v>0</v>
      </c>
      <c r="M15">
        <v>0</v>
      </c>
      <c r="N15">
        <v>1</v>
      </c>
      <c r="O15">
        <v>1</v>
      </c>
      <c r="P15">
        <v>0</v>
      </c>
      <c r="Q15">
        <v>0</v>
      </c>
      <c r="R15">
        <v>0</v>
      </c>
      <c r="S15">
        <v>0</v>
      </c>
      <c r="T15">
        <v>0</v>
      </c>
      <c r="U15">
        <v>0</v>
      </c>
      <c r="W15">
        <v>0</v>
      </c>
      <c r="AB15" t="s">
        <v>151</v>
      </c>
    </row>
    <row r="16" spans="2:28" x14ac:dyDescent="0.3">
      <c r="B16" t="s">
        <v>207</v>
      </c>
      <c r="I16" t="s">
        <v>140</v>
      </c>
      <c r="J16">
        <v>1</v>
      </c>
      <c r="K16">
        <v>1</v>
      </c>
      <c r="L16">
        <v>1</v>
      </c>
      <c r="M16">
        <v>0</v>
      </c>
      <c r="N16">
        <v>1</v>
      </c>
      <c r="O16">
        <v>1</v>
      </c>
      <c r="P16">
        <v>1</v>
      </c>
      <c r="Q16">
        <v>0</v>
      </c>
      <c r="R16">
        <v>0</v>
      </c>
      <c r="S16">
        <v>0</v>
      </c>
      <c r="T16">
        <v>0</v>
      </c>
      <c r="U16">
        <v>0</v>
      </c>
      <c r="W16">
        <v>0</v>
      </c>
      <c r="AB16" t="s">
        <v>152</v>
      </c>
    </row>
    <row r="17" spans="2:28" x14ac:dyDescent="0.3">
      <c r="B17" t="s">
        <v>208</v>
      </c>
      <c r="I17" t="s">
        <v>141</v>
      </c>
      <c r="J17">
        <v>0</v>
      </c>
      <c r="K17">
        <v>1</v>
      </c>
      <c r="L17">
        <v>1</v>
      </c>
      <c r="M17">
        <v>1</v>
      </c>
      <c r="N17">
        <v>0</v>
      </c>
      <c r="O17">
        <v>1</v>
      </c>
      <c r="P17">
        <v>1</v>
      </c>
      <c r="Q17">
        <v>1</v>
      </c>
      <c r="R17">
        <v>0</v>
      </c>
      <c r="S17">
        <v>0</v>
      </c>
      <c r="T17">
        <v>0</v>
      </c>
      <c r="U17">
        <v>0</v>
      </c>
      <c r="W17">
        <v>0</v>
      </c>
      <c r="AB17" t="s">
        <v>153</v>
      </c>
    </row>
    <row r="18" spans="2:28" x14ac:dyDescent="0.3">
      <c r="B18" t="s">
        <v>209</v>
      </c>
      <c r="I18" t="s">
        <v>142</v>
      </c>
      <c r="J18">
        <v>0</v>
      </c>
      <c r="K18">
        <v>0</v>
      </c>
      <c r="L18">
        <v>1</v>
      </c>
      <c r="M18">
        <v>1</v>
      </c>
      <c r="N18">
        <v>0</v>
      </c>
      <c r="O18">
        <v>0</v>
      </c>
      <c r="P18">
        <v>1</v>
      </c>
      <c r="Q18">
        <v>1</v>
      </c>
      <c r="R18">
        <v>0</v>
      </c>
      <c r="S18">
        <v>0</v>
      </c>
      <c r="T18">
        <v>0</v>
      </c>
      <c r="U18">
        <v>0</v>
      </c>
      <c r="W18">
        <v>0</v>
      </c>
    </row>
    <row r="19" spans="2:28" x14ac:dyDescent="0.3">
      <c r="B19" t="s">
        <v>210</v>
      </c>
      <c r="I19" t="s">
        <v>143</v>
      </c>
      <c r="J19">
        <v>1</v>
      </c>
      <c r="K19">
        <v>1</v>
      </c>
      <c r="L19">
        <v>0</v>
      </c>
      <c r="M19">
        <v>0</v>
      </c>
      <c r="N19">
        <v>1</v>
      </c>
      <c r="O19">
        <v>1</v>
      </c>
      <c r="P19">
        <v>0</v>
      </c>
      <c r="Q19">
        <v>0</v>
      </c>
      <c r="R19">
        <v>1</v>
      </c>
      <c r="S19">
        <v>1</v>
      </c>
      <c r="T19">
        <v>0</v>
      </c>
      <c r="U19">
        <v>0</v>
      </c>
      <c r="W19">
        <v>1</v>
      </c>
      <c r="AA19" s="1" t="s">
        <v>179</v>
      </c>
    </row>
    <row r="20" spans="2:28" x14ac:dyDescent="0.3">
      <c r="I20" t="s">
        <v>144</v>
      </c>
      <c r="J20">
        <v>1</v>
      </c>
      <c r="K20">
        <v>1</v>
      </c>
      <c r="L20">
        <v>1</v>
      </c>
      <c r="M20">
        <v>0</v>
      </c>
      <c r="N20">
        <v>1</v>
      </c>
      <c r="O20">
        <v>1</v>
      </c>
      <c r="P20">
        <v>1</v>
      </c>
      <c r="Q20">
        <v>0</v>
      </c>
      <c r="R20">
        <v>1</v>
      </c>
      <c r="S20">
        <v>1</v>
      </c>
      <c r="T20">
        <v>1</v>
      </c>
      <c r="U20">
        <v>0</v>
      </c>
      <c r="W20">
        <v>1</v>
      </c>
      <c r="AA20" t="s">
        <v>239</v>
      </c>
      <c r="AB20" s="3" t="s">
        <v>258</v>
      </c>
    </row>
    <row r="21" spans="2:28" x14ac:dyDescent="0.3">
      <c r="I21" t="s">
        <v>145</v>
      </c>
      <c r="J21">
        <v>0</v>
      </c>
      <c r="K21">
        <v>1</v>
      </c>
      <c r="L21">
        <v>1</v>
      </c>
      <c r="M21">
        <v>1</v>
      </c>
      <c r="N21">
        <v>0</v>
      </c>
      <c r="O21">
        <v>1</v>
      </c>
      <c r="P21">
        <v>1</v>
      </c>
      <c r="Q21">
        <v>1</v>
      </c>
      <c r="R21">
        <v>0</v>
      </c>
      <c r="S21">
        <v>1</v>
      </c>
      <c r="T21">
        <v>1</v>
      </c>
      <c r="U21">
        <v>1</v>
      </c>
      <c r="W21">
        <v>1</v>
      </c>
      <c r="AB21" t="s">
        <v>164</v>
      </c>
    </row>
    <row r="22" spans="2:28" x14ac:dyDescent="0.3">
      <c r="I22" t="s">
        <v>146</v>
      </c>
      <c r="J22">
        <v>0</v>
      </c>
      <c r="K22">
        <v>0</v>
      </c>
      <c r="L22">
        <v>1</v>
      </c>
      <c r="M22">
        <v>1</v>
      </c>
      <c r="N22">
        <v>0</v>
      </c>
      <c r="O22">
        <v>0</v>
      </c>
      <c r="P22">
        <v>1</v>
      </c>
      <c r="Q22">
        <v>1</v>
      </c>
      <c r="R22">
        <v>0</v>
      </c>
      <c r="S22">
        <v>0</v>
      </c>
      <c r="T22">
        <v>1</v>
      </c>
      <c r="U22">
        <v>1</v>
      </c>
      <c r="W22">
        <v>1</v>
      </c>
      <c r="AB22" t="s">
        <v>165</v>
      </c>
    </row>
    <row r="23" spans="2:28" x14ac:dyDescent="0.3">
      <c r="I23" t="s">
        <v>147</v>
      </c>
      <c r="J23">
        <v>0</v>
      </c>
      <c r="K23">
        <v>0</v>
      </c>
      <c r="L23">
        <v>0</v>
      </c>
      <c r="M23">
        <v>0</v>
      </c>
      <c r="N23">
        <v>1</v>
      </c>
      <c r="O23">
        <v>1</v>
      </c>
      <c r="P23">
        <v>0</v>
      </c>
      <c r="Q23">
        <v>0</v>
      </c>
      <c r="R23">
        <v>1</v>
      </c>
      <c r="S23">
        <v>1</v>
      </c>
      <c r="T23">
        <v>0</v>
      </c>
      <c r="U23">
        <v>0</v>
      </c>
      <c r="W23">
        <v>0</v>
      </c>
    </row>
    <row r="24" spans="2:28" x14ac:dyDescent="0.3">
      <c r="I24" t="s">
        <v>148</v>
      </c>
      <c r="J24">
        <v>0</v>
      </c>
      <c r="K24">
        <v>0</v>
      </c>
      <c r="L24">
        <v>0</v>
      </c>
      <c r="M24">
        <v>0</v>
      </c>
      <c r="N24">
        <v>1</v>
      </c>
      <c r="O24">
        <v>1</v>
      </c>
      <c r="P24">
        <v>1</v>
      </c>
      <c r="Q24">
        <v>0</v>
      </c>
      <c r="R24">
        <v>1</v>
      </c>
      <c r="S24">
        <v>1</v>
      </c>
      <c r="T24">
        <v>1</v>
      </c>
      <c r="U24">
        <v>0</v>
      </c>
      <c r="W24">
        <v>0</v>
      </c>
      <c r="AA24" s="1" t="s">
        <v>157</v>
      </c>
    </row>
    <row r="25" spans="2:28" x14ac:dyDescent="0.3">
      <c r="I25" t="s">
        <v>149</v>
      </c>
      <c r="J25">
        <v>0</v>
      </c>
      <c r="K25">
        <v>0</v>
      </c>
      <c r="L25">
        <v>0</v>
      </c>
      <c r="M25">
        <v>0</v>
      </c>
      <c r="N25">
        <v>0</v>
      </c>
      <c r="O25">
        <v>1</v>
      </c>
      <c r="P25">
        <v>1</v>
      </c>
      <c r="Q25">
        <v>1</v>
      </c>
      <c r="R25">
        <v>0</v>
      </c>
      <c r="S25">
        <v>1</v>
      </c>
      <c r="T25">
        <v>1</v>
      </c>
      <c r="U25">
        <v>1</v>
      </c>
      <c r="W25">
        <v>0</v>
      </c>
      <c r="AB25" t="s">
        <v>260</v>
      </c>
    </row>
    <row r="26" spans="2:28" x14ac:dyDescent="0.3">
      <c r="I26" t="s">
        <v>150</v>
      </c>
      <c r="J26">
        <v>0</v>
      </c>
      <c r="K26">
        <v>0</v>
      </c>
      <c r="L26">
        <v>0</v>
      </c>
      <c r="M26">
        <v>0</v>
      </c>
      <c r="N26">
        <v>0</v>
      </c>
      <c r="O26">
        <v>0</v>
      </c>
      <c r="P26">
        <v>1</v>
      </c>
      <c r="Q26">
        <v>1</v>
      </c>
      <c r="R26">
        <v>0</v>
      </c>
      <c r="S26">
        <v>0</v>
      </c>
      <c r="T26">
        <v>1</v>
      </c>
      <c r="U26">
        <v>1</v>
      </c>
      <c r="W26">
        <v>0</v>
      </c>
      <c r="AB26" t="s">
        <v>261</v>
      </c>
    </row>
    <row r="27" spans="2:28" x14ac:dyDescent="0.3">
      <c r="AB27" t="s">
        <v>262</v>
      </c>
    </row>
    <row r="28" spans="2:28" x14ac:dyDescent="0.3">
      <c r="AB28" t="s">
        <v>263</v>
      </c>
    </row>
    <row r="29" spans="2:28" x14ac:dyDescent="0.3">
      <c r="I29" t="s">
        <v>167</v>
      </c>
      <c r="J29">
        <f>SUM(W15:W26)</f>
        <v>4</v>
      </c>
      <c r="V29" t="s">
        <v>259</v>
      </c>
      <c r="AB29" t="s">
        <v>264</v>
      </c>
    </row>
    <row r="30" spans="2:28" x14ac:dyDescent="0.3">
      <c r="AB30" t="s">
        <v>265</v>
      </c>
    </row>
    <row r="31" spans="2:28" x14ac:dyDescent="0.3">
      <c r="I31" t="s">
        <v>205</v>
      </c>
      <c r="V31" t="s">
        <v>168</v>
      </c>
      <c r="AB31" t="s">
        <v>266</v>
      </c>
    </row>
    <row r="32" spans="2:28" x14ac:dyDescent="0.3">
      <c r="J32" t="s">
        <v>139</v>
      </c>
      <c r="K32" t="s">
        <v>140</v>
      </c>
      <c r="L32" t="s">
        <v>141</v>
      </c>
      <c r="M32" t="s">
        <v>142</v>
      </c>
      <c r="N32" t="s">
        <v>143</v>
      </c>
      <c r="O32" t="s">
        <v>144</v>
      </c>
      <c r="P32" t="s">
        <v>145</v>
      </c>
      <c r="Q32" t="s">
        <v>146</v>
      </c>
      <c r="R32" t="s">
        <v>147</v>
      </c>
      <c r="S32" t="s">
        <v>148</v>
      </c>
      <c r="T32" t="s">
        <v>149</v>
      </c>
      <c r="U32" t="s">
        <v>150</v>
      </c>
      <c r="AB32" t="s">
        <v>267</v>
      </c>
    </row>
    <row r="33" spans="9:28" x14ac:dyDescent="0.3">
      <c r="I33" t="s">
        <v>29</v>
      </c>
      <c r="J33">
        <f t="shared" ref="J33:U33" si="0">SUMPRODUCT($W$15:$W$26,J15:J26)</f>
        <v>2</v>
      </c>
      <c r="K33">
        <f t="shared" si="0"/>
        <v>3</v>
      </c>
      <c r="L33">
        <f t="shared" si="0"/>
        <v>3</v>
      </c>
      <c r="M33">
        <f t="shared" si="0"/>
        <v>2</v>
      </c>
      <c r="N33">
        <f t="shared" si="0"/>
        <v>2</v>
      </c>
      <c r="O33">
        <f t="shared" si="0"/>
        <v>3</v>
      </c>
      <c r="P33">
        <f t="shared" si="0"/>
        <v>3</v>
      </c>
      <c r="Q33">
        <f t="shared" si="0"/>
        <v>2</v>
      </c>
      <c r="R33">
        <f t="shared" si="0"/>
        <v>2</v>
      </c>
      <c r="S33">
        <f t="shared" si="0"/>
        <v>3</v>
      </c>
      <c r="T33">
        <f t="shared" si="0"/>
        <v>3</v>
      </c>
      <c r="U33">
        <f t="shared" si="0"/>
        <v>2</v>
      </c>
      <c r="AB33" t="s">
        <v>268</v>
      </c>
    </row>
    <row r="34" spans="9:28" x14ac:dyDescent="0.3">
      <c r="AB34" t="s">
        <v>269</v>
      </c>
    </row>
    <row r="35" spans="9:28" x14ac:dyDescent="0.3">
      <c r="I35" t="s">
        <v>206</v>
      </c>
      <c r="J35">
        <v>2</v>
      </c>
      <c r="K35">
        <v>2</v>
      </c>
      <c r="L35">
        <v>2</v>
      </c>
      <c r="M35">
        <v>2</v>
      </c>
      <c r="N35">
        <v>2</v>
      </c>
      <c r="O35">
        <v>2</v>
      </c>
      <c r="P35">
        <v>2</v>
      </c>
      <c r="Q35">
        <v>2</v>
      </c>
      <c r="R35">
        <v>2</v>
      </c>
      <c r="S35">
        <v>2</v>
      </c>
      <c r="T35">
        <v>2</v>
      </c>
      <c r="U35">
        <v>2</v>
      </c>
      <c r="AB35" t="s">
        <v>270</v>
      </c>
    </row>
    <row r="36" spans="9:28" x14ac:dyDescent="0.3">
      <c r="AB36" t="s">
        <v>271</v>
      </c>
    </row>
    <row r="38" spans="9:28" x14ac:dyDescent="0.3">
      <c r="AB38" t="s">
        <v>178</v>
      </c>
    </row>
    <row r="39" spans="9:28" x14ac:dyDescent="0.3">
      <c r="AB39" t="s">
        <v>177</v>
      </c>
    </row>
  </sheetData>
  <mergeCells count="12">
    <mergeCell ref="I8:J9"/>
    <mergeCell ref="K8:L9"/>
    <mergeCell ref="M8:N9"/>
    <mergeCell ref="O8:P9"/>
    <mergeCell ref="I4:J5"/>
    <mergeCell ref="K4:L5"/>
    <mergeCell ref="M4:N5"/>
    <mergeCell ref="O4:P5"/>
    <mergeCell ref="I6:J7"/>
    <mergeCell ref="K6:L7"/>
    <mergeCell ref="M6:N7"/>
    <mergeCell ref="O6:P7"/>
  </mergeCells>
  <phoneticPr fontId="10"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5D526-6630-404C-926C-864E71FCECB2}">
  <dimension ref="A1:G108"/>
  <sheetViews>
    <sheetView workbookViewId="0">
      <selection activeCell="F1" sqref="F1"/>
    </sheetView>
  </sheetViews>
  <sheetFormatPr defaultRowHeight="14.4" x14ac:dyDescent="0.3"/>
  <cols>
    <col min="3" max="3" width="46.3984375" customWidth="1"/>
  </cols>
  <sheetData>
    <row r="1" spans="1:7" x14ac:dyDescent="0.3">
      <c r="A1" t="s">
        <v>72</v>
      </c>
    </row>
    <row r="3" spans="1:7" ht="23.5" x14ac:dyDescent="0.3">
      <c r="B3">
        <v>1</v>
      </c>
      <c r="C3" t="s">
        <v>73</v>
      </c>
      <c r="D3" t="s">
        <v>136</v>
      </c>
      <c r="G3" s="12"/>
    </row>
    <row r="4" spans="1:7" x14ac:dyDescent="0.3">
      <c r="B4">
        <v>2</v>
      </c>
      <c r="C4" t="s">
        <v>137</v>
      </c>
      <c r="D4" t="s">
        <v>136</v>
      </c>
      <c r="G4" s="13"/>
    </row>
    <row r="5" spans="1:7" x14ac:dyDescent="0.3">
      <c r="B5">
        <v>3</v>
      </c>
      <c r="C5" t="s">
        <v>78</v>
      </c>
      <c r="D5" t="s">
        <v>136</v>
      </c>
      <c r="G5" s="14"/>
    </row>
    <row r="6" spans="1:7" x14ac:dyDescent="0.3">
      <c r="B6">
        <v>4</v>
      </c>
      <c r="C6" t="s">
        <v>74</v>
      </c>
      <c r="D6" t="s">
        <v>136</v>
      </c>
      <c r="G6" s="13"/>
    </row>
    <row r="7" spans="1:7" x14ac:dyDescent="0.3">
      <c r="B7">
        <v>5</v>
      </c>
      <c r="C7" t="s">
        <v>84</v>
      </c>
      <c r="D7" t="s">
        <v>136</v>
      </c>
      <c r="G7" s="13"/>
    </row>
    <row r="8" spans="1:7" x14ac:dyDescent="0.3">
      <c r="B8">
        <v>6</v>
      </c>
      <c r="C8" t="s">
        <v>77</v>
      </c>
      <c r="D8" t="s">
        <v>136</v>
      </c>
      <c r="G8" s="13"/>
    </row>
    <row r="9" spans="1:7" x14ac:dyDescent="0.3">
      <c r="B9">
        <v>7</v>
      </c>
      <c r="C9" t="s">
        <v>226</v>
      </c>
      <c r="D9" t="s">
        <v>136</v>
      </c>
      <c r="G9" s="14"/>
    </row>
    <row r="10" spans="1:7" x14ac:dyDescent="0.3">
      <c r="B10">
        <v>8</v>
      </c>
      <c r="C10" t="s">
        <v>227</v>
      </c>
      <c r="D10" t="s">
        <v>136</v>
      </c>
      <c r="G10" s="13"/>
    </row>
    <row r="11" spans="1:7" x14ac:dyDescent="0.3">
      <c r="B11">
        <v>9</v>
      </c>
      <c r="C11" t="s">
        <v>96</v>
      </c>
      <c r="G11" s="13"/>
    </row>
    <row r="12" spans="1:7" x14ac:dyDescent="0.3">
      <c r="B12">
        <v>10</v>
      </c>
      <c r="C12" t="s">
        <v>76</v>
      </c>
      <c r="G12" s="13"/>
    </row>
    <row r="13" spans="1:7" x14ac:dyDescent="0.3">
      <c r="B13">
        <v>11</v>
      </c>
      <c r="C13" t="s">
        <v>232</v>
      </c>
      <c r="G13" s="13"/>
    </row>
    <row r="14" spans="1:7" x14ac:dyDescent="0.3">
      <c r="B14">
        <v>12</v>
      </c>
      <c r="C14" t="s">
        <v>75</v>
      </c>
      <c r="G14" s="14"/>
    </row>
    <row r="15" spans="1:7" x14ac:dyDescent="0.3">
      <c r="B15">
        <v>13</v>
      </c>
      <c r="C15" t="s">
        <v>79</v>
      </c>
      <c r="G15" s="13"/>
    </row>
    <row r="16" spans="1:7" x14ac:dyDescent="0.3">
      <c r="B16">
        <v>14</v>
      </c>
      <c r="C16" t="s">
        <v>80</v>
      </c>
      <c r="G16" s="13"/>
    </row>
    <row r="17" spans="2:7" x14ac:dyDescent="0.3">
      <c r="B17">
        <v>15</v>
      </c>
      <c r="C17" t="s">
        <v>81</v>
      </c>
      <c r="G17" s="14"/>
    </row>
    <row r="18" spans="2:7" x14ac:dyDescent="0.3">
      <c r="B18">
        <v>16</v>
      </c>
      <c r="C18" t="s">
        <v>82</v>
      </c>
      <c r="G18" s="13"/>
    </row>
    <row r="19" spans="2:7" x14ac:dyDescent="0.3">
      <c r="B19">
        <v>17</v>
      </c>
      <c r="C19" t="s">
        <v>83</v>
      </c>
    </row>
    <row r="20" spans="2:7" x14ac:dyDescent="0.3">
      <c r="B20">
        <v>18</v>
      </c>
      <c r="C20" t="s">
        <v>85</v>
      </c>
    </row>
    <row r="21" spans="2:7" x14ac:dyDescent="0.3">
      <c r="B21">
        <v>19</v>
      </c>
      <c r="C21" t="s">
        <v>86</v>
      </c>
    </row>
    <row r="22" spans="2:7" ht="23.5" x14ac:dyDescent="0.3">
      <c r="B22">
        <v>20</v>
      </c>
      <c r="C22" t="s">
        <v>87</v>
      </c>
      <c r="G22" s="12"/>
    </row>
    <row r="23" spans="2:7" x14ac:dyDescent="0.3">
      <c r="B23">
        <v>21</v>
      </c>
      <c r="C23" t="s">
        <v>88</v>
      </c>
      <c r="G23" s="13"/>
    </row>
    <row r="24" spans="2:7" x14ac:dyDescent="0.3">
      <c r="B24">
        <v>22</v>
      </c>
      <c r="C24" t="s">
        <v>89</v>
      </c>
      <c r="G24" s="14"/>
    </row>
    <row r="25" spans="2:7" x14ac:dyDescent="0.3">
      <c r="B25">
        <v>23</v>
      </c>
      <c r="C25" t="s">
        <v>90</v>
      </c>
      <c r="G25" s="13"/>
    </row>
    <row r="26" spans="2:7" x14ac:dyDescent="0.3">
      <c r="B26">
        <v>24</v>
      </c>
      <c r="C26" t="s">
        <v>91</v>
      </c>
      <c r="G26" s="13"/>
    </row>
    <row r="27" spans="2:7" x14ac:dyDescent="0.3">
      <c r="B27">
        <v>25</v>
      </c>
      <c r="C27" t="s">
        <v>92</v>
      </c>
      <c r="G27" s="14"/>
    </row>
    <row r="28" spans="2:7" x14ac:dyDescent="0.3">
      <c r="B28">
        <v>26</v>
      </c>
      <c r="C28" t="s">
        <v>93</v>
      </c>
      <c r="G28" s="13"/>
    </row>
    <row r="29" spans="2:7" x14ac:dyDescent="0.3">
      <c r="B29">
        <v>27</v>
      </c>
      <c r="C29" t="s">
        <v>94</v>
      </c>
      <c r="G29" s="13"/>
    </row>
    <row r="30" spans="2:7" x14ac:dyDescent="0.3">
      <c r="B30">
        <v>28</v>
      </c>
      <c r="C30" t="s">
        <v>95</v>
      </c>
      <c r="G30" s="14"/>
    </row>
    <row r="31" spans="2:7" x14ac:dyDescent="0.3">
      <c r="B31">
        <v>29</v>
      </c>
      <c r="C31" t="s">
        <v>228</v>
      </c>
      <c r="G31" s="13"/>
    </row>
    <row r="32" spans="2:7" x14ac:dyDescent="0.3">
      <c r="G32" s="13"/>
    </row>
    <row r="33" spans="7:7" x14ac:dyDescent="0.3">
      <c r="G33" s="14"/>
    </row>
    <row r="34" spans="7:7" x14ac:dyDescent="0.3">
      <c r="G34" s="13"/>
    </row>
    <row r="35" spans="7:7" x14ac:dyDescent="0.3">
      <c r="G35" s="13"/>
    </row>
    <row r="36" spans="7:7" x14ac:dyDescent="0.3">
      <c r="G36" s="14"/>
    </row>
    <row r="37" spans="7:7" x14ac:dyDescent="0.3">
      <c r="G37" s="13"/>
    </row>
    <row r="38" spans="7:7" x14ac:dyDescent="0.3">
      <c r="G38" s="13"/>
    </row>
    <row r="39" spans="7:7" x14ac:dyDescent="0.3">
      <c r="G39" s="15"/>
    </row>
    <row r="40" spans="7:7" x14ac:dyDescent="0.3">
      <c r="G40" s="16"/>
    </row>
    <row r="41" spans="7:7" x14ac:dyDescent="0.3">
      <c r="G41" s="13"/>
    </row>
    <row r="42" spans="7:7" x14ac:dyDescent="0.3">
      <c r="G42" s="14"/>
    </row>
    <row r="43" spans="7:7" x14ac:dyDescent="0.3">
      <c r="G43" s="13"/>
    </row>
    <row r="47" spans="7:7" ht="23.05" x14ac:dyDescent="0.3">
      <c r="G47" s="12"/>
    </row>
    <row r="48" spans="7:7" x14ac:dyDescent="0.3">
      <c r="G48" s="13"/>
    </row>
    <row r="49" spans="7:7" x14ac:dyDescent="0.3">
      <c r="G49" s="14"/>
    </row>
    <row r="50" spans="7:7" x14ac:dyDescent="0.3">
      <c r="G50" s="13"/>
    </row>
    <row r="51" spans="7:7" x14ac:dyDescent="0.3">
      <c r="G51" s="13"/>
    </row>
    <row r="52" spans="7:7" x14ac:dyDescent="0.3">
      <c r="G52" s="14"/>
    </row>
    <row r="53" spans="7:7" x14ac:dyDescent="0.3">
      <c r="G53" s="13"/>
    </row>
    <row r="54" spans="7:7" x14ac:dyDescent="0.3">
      <c r="G54" s="13"/>
    </row>
    <row r="55" spans="7:7" x14ac:dyDescent="0.3">
      <c r="G55" s="14"/>
    </row>
    <row r="56" spans="7:7" x14ac:dyDescent="0.3">
      <c r="G56" s="13"/>
    </row>
    <row r="57" spans="7:7" x14ac:dyDescent="0.3">
      <c r="G57" s="13"/>
    </row>
    <row r="58" spans="7:7" x14ac:dyDescent="0.3">
      <c r="G58" s="14"/>
    </row>
    <row r="59" spans="7:7" x14ac:dyDescent="0.3">
      <c r="G59" s="13"/>
    </row>
    <row r="63" spans="7:7" ht="23.05" x14ac:dyDescent="0.3">
      <c r="G63" s="12"/>
    </row>
    <row r="64" spans="7:7" x14ac:dyDescent="0.3">
      <c r="G64" s="13"/>
    </row>
    <row r="65" spans="7:7" x14ac:dyDescent="0.3">
      <c r="G65" s="14"/>
    </row>
    <row r="66" spans="7:7" x14ac:dyDescent="0.3">
      <c r="G66" s="13"/>
    </row>
    <row r="67" spans="7:7" x14ac:dyDescent="0.3">
      <c r="G67" s="14"/>
    </row>
    <row r="68" spans="7:7" x14ac:dyDescent="0.3">
      <c r="G68" s="13"/>
    </row>
    <row r="69" spans="7:7" x14ac:dyDescent="0.3">
      <c r="G69" s="14"/>
    </row>
    <row r="70" spans="7:7" x14ac:dyDescent="0.3">
      <c r="G70" s="13"/>
    </row>
    <row r="71" spans="7:7" x14ac:dyDescent="0.3">
      <c r="G71" s="14"/>
    </row>
    <row r="72" spans="7:7" x14ac:dyDescent="0.3">
      <c r="G72" s="13"/>
    </row>
    <row r="73" spans="7:7" x14ac:dyDescent="0.3">
      <c r="G73" s="14"/>
    </row>
    <row r="74" spans="7:7" x14ac:dyDescent="0.3">
      <c r="G74" s="13"/>
    </row>
    <row r="75" spans="7:7" x14ac:dyDescent="0.3">
      <c r="G75" s="14"/>
    </row>
    <row r="76" spans="7:7" x14ac:dyDescent="0.3">
      <c r="G76" s="13"/>
    </row>
    <row r="77" spans="7:7" x14ac:dyDescent="0.3">
      <c r="G77" s="13"/>
    </row>
    <row r="78" spans="7:7" x14ac:dyDescent="0.3">
      <c r="G78" s="14"/>
    </row>
    <row r="82" spans="7:7" ht="23.05" x14ac:dyDescent="0.3">
      <c r="G82" s="12"/>
    </row>
    <row r="83" spans="7:7" x14ac:dyDescent="0.3">
      <c r="G83" s="13"/>
    </row>
    <row r="84" spans="7:7" x14ac:dyDescent="0.3">
      <c r="G84" s="14"/>
    </row>
    <row r="85" spans="7:7" x14ac:dyDescent="0.3">
      <c r="G85" s="13"/>
    </row>
    <row r="86" spans="7:7" x14ac:dyDescent="0.3">
      <c r="G86" s="14"/>
    </row>
    <row r="90" spans="7:7" ht="23.05" x14ac:dyDescent="0.3">
      <c r="G90" s="12"/>
    </row>
    <row r="91" spans="7:7" x14ac:dyDescent="0.3">
      <c r="G91" s="13"/>
    </row>
    <row r="92" spans="7:7" x14ac:dyDescent="0.3">
      <c r="G92" s="14"/>
    </row>
    <row r="93" spans="7:7" x14ac:dyDescent="0.3">
      <c r="G93" s="13"/>
    </row>
    <row r="94" spans="7:7" x14ac:dyDescent="0.3">
      <c r="G94" s="13"/>
    </row>
    <row r="95" spans="7:7" x14ac:dyDescent="0.3">
      <c r="G95" s="14"/>
    </row>
    <row r="96" spans="7:7" x14ac:dyDescent="0.3">
      <c r="G96" s="13"/>
    </row>
    <row r="100" spans="7:7" ht="23.05" x14ac:dyDescent="0.3">
      <c r="G100" s="12"/>
    </row>
    <row r="101" spans="7:7" x14ac:dyDescent="0.3">
      <c r="G101" s="13"/>
    </row>
    <row r="102" spans="7:7" x14ac:dyDescent="0.3">
      <c r="G102" s="14"/>
    </row>
    <row r="103" spans="7:7" x14ac:dyDescent="0.3">
      <c r="G103" s="13"/>
    </row>
    <row r="104" spans="7:7" x14ac:dyDescent="0.3">
      <c r="G104" s="14"/>
    </row>
    <row r="105" spans="7:7" x14ac:dyDescent="0.3">
      <c r="G105" s="13"/>
    </row>
    <row r="106" spans="7:7" x14ac:dyDescent="0.3">
      <c r="G106" s="14"/>
    </row>
    <row r="107" spans="7:7" x14ac:dyDescent="0.3">
      <c r="G107" s="13"/>
    </row>
    <row r="108" spans="7:7" x14ac:dyDescent="0.3">
      <c r="G108"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sumproduct </vt:lpstr>
      <vt:lpstr>MIN</vt:lpstr>
      <vt:lpstr>MAX 1</vt:lpstr>
      <vt:lpstr>MAX 2</vt:lpstr>
      <vt:lpstr>MAX 3</vt:lpstr>
      <vt:lpstr>BIN MIN</vt:lpstr>
      <vt:lpstr>BIN MIN 2</vt:lpstr>
      <vt:lpstr>BIN Max 3</vt:lpstr>
      <vt:lpstr>BIN MIN 4</vt:lpstr>
      <vt:lpstr>BIN MIN 5</vt:lpstr>
      <vt:lpstr>Topics Optimistic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2026-02-05T14:17:53Z</dcterms:modified>
</cp:coreProperties>
</file>