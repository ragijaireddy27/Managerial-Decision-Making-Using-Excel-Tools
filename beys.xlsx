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a6ab29bf0fe0e6/Desktop/OR/"/>
    </mc:Choice>
  </mc:AlternateContent>
  <xr:revisionPtr revIDLastSave="295" documentId="11_F25DC773A252ABDACC104846295A5A3A5BDE58EE" xr6:coauthVersionLast="47" xr6:coauthVersionMax="47" xr10:uidLastSave="{61D21B3A-EF5B-4B3A-A802-299D07E879CF}"/>
  <bookViews>
    <workbookView xWindow="-104" yWindow="-104" windowWidth="22326" windowHeight="11947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bay">Sheet3!$G$4:$I$6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H23" i="3"/>
  <c r="H22" i="3"/>
  <c r="H20" i="3"/>
  <c r="H19" i="3"/>
  <c r="O12" i="3"/>
  <c r="L15" i="3"/>
  <c r="H15" i="3"/>
  <c r="H12" i="3"/>
  <c r="L12" i="3"/>
  <c r="L16" i="3"/>
  <c r="L13" i="3"/>
  <c r="H16" i="3"/>
  <c r="H13" i="3"/>
  <c r="N17" i="2"/>
  <c r="N14" i="2"/>
  <c r="H31" i="2"/>
  <c r="H28" i="2"/>
  <c r="H25" i="2"/>
  <c r="H24" i="2"/>
  <c r="H22" i="2"/>
  <c r="H21" i="2"/>
  <c r="K5" i="2"/>
  <c r="K47" i="2"/>
  <c r="K46" i="2"/>
  <c r="H52" i="2" s="1"/>
  <c r="W15" i="1"/>
  <c r="M27" i="1"/>
  <c r="W13" i="1"/>
  <c r="M24" i="1"/>
  <c r="W11" i="1"/>
  <c r="M21" i="1"/>
  <c r="W9" i="1"/>
  <c r="M18" i="1"/>
  <c r="I18" i="1"/>
  <c r="N15" i="1"/>
  <c r="N13" i="1"/>
  <c r="N11" i="1"/>
  <c r="Q12" i="1" s="1"/>
  <c r="N9" i="1"/>
  <c r="Q9" i="1" s="1"/>
  <c r="O13" i="3" l="1"/>
  <c r="N16" i="2"/>
  <c r="H30" i="2"/>
  <c r="N13" i="2"/>
</calcChain>
</file>

<file path=xl/sharedStrings.xml><?xml version="1.0" encoding="utf-8"?>
<sst xmlns="http://schemas.openxmlformats.org/spreadsheetml/2006/main" count="94" uniqueCount="91">
  <si>
    <t>when the person is not drugged , the machine mistakenly says drugged 3% of times</t>
  </si>
  <si>
    <t>when the person is drugged , the machine mistakenly says not drugged 7% of times</t>
  </si>
  <si>
    <t>5% of atheletes generaly take performance boosters</t>
  </si>
  <si>
    <t>AD</t>
  </si>
  <si>
    <t>MD</t>
  </si>
  <si>
    <t>MND</t>
  </si>
  <si>
    <t>Actually drugged</t>
  </si>
  <si>
    <t>Actually not drugged</t>
  </si>
  <si>
    <t>machine detected as druged</t>
  </si>
  <si>
    <t>machine detected as not druged</t>
  </si>
  <si>
    <t>nD</t>
  </si>
  <si>
    <t>p(md/nd)</t>
  </si>
  <si>
    <t>p(ad/mnd)</t>
  </si>
  <si>
    <t>p(md/ad)</t>
  </si>
  <si>
    <t>p(drug)</t>
  </si>
  <si>
    <t>p(not drug)</t>
  </si>
  <si>
    <t>P(Drug∣MD)</t>
  </si>
  <si>
    <t>p(mnd/ad)</t>
  </si>
  <si>
    <t>or</t>
  </si>
  <si>
    <t>p(mndnad)</t>
  </si>
  <si>
    <t>p(mdnnd)</t>
  </si>
  <si>
    <t>p(adnmnd)</t>
  </si>
  <si>
    <t>p(mdnad)</t>
  </si>
  <si>
    <t>p(Nd/mnd)</t>
  </si>
  <si>
    <t>p(nd/md)</t>
  </si>
  <si>
    <t>p(ad/md)</t>
  </si>
  <si>
    <t>p(mnd)</t>
  </si>
  <si>
    <t>p(m/d)</t>
  </si>
  <si>
    <t>P(ND*MD)/P(MD)</t>
  </si>
  <si>
    <t>P(AD*MND)/P(MND)</t>
  </si>
  <si>
    <t>p(MND * ND))/P(MND)</t>
  </si>
  <si>
    <t>P(AD*MD)/P(MD)</t>
  </si>
  <si>
    <t>Only 2% of all transactions are actually fraudulent</t>
  </si>
  <si>
    <t>The AI system:</t>
  </si>
  <si>
    <t>Correctly flags fraud (True Positive Rate) = 90%</t>
  </si>
  <si>
    <t>Incorrectly flags genuine transactions (False Positive Rate) = 8%</t>
  </si>
  <si>
    <t>Given a transaction is detected fraudulent, what is the probability that it is actually fraudulent</t>
  </si>
  <si>
    <t>P(AD∣MD)</t>
  </si>
  <si>
    <t>Probability actually drugged given machine says drugged</t>
  </si>
  <si>
    <t>Probability NOT drugged given machine says drugged</t>
  </si>
  <si>
    <t>Probability actually drugged given machine says NOT drugged</t>
  </si>
  <si>
    <t>P(AD∣MND)</t>
  </si>
  <si>
    <t>P(ND∣MD)</t>
  </si>
  <si>
    <t>Probability NOT drugged given machine says NOT drugged</t>
  </si>
  <si>
    <t>P(ND∣MND)</t>
  </si>
  <si>
    <t xml:space="preserve">P_Fraud </t>
  </si>
  <si>
    <t>P_Not_Fraud</t>
  </si>
  <si>
    <t>P_Detected_given_Fraud</t>
  </si>
  <si>
    <t xml:space="preserve">P_Detected_given_NotFraud </t>
  </si>
  <si>
    <t>P_Detected_AND_Fraud</t>
  </si>
  <si>
    <t>P_Detected_AND_NotFraud</t>
  </si>
  <si>
    <t>P_Detected</t>
  </si>
  <si>
    <t>p(detected fraud/given fraud)</t>
  </si>
  <si>
    <t>p(detected valid/given fraud)</t>
  </si>
  <si>
    <t>p(detected fraud/given valid)</t>
  </si>
  <si>
    <t>p(detected valid/given valid)</t>
  </si>
  <si>
    <t>p(given fraud/detected fraud)</t>
  </si>
  <si>
    <t>p(given valid/detected valid)</t>
  </si>
  <si>
    <t>p(given valid/detected fraud)</t>
  </si>
  <si>
    <t>p(given fraud/detected valid)</t>
  </si>
  <si>
    <t>p(AuB)=P(A/B)*p(B)</t>
  </si>
  <si>
    <t>p(detected fraud n given fraud)</t>
  </si>
  <si>
    <t>p(detected valid n given fraud)</t>
  </si>
  <si>
    <t>p(detected fraud n given valid)</t>
  </si>
  <si>
    <t>p(detected valid n given valid)</t>
  </si>
  <si>
    <t>P(Fraud)</t>
  </si>
  <si>
    <t>P(Valid)</t>
  </si>
  <si>
    <t>P(Detected)</t>
  </si>
  <si>
    <t>P(not Detected)</t>
  </si>
  <si>
    <t>P(fraud/ detected fraud)</t>
  </si>
  <si>
    <t>P(fraud/ detected valid)</t>
  </si>
  <si>
    <t>predicted</t>
  </si>
  <si>
    <t>actual</t>
  </si>
  <si>
    <t>hp</t>
  </si>
  <si>
    <t>lp</t>
  </si>
  <si>
    <t>p(actual hp)</t>
  </si>
  <si>
    <t>p(actual lp)</t>
  </si>
  <si>
    <t>p(predicted hp/actual hp)</t>
  </si>
  <si>
    <t>p(predicted lp/ actual hp)</t>
  </si>
  <si>
    <t>p(predicted hp/actual lp)</t>
  </si>
  <si>
    <t>p(predicted lp/ actual lp)</t>
  </si>
  <si>
    <t>p(actual hp/predicted hp)</t>
  </si>
  <si>
    <t>p(actual hp/predicted lp)</t>
  </si>
  <si>
    <t>p(actual lp/predicted hp)</t>
  </si>
  <si>
    <t>p(actual lp/predicted lp)</t>
  </si>
  <si>
    <t>p(predicted hp n actual hp)</t>
  </si>
  <si>
    <t>p(predicted lp n  actual hp)</t>
  </si>
  <si>
    <t>p(predicted hp n actual lp)</t>
  </si>
  <si>
    <t>p(predicted lp n  actual lp)</t>
  </si>
  <si>
    <t>P(predicted hp)</t>
  </si>
  <si>
    <t>P(predicted 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</si>
</sst>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W27"/>
  <sheetViews>
    <sheetView topLeftCell="E14" zoomScale="110" zoomScaleNormal="110" workbookViewId="0">
      <selection activeCell="T18" sqref="T18"/>
    </sheetView>
  </sheetViews>
  <sheetFormatPr defaultRowHeight="14.4" x14ac:dyDescent="0.3"/>
  <sheetData>
    <row r="3" spans="4:23" x14ac:dyDescent="0.3">
      <c r="D3" t="s">
        <v>0</v>
      </c>
      <c r="L3" t="s">
        <v>3</v>
      </c>
      <c r="M3" t="s">
        <v>6</v>
      </c>
    </row>
    <row r="4" spans="4:23" x14ac:dyDescent="0.3">
      <c r="D4" t="s">
        <v>1</v>
      </c>
      <c r="L4" t="s">
        <v>10</v>
      </c>
      <c r="M4" t="s">
        <v>7</v>
      </c>
    </row>
    <row r="6" spans="4:23" x14ac:dyDescent="0.3">
      <c r="D6" t="s">
        <v>2</v>
      </c>
      <c r="L6" t="s">
        <v>4</v>
      </c>
      <c r="M6" t="s">
        <v>8</v>
      </c>
    </row>
    <row r="7" spans="4:23" x14ac:dyDescent="0.3">
      <c r="L7" t="s">
        <v>5</v>
      </c>
      <c r="M7" t="s">
        <v>9</v>
      </c>
    </row>
    <row r="9" spans="4:23" x14ac:dyDescent="0.3">
      <c r="H9" t="s">
        <v>17</v>
      </c>
      <c r="J9">
        <v>0.97</v>
      </c>
      <c r="L9" t="s">
        <v>19</v>
      </c>
      <c r="N9">
        <f>J9*E12</f>
        <v>0.92149999999999999</v>
      </c>
      <c r="P9" t="s">
        <v>26</v>
      </c>
      <c r="Q9">
        <f>N9+N13</f>
        <v>0.92499999999999993</v>
      </c>
      <c r="S9" t="s">
        <v>23</v>
      </c>
      <c r="U9" t="s">
        <v>30</v>
      </c>
      <c r="W9">
        <f>N15/Q12</f>
        <v>0.62</v>
      </c>
    </row>
    <row r="11" spans="4:23" x14ac:dyDescent="0.3">
      <c r="D11" t="s">
        <v>14</v>
      </c>
      <c r="E11">
        <v>0.05</v>
      </c>
      <c r="H11" t="s">
        <v>11</v>
      </c>
      <c r="J11">
        <v>0.03</v>
      </c>
      <c r="L11" t="s">
        <v>20</v>
      </c>
      <c r="N11">
        <f>J11*E12</f>
        <v>2.8499999999999998E-2</v>
      </c>
      <c r="S11" t="s">
        <v>24</v>
      </c>
      <c r="U11" t="s">
        <v>28</v>
      </c>
      <c r="W11">
        <f>N11/Q12</f>
        <v>0.37999999999999989</v>
      </c>
    </row>
    <row r="12" spans="4:23" x14ac:dyDescent="0.3">
      <c r="D12" t="s">
        <v>15</v>
      </c>
      <c r="E12">
        <v>0.95</v>
      </c>
      <c r="P12" t="s">
        <v>27</v>
      </c>
      <c r="Q12">
        <f>N11+N15</f>
        <v>7.5000000000000011E-2</v>
      </c>
    </row>
    <row r="13" spans="4:23" x14ac:dyDescent="0.3">
      <c r="H13" t="s">
        <v>12</v>
      </c>
      <c r="J13">
        <v>7.0000000000000007E-2</v>
      </c>
      <c r="L13" t="s">
        <v>21</v>
      </c>
      <c r="N13">
        <f>E11*J13</f>
        <v>3.5000000000000005E-3</v>
      </c>
      <c r="S13" t="s">
        <v>12</v>
      </c>
      <c r="U13" t="s">
        <v>29</v>
      </c>
      <c r="W13">
        <f>N13/Q9</f>
        <v>3.7837837837837846E-3</v>
      </c>
    </row>
    <row r="15" spans="4:23" x14ac:dyDescent="0.3">
      <c r="H15" t="s">
        <v>13</v>
      </c>
      <c r="J15">
        <v>0.93</v>
      </c>
      <c r="L15" t="s">
        <v>22</v>
      </c>
      <c r="N15">
        <f>J15*E11</f>
        <v>4.6500000000000007E-2</v>
      </c>
      <c r="S15" t="s">
        <v>25</v>
      </c>
      <c r="U15" t="s">
        <v>31</v>
      </c>
      <c r="W15">
        <f>N9/Q9</f>
        <v>0.99621621621621625</v>
      </c>
    </row>
    <row r="17" spans="6:13" x14ac:dyDescent="0.3">
      <c r="F17" t="s">
        <v>38</v>
      </c>
    </row>
    <row r="18" spans="6:13" x14ac:dyDescent="0.3">
      <c r="G18" t="s">
        <v>16</v>
      </c>
      <c r="I18">
        <f>(J15*E11)/(((J15*E11)+(J11*E12)))</f>
        <v>0.62</v>
      </c>
      <c r="J18" t="s">
        <v>18</v>
      </c>
      <c r="L18" t="s">
        <v>37</v>
      </c>
      <c r="M18">
        <f>N15/Q12</f>
        <v>0.62</v>
      </c>
    </row>
    <row r="20" spans="6:13" x14ac:dyDescent="0.3">
      <c r="F20" t="s">
        <v>39</v>
      </c>
    </row>
    <row r="21" spans="6:13" x14ac:dyDescent="0.3">
      <c r="L21" t="s">
        <v>42</v>
      </c>
      <c r="M21">
        <f>N11/Q12</f>
        <v>0.37999999999999989</v>
      </c>
    </row>
    <row r="23" spans="6:13" x14ac:dyDescent="0.3">
      <c r="F23" t="s">
        <v>40</v>
      </c>
    </row>
    <row r="24" spans="6:13" x14ac:dyDescent="0.3">
      <c r="L24" t="s">
        <v>41</v>
      </c>
      <c r="M24">
        <f>N13/Q9</f>
        <v>3.7837837837837846E-3</v>
      </c>
    </row>
    <row r="26" spans="6:13" x14ac:dyDescent="0.3">
      <c r="F26" t="s">
        <v>43</v>
      </c>
    </row>
    <row r="27" spans="6:13" x14ac:dyDescent="0.3">
      <c r="L27" t="s">
        <v>44</v>
      </c>
      <c r="M27">
        <f>N9/Q9</f>
        <v>0.99621621621621625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6E3A-D784-4EF1-9574-18A786AF0143}">
  <dimension ref="D4:O52"/>
  <sheetViews>
    <sheetView topLeftCell="A16" workbookViewId="0">
      <selection activeCell="H28" sqref="H28"/>
    </sheetView>
  </sheetViews>
  <sheetFormatPr defaultRowHeight="14.4" x14ac:dyDescent="0.3"/>
  <sheetData>
    <row r="4" spans="4:15" x14ac:dyDescent="0.3">
      <c r="D4" t="s">
        <v>32</v>
      </c>
      <c r="J4" t="s">
        <v>65</v>
      </c>
      <c r="K4">
        <v>0.02</v>
      </c>
    </row>
    <row r="5" spans="4:15" x14ac:dyDescent="0.3">
      <c r="D5" t="s">
        <v>33</v>
      </c>
      <c r="J5" t="s">
        <v>66</v>
      </c>
      <c r="K5">
        <f>1-K4</f>
        <v>0.98</v>
      </c>
    </row>
    <row r="6" spans="4:15" x14ac:dyDescent="0.3">
      <c r="D6" t="s">
        <v>34</v>
      </c>
    </row>
    <row r="7" spans="4:15" x14ac:dyDescent="0.3">
      <c r="D7" t="s">
        <v>35</v>
      </c>
    </row>
    <row r="9" spans="4:15" x14ac:dyDescent="0.3">
      <c r="O9" t="s">
        <v>60</v>
      </c>
    </row>
    <row r="10" spans="4:15" x14ac:dyDescent="0.3">
      <c r="D10" t="s">
        <v>36</v>
      </c>
    </row>
    <row r="13" spans="4:15" x14ac:dyDescent="0.3">
      <c r="E13" t="s">
        <v>52</v>
      </c>
      <c r="H13" s="1">
        <v>0.9</v>
      </c>
      <c r="K13" t="s">
        <v>56</v>
      </c>
      <c r="N13">
        <f>H21/H27</f>
        <v>0.18672199170124482</v>
      </c>
    </row>
    <row r="14" spans="4:15" x14ac:dyDescent="0.3">
      <c r="E14" t="s">
        <v>53</v>
      </c>
      <c r="H14" s="1">
        <v>0.1</v>
      </c>
      <c r="K14" t="s">
        <v>58</v>
      </c>
      <c r="N14">
        <f>H22/H28</f>
        <v>2.213368747233289E-3</v>
      </c>
    </row>
    <row r="16" spans="4:15" x14ac:dyDescent="0.3">
      <c r="E16" t="s">
        <v>54</v>
      </c>
      <c r="H16" s="1">
        <v>0.08</v>
      </c>
      <c r="K16" t="s">
        <v>59</v>
      </c>
      <c r="N16">
        <f>H24/H27</f>
        <v>0.81327800829875507</v>
      </c>
    </row>
    <row r="17" spans="5:14" x14ac:dyDescent="0.3">
      <c r="E17" t="s">
        <v>55</v>
      </c>
      <c r="H17" s="1">
        <v>0.92</v>
      </c>
      <c r="K17" t="s">
        <v>57</v>
      </c>
      <c r="N17">
        <f>H25/H28</f>
        <v>0.99778663125276668</v>
      </c>
    </row>
    <row r="21" spans="5:14" x14ac:dyDescent="0.3">
      <c r="E21" t="s">
        <v>61</v>
      </c>
      <c r="H21">
        <f>K4*H13*100</f>
        <v>1.8000000000000003</v>
      </c>
    </row>
    <row r="22" spans="5:14" x14ac:dyDescent="0.3">
      <c r="E22" t="s">
        <v>62</v>
      </c>
      <c r="H22">
        <f>K4*H14*100</f>
        <v>0.2</v>
      </c>
    </row>
    <row r="24" spans="5:14" x14ac:dyDescent="0.3">
      <c r="E24" t="s">
        <v>63</v>
      </c>
      <c r="H24">
        <f>K5*H16*100</f>
        <v>7.84</v>
      </c>
    </row>
    <row r="25" spans="5:14" x14ac:dyDescent="0.3">
      <c r="E25" t="s">
        <v>64</v>
      </c>
      <c r="H25">
        <f>K5*H17*100</f>
        <v>90.160000000000011</v>
      </c>
    </row>
    <row r="27" spans="5:14" x14ac:dyDescent="0.3">
      <c r="F27" t="s">
        <v>67</v>
      </c>
      <c r="H27">
        <f>H21+H24</f>
        <v>9.64</v>
      </c>
    </row>
    <row r="28" spans="5:14" x14ac:dyDescent="0.3">
      <c r="F28" t="s">
        <v>68</v>
      </c>
      <c r="H28">
        <f>H22+H25</f>
        <v>90.360000000000014</v>
      </c>
    </row>
    <row r="30" spans="5:14" x14ac:dyDescent="0.3">
      <c r="F30" t="s">
        <v>69</v>
      </c>
      <c r="H30">
        <f>H21/H27</f>
        <v>0.18672199170124482</v>
      </c>
    </row>
    <row r="31" spans="5:14" x14ac:dyDescent="0.3">
      <c r="F31" t="s">
        <v>70</v>
      </c>
      <c r="H31">
        <f>H22/H28</f>
        <v>2.213368747233289E-3</v>
      </c>
    </row>
    <row r="46" spans="5:11" x14ac:dyDescent="0.3">
      <c r="E46" t="s">
        <v>45</v>
      </c>
      <c r="F46">
        <v>0.02</v>
      </c>
      <c r="J46" t="s">
        <v>49</v>
      </c>
      <c r="K46">
        <f>F47*F46</f>
        <v>1.9599999999999999E-2</v>
      </c>
    </row>
    <row r="47" spans="5:11" x14ac:dyDescent="0.3">
      <c r="E47" t="s">
        <v>46</v>
      </c>
      <c r="F47">
        <v>0.98</v>
      </c>
      <c r="J47" t="s">
        <v>50</v>
      </c>
      <c r="K47">
        <f>F48*F49</f>
        <v>7.2000000000000008E-2</v>
      </c>
    </row>
    <row r="48" spans="5:11" x14ac:dyDescent="0.3">
      <c r="E48" t="s">
        <v>47</v>
      </c>
      <c r="F48">
        <v>0.9</v>
      </c>
    </row>
    <row r="49" spans="5:8" x14ac:dyDescent="0.3">
      <c r="E49" t="s">
        <v>48</v>
      </c>
      <c r="F49">
        <v>0.08</v>
      </c>
    </row>
    <row r="52" spans="5:8" x14ac:dyDescent="0.3">
      <c r="G52" t="s">
        <v>51</v>
      </c>
      <c r="H52">
        <f>K46+K47</f>
        <v>9.1600000000000015E-2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5BFF-EB27-4F93-B58A-5EB07A60FFF0}">
  <dimension ref="F3:O23"/>
  <sheetViews>
    <sheetView tabSelected="1" workbookViewId="0">
      <selection activeCell="P23" sqref="P23"/>
    </sheetView>
  </sheetViews>
  <sheetFormatPr defaultRowHeight="14.4" x14ac:dyDescent="0.3"/>
  <cols>
    <col min="6" max="6" width="11" customWidth="1"/>
  </cols>
  <sheetData>
    <row r="3" spans="6:15" x14ac:dyDescent="0.3">
      <c r="H3" t="s">
        <v>71</v>
      </c>
    </row>
    <row r="4" spans="6:15" x14ac:dyDescent="0.3">
      <c r="H4" t="s">
        <v>73</v>
      </c>
      <c r="I4" t="s">
        <v>74</v>
      </c>
    </row>
    <row r="5" spans="6:15" x14ac:dyDescent="0.3">
      <c r="G5" t="s">
        <v>73</v>
      </c>
      <c r="H5">
        <v>18</v>
      </c>
      <c r="I5">
        <v>2</v>
      </c>
    </row>
    <row r="6" spans="6:15" x14ac:dyDescent="0.3">
      <c r="F6" t="s">
        <v>72</v>
      </c>
      <c r="G6" t="s">
        <v>74</v>
      </c>
      <c r="H6">
        <v>7</v>
      </c>
      <c r="I6">
        <v>13</v>
      </c>
    </row>
    <row r="9" spans="6:15" x14ac:dyDescent="0.3">
      <c r="F9" t="s">
        <v>75</v>
      </c>
      <c r="H9">
        <v>0.75</v>
      </c>
    </row>
    <row r="10" spans="6:15" x14ac:dyDescent="0.3">
      <c r="F10" t="s">
        <v>76</v>
      </c>
      <c r="H10">
        <v>0.25</v>
      </c>
    </row>
    <row r="12" spans="6:15" x14ac:dyDescent="0.3">
      <c r="F12" t="s">
        <v>77</v>
      </c>
      <c r="H12">
        <f>18/20</f>
        <v>0.9</v>
      </c>
      <c r="J12" t="s">
        <v>85</v>
      </c>
      <c r="L12">
        <f>H9*H12</f>
        <v>0.67500000000000004</v>
      </c>
      <c r="N12" t="s">
        <v>89</v>
      </c>
      <c r="O12">
        <f>L12+L15</f>
        <v>0.76250000000000007</v>
      </c>
    </row>
    <row r="13" spans="6:15" x14ac:dyDescent="0.3">
      <c r="F13" t="s">
        <v>78</v>
      </c>
      <c r="H13">
        <f>2/20</f>
        <v>0.1</v>
      </c>
      <c r="J13" t="s">
        <v>86</v>
      </c>
      <c r="L13">
        <f>H9*H13</f>
        <v>7.5000000000000011E-2</v>
      </c>
      <c r="N13" t="s">
        <v>90</v>
      </c>
      <c r="O13">
        <f>L13+L16</f>
        <v>0.23750000000000002</v>
      </c>
    </row>
    <row r="15" spans="6:15" x14ac:dyDescent="0.3">
      <c r="F15" t="s">
        <v>79</v>
      </c>
      <c r="H15">
        <f>7/20</f>
        <v>0.35</v>
      </c>
      <c r="J15" t="s">
        <v>87</v>
      </c>
      <c r="L15">
        <f>H10*H15</f>
        <v>8.7499999999999994E-2</v>
      </c>
    </row>
    <row r="16" spans="6:15" x14ac:dyDescent="0.3">
      <c r="F16" t="s">
        <v>80</v>
      </c>
      <c r="H16">
        <f>13/20</f>
        <v>0.65</v>
      </c>
      <c r="J16" t="s">
        <v>88</v>
      </c>
      <c r="L16">
        <f>H10*H16</f>
        <v>0.16250000000000001</v>
      </c>
    </row>
    <row r="19" spans="6:8" x14ac:dyDescent="0.3">
      <c r="F19" t="s">
        <v>81</v>
      </c>
      <c r="H19">
        <f>L12/O12</f>
        <v>0.88524590163934425</v>
      </c>
    </row>
    <row r="20" spans="6:8" x14ac:dyDescent="0.3">
      <c r="F20" t="s">
        <v>82</v>
      </c>
      <c r="H20">
        <f>L13/O13</f>
        <v>0.31578947368421056</v>
      </c>
    </row>
    <row r="22" spans="6:8" x14ac:dyDescent="0.3">
      <c r="F22" t="s">
        <v>83</v>
      </c>
      <c r="H22">
        <f>L15/O12</f>
        <v>0.11475409836065573</v>
      </c>
    </row>
    <row r="23" spans="6:8" x14ac:dyDescent="0.3">
      <c r="F23" t="s">
        <v>84</v>
      </c>
      <c r="H23">
        <f>L16/O13</f>
        <v>0.68421052631578949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Reddy</dc:creator>
  <cp:lastModifiedBy>Jayanth Reddy</cp:lastModifiedBy>
  <dcterms:created xsi:type="dcterms:W3CDTF">2015-06-05T18:17:20Z</dcterms:created>
  <dcterms:modified xsi:type="dcterms:W3CDTF">2026-04-10T05:11:17Z</dcterms:modified>
</cp:coreProperties>
</file>