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327AB16C-1B78-4F8E-A77C-20DB9D82AB2C}" xr6:coauthVersionLast="47" xr6:coauthVersionMax="47" xr10:uidLastSave="{00000000-0000-0000-0000-000000000000}"/>
  <bookViews>
    <workbookView xWindow="-104" yWindow="-104" windowWidth="22326" windowHeight="11947" activeTab="5" xr2:uid="{00000000-000D-0000-FFFF-FFFF00000000}"/>
  </bookViews>
  <sheets>
    <sheet name="sumproduct " sheetId="4" r:id="rId1"/>
    <sheet name="MIN" sheetId="5" r:id="rId2"/>
    <sheet name="MAX 1" sheetId="2" r:id="rId3"/>
    <sheet name="MAX 2" sheetId="6" r:id="rId4"/>
    <sheet name="MAX 3" sheetId="7" r:id="rId5"/>
    <sheet name="BIN MIN" sheetId="9" r:id="rId6"/>
    <sheet name="BIN MIN 2" sheetId="11" r:id="rId7"/>
    <sheet name="bin max 3" sheetId="24" r:id="rId8"/>
    <sheet name="BIN MAX" sheetId="10" r:id="rId9"/>
    <sheet name="BIN MAX 2" sheetId="16" r:id="rId10"/>
    <sheet name="BIN MIN 3" sheetId="15" r:id="rId11"/>
    <sheet name="BIN MIN 4" sheetId="13" r:id="rId12"/>
    <sheet name="MIX INT" sheetId="17" r:id="rId13"/>
    <sheet name="TR 1" sheetId="18" r:id="rId14"/>
    <sheet name="TS" sheetId="22" r:id="rId15"/>
    <sheet name="TR 2" sheetId="21" r:id="rId16"/>
    <sheet name="TR 3" sheetId="20" r:id="rId17"/>
    <sheet name="Sheet3" sheetId="27" r:id="rId18"/>
    <sheet name="JS" sheetId="23" r:id="rId19"/>
    <sheet name="Topics Optimistic" sheetId="8" r:id="rId20"/>
  </sheets>
  <definedNames>
    <definedName name="JT">JS!$A$2:$C$6</definedName>
    <definedName name="solver_adj" localSheetId="8" hidden="1">'BIN MAX'!$Q$26:$Q$29</definedName>
    <definedName name="solver_adj" localSheetId="9" hidden="1">'BIN MAX 2'!$P$5:$P$10</definedName>
    <definedName name="solver_adj" localSheetId="5" hidden="1">'BIN MIN'!$S$3:$S$15</definedName>
    <definedName name="solver_adj" localSheetId="6" hidden="1">'BIN MIN 2'!$M$3:$M$15</definedName>
    <definedName name="solver_adj" localSheetId="10" hidden="1">'BIN MIN 3'!$S$14:$S$17</definedName>
    <definedName name="solver_adj" localSheetId="11" hidden="1">'BIN MIN 4'!$W$15:$W$26</definedName>
    <definedName name="solver_adj" localSheetId="2" hidden="1">'MAX 1'!$Q$5:$Q$6</definedName>
    <definedName name="solver_adj" localSheetId="3" hidden="1">'MAX 2'!$M$4:$M$5</definedName>
    <definedName name="solver_adj" localSheetId="4" hidden="1">'MAX 3'!$N$4:$N$6</definedName>
    <definedName name="solver_adj" localSheetId="1" hidden="1">MIN!$G$5:$G$7</definedName>
    <definedName name="solver_adj" localSheetId="12" hidden="1">'MIX INT'!$L$6:$M$7</definedName>
    <definedName name="solver_adj" localSheetId="17" hidden="1">Sheet3!$W$15:$W$26</definedName>
    <definedName name="solver_adj" localSheetId="13" hidden="1">'TR 1'!$L$10:$O$12</definedName>
    <definedName name="solver_adj" localSheetId="15" hidden="1">'TR 2'!$L$23:$N$25</definedName>
    <definedName name="solver_adj" localSheetId="16" hidden="1">'TR 3'!$P$4:$R$53</definedName>
    <definedName name="solver_cvg" localSheetId="8" hidden="1">0.0001</definedName>
    <definedName name="solver_cvg" localSheetId="9" hidden="1">0.0001</definedName>
    <definedName name="solver_cvg" localSheetId="5" hidden="1">0.0001</definedName>
    <definedName name="solver_cvg" localSheetId="6" hidden="1">0.0001</definedName>
    <definedName name="solver_cvg" localSheetId="10" hidden="1">0.0001</definedName>
    <definedName name="solver_cvg" localSheetId="11" hidden="1">0.0001</definedName>
    <definedName name="solver_cvg" localSheetId="2" hidden="1">0.0001</definedName>
    <definedName name="solver_cvg" localSheetId="3" hidden="1">0.0001</definedName>
    <definedName name="solver_cvg" localSheetId="4" hidden="1">0.0001</definedName>
    <definedName name="solver_cvg" localSheetId="1" hidden="1">0.0001</definedName>
    <definedName name="solver_cvg" localSheetId="12" hidden="1">0.0001</definedName>
    <definedName name="solver_cvg" localSheetId="17" hidden="1">0.0001</definedName>
    <definedName name="solver_cvg" localSheetId="13" hidden="1">0.0001</definedName>
    <definedName name="solver_cvg" localSheetId="15" hidden="1">0.0001</definedName>
    <definedName name="solver_cvg" localSheetId="16" hidden="1">0.0001</definedName>
    <definedName name="solver_cvg" localSheetId="14" hidden="1">0.0001</definedName>
    <definedName name="solver_drv" localSheetId="8" hidden="1">1</definedName>
    <definedName name="solver_drv" localSheetId="9" hidden="1">1</definedName>
    <definedName name="solver_drv" localSheetId="5" hidden="1">1</definedName>
    <definedName name="solver_drv" localSheetId="6" hidden="1">1</definedName>
    <definedName name="solver_drv" localSheetId="10" hidden="1">1</definedName>
    <definedName name="solver_drv" localSheetId="11" hidden="1">1</definedName>
    <definedName name="solver_drv" localSheetId="2" hidden="1">1</definedName>
    <definedName name="solver_drv" localSheetId="3" hidden="1">1</definedName>
    <definedName name="solver_drv" localSheetId="4" hidden="1">1</definedName>
    <definedName name="solver_drv" localSheetId="1" hidden="1">1</definedName>
    <definedName name="solver_drv" localSheetId="12" hidden="1">1</definedName>
    <definedName name="solver_drv" localSheetId="17" hidden="1">1</definedName>
    <definedName name="solver_drv" localSheetId="13" hidden="1">1</definedName>
    <definedName name="solver_drv" localSheetId="15" hidden="1">2</definedName>
    <definedName name="solver_drv" localSheetId="16" hidden="1">2</definedName>
    <definedName name="solver_drv" localSheetId="14" hidden="1">1</definedName>
    <definedName name="solver_eng" localSheetId="8" hidden="1">2</definedName>
    <definedName name="solver_eng" localSheetId="9" hidden="1">1</definedName>
    <definedName name="solver_eng" localSheetId="5" hidden="1">2</definedName>
    <definedName name="solver_eng" localSheetId="6" hidden="1">2</definedName>
    <definedName name="solver_eng" localSheetId="10" hidden="1">2</definedName>
    <definedName name="solver_eng" localSheetId="11" hidden="1">2</definedName>
    <definedName name="solver_eng" localSheetId="2" hidden="1">2</definedName>
    <definedName name="solver_eng" localSheetId="3" hidden="1">2</definedName>
    <definedName name="solver_eng" localSheetId="4" hidden="1">2</definedName>
    <definedName name="solver_eng" localSheetId="1" hidden="1">2</definedName>
    <definedName name="solver_eng" localSheetId="12" hidden="1">1</definedName>
    <definedName name="solver_eng" localSheetId="17" hidden="1">2</definedName>
    <definedName name="solver_eng" localSheetId="13" hidden="1">2</definedName>
    <definedName name="solver_eng" localSheetId="15" hidden="1">1</definedName>
    <definedName name="solver_eng" localSheetId="16" hidden="1">2</definedName>
    <definedName name="solver_eng" localSheetId="14" hidden="1">2</definedName>
    <definedName name="solver_est" localSheetId="8" hidden="1">1</definedName>
    <definedName name="solver_est" localSheetId="9" hidden="1">1</definedName>
    <definedName name="solver_est" localSheetId="5" hidden="1">1</definedName>
    <definedName name="solver_est" localSheetId="6" hidden="1">1</definedName>
    <definedName name="solver_est" localSheetId="10" hidden="1">1</definedName>
    <definedName name="solver_est" localSheetId="11" hidden="1">1</definedName>
    <definedName name="solver_est" localSheetId="2" hidden="1">1</definedName>
    <definedName name="solver_est" localSheetId="3" hidden="1">1</definedName>
    <definedName name="solver_est" localSheetId="4" hidden="1">1</definedName>
    <definedName name="solver_est" localSheetId="1" hidden="1">1</definedName>
    <definedName name="solver_est" localSheetId="12" hidden="1">1</definedName>
    <definedName name="solver_est" localSheetId="17" hidden="1">1</definedName>
    <definedName name="solver_est" localSheetId="13" hidden="1">1</definedName>
    <definedName name="solver_est" localSheetId="15" hidden="1">1</definedName>
    <definedName name="solver_est" localSheetId="16" hidden="1">1</definedName>
    <definedName name="solver_est" localSheetId="14" hidden="1">1</definedName>
    <definedName name="solver_itr" localSheetId="8" hidden="1">2147483647</definedName>
    <definedName name="solver_itr" localSheetId="9" hidden="1">2147483647</definedName>
    <definedName name="solver_itr" localSheetId="5" hidden="1">2147483647</definedName>
    <definedName name="solver_itr" localSheetId="6" hidden="1">2147483647</definedName>
    <definedName name="solver_itr" localSheetId="10" hidden="1">2147483647</definedName>
    <definedName name="solver_itr" localSheetId="11" hidden="1">2147483647</definedName>
    <definedName name="solver_itr" localSheetId="2" hidden="1">2147483647</definedName>
    <definedName name="solver_itr" localSheetId="3" hidden="1">2147483647</definedName>
    <definedName name="solver_itr" localSheetId="4" hidden="1">2147483647</definedName>
    <definedName name="solver_itr" localSheetId="1" hidden="1">2147483647</definedName>
    <definedName name="solver_itr" localSheetId="12" hidden="1">2147483647</definedName>
    <definedName name="solver_itr" localSheetId="17" hidden="1">2147483647</definedName>
    <definedName name="solver_itr" localSheetId="13" hidden="1">2147483647</definedName>
    <definedName name="solver_itr" localSheetId="15" hidden="1">2147483647</definedName>
    <definedName name="solver_itr" localSheetId="16" hidden="1">2147483647</definedName>
    <definedName name="solver_itr" localSheetId="14" hidden="1">2147483647</definedName>
    <definedName name="solver_lhs1" localSheetId="8" hidden="1">'BIN MAX'!$L$41</definedName>
    <definedName name="solver_lhs1" localSheetId="9" hidden="1">'BIN MAX 2'!$L$18:$L$19</definedName>
    <definedName name="solver_lhs1" localSheetId="5" hidden="1">'BIN MIN'!$S$3:$S$15</definedName>
    <definedName name="solver_lhs1" localSheetId="6" hidden="1">'BIN MIN 2'!$M$3:$M$15</definedName>
    <definedName name="solver_lhs1" localSheetId="10" hidden="1">'BIN MIN 3'!$L$23:$L$28</definedName>
    <definedName name="solver_lhs1" localSheetId="11" hidden="1">'BIN MIN 4'!$J$33:$U$33</definedName>
    <definedName name="solver_lhs1" localSheetId="2" hidden="1">'MAX 1'!$Q$10:$Q$12</definedName>
    <definedName name="solver_lhs1" localSheetId="3" hidden="1">'MAX 2'!$L$11:$L$12</definedName>
    <definedName name="solver_lhs1" localSheetId="4" hidden="1">'MAX 3'!$L$12:$L$14</definedName>
    <definedName name="solver_lhs1" localSheetId="1" hidden="1">MIN!$G$5:$G$7</definedName>
    <definedName name="solver_lhs1" localSheetId="12" hidden="1">'MIX INT'!$L$6:$L$7</definedName>
    <definedName name="solver_lhs1" localSheetId="17" hidden="1">Sheet3!$J$33:$U$33</definedName>
    <definedName name="solver_lhs1" localSheetId="13" hidden="1">'TR 1'!$L$10:$O$12</definedName>
    <definedName name="solver_lhs1" localSheetId="15" hidden="1">'TR 2'!$L$23:$N$25</definedName>
    <definedName name="solver_lhs1" localSheetId="16" hidden="1">'TR 3'!$P$2:$R$2</definedName>
    <definedName name="solver_lhs1" localSheetId="14" hidden="1">TS!$M$18:$M$20</definedName>
    <definedName name="solver_lhs2" localSheetId="8" hidden="1">'BIN MAX'!$Q$26:$Q$29</definedName>
    <definedName name="solver_lhs2" localSheetId="9" hidden="1">'BIN MAX 2'!$P$5:$P$10</definedName>
    <definedName name="solver_lhs2" localSheetId="5" hidden="1">'BIN MIN'!$W$9:$W$15</definedName>
    <definedName name="solver_lhs2" localSheetId="6" hidden="1">'BIN MIN 2'!$Q$9:$Q$15</definedName>
    <definedName name="solver_lhs2" localSheetId="10" hidden="1">'BIN MIN 3'!$S$14:$S$17</definedName>
    <definedName name="solver_lhs2" localSheetId="11" hidden="1">'BIN MIN 4'!$U$33</definedName>
    <definedName name="solver_lhs2" localSheetId="2" hidden="1">'MAX 1'!$Q$5:$Q$6</definedName>
    <definedName name="solver_lhs2" localSheetId="3" hidden="1">'MAX 2'!$M$4:$M$5</definedName>
    <definedName name="solver_lhs2" localSheetId="4" hidden="1">'MAX 3'!$N$4:$N$6</definedName>
    <definedName name="solver_lhs2" localSheetId="1" hidden="1">MIN!$L$8:$L$9</definedName>
    <definedName name="solver_lhs2" localSheetId="12" hidden="1">'MIX INT'!$M$14:$M$16</definedName>
    <definedName name="solver_lhs2" localSheetId="17" hidden="1">Sheet3!$W$15:$W$26</definedName>
    <definedName name="solver_lhs2" localSheetId="13" hidden="1">'TR 1'!$M$15:$M$17</definedName>
    <definedName name="solver_lhs2" localSheetId="15" hidden="1">'TR 2'!$R$13:$R$15</definedName>
    <definedName name="solver_lhs2" localSheetId="16" hidden="1">'TR 3'!$P$4</definedName>
    <definedName name="solver_lhs2" localSheetId="14" hidden="1">TS!$M$21:$M$22</definedName>
    <definedName name="solver_lhs3" localSheetId="11" hidden="1">'BIN MIN 4'!$W$15:$W$26</definedName>
    <definedName name="solver_lhs3" localSheetId="12" hidden="1">'MIX INT'!$M$6:$M$7</definedName>
    <definedName name="solver_lhs3" localSheetId="13" hidden="1">'TR 1'!$M$20:$M$23</definedName>
    <definedName name="solver_lhs3" localSheetId="15" hidden="1">'TR 2'!$R$9:$R$11</definedName>
    <definedName name="solver_lhs3" localSheetId="16" hidden="1">'TR 3'!$S$4:$S$53</definedName>
    <definedName name="solver_lhs3" localSheetId="14" hidden="1">TS!$M$21:$M$22</definedName>
    <definedName name="solver_mip" localSheetId="8" hidden="1">2147483647</definedName>
    <definedName name="solver_mip" localSheetId="9" hidden="1">2147483647</definedName>
    <definedName name="solver_mip" localSheetId="5" hidden="1">2147483647</definedName>
    <definedName name="solver_mip" localSheetId="6" hidden="1">2147483647</definedName>
    <definedName name="solver_mip" localSheetId="10" hidden="1">2147483647</definedName>
    <definedName name="solver_mip" localSheetId="1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1" hidden="1">2147483647</definedName>
    <definedName name="solver_mip" localSheetId="12" hidden="1">2147483647</definedName>
    <definedName name="solver_mip" localSheetId="17" hidden="1">2147483647</definedName>
    <definedName name="solver_mip" localSheetId="13" hidden="1">2147483647</definedName>
    <definedName name="solver_mip" localSheetId="15" hidden="1">2147483647</definedName>
    <definedName name="solver_mip" localSheetId="16" hidden="1">2147483647</definedName>
    <definedName name="solver_mip" localSheetId="14" hidden="1">2147483647</definedName>
    <definedName name="solver_mni" localSheetId="8" hidden="1">30</definedName>
    <definedName name="solver_mni" localSheetId="9" hidden="1">30</definedName>
    <definedName name="solver_mni" localSheetId="5" hidden="1">30</definedName>
    <definedName name="solver_mni" localSheetId="6" hidden="1">30</definedName>
    <definedName name="solver_mni" localSheetId="10" hidden="1">30</definedName>
    <definedName name="solver_mni" localSheetId="11" hidden="1">30</definedName>
    <definedName name="solver_mni" localSheetId="2" hidden="1">30</definedName>
    <definedName name="solver_mni" localSheetId="3" hidden="1">30</definedName>
    <definedName name="solver_mni" localSheetId="4" hidden="1">30</definedName>
    <definedName name="solver_mni" localSheetId="1" hidden="1">30</definedName>
    <definedName name="solver_mni" localSheetId="12" hidden="1">30</definedName>
    <definedName name="solver_mni" localSheetId="17" hidden="1">30</definedName>
    <definedName name="solver_mni" localSheetId="13" hidden="1">30</definedName>
    <definedName name="solver_mni" localSheetId="15" hidden="1">30</definedName>
    <definedName name="solver_mni" localSheetId="16" hidden="1">30</definedName>
    <definedName name="solver_mni" localSheetId="14" hidden="1">30</definedName>
    <definedName name="solver_mrt" localSheetId="8" hidden="1">0.075</definedName>
    <definedName name="solver_mrt" localSheetId="9" hidden="1">0.075</definedName>
    <definedName name="solver_mrt" localSheetId="5" hidden="1">0.075</definedName>
    <definedName name="solver_mrt" localSheetId="6" hidden="1">0.075</definedName>
    <definedName name="solver_mrt" localSheetId="10" hidden="1">0.075</definedName>
    <definedName name="solver_mrt" localSheetId="11" hidden="1">0.075</definedName>
    <definedName name="solver_mrt" localSheetId="2" hidden="1">0.075</definedName>
    <definedName name="solver_mrt" localSheetId="3" hidden="1">0.075</definedName>
    <definedName name="solver_mrt" localSheetId="4" hidden="1">0.075</definedName>
    <definedName name="solver_mrt" localSheetId="1" hidden="1">0.075</definedName>
    <definedName name="solver_mrt" localSheetId="12" hidden="1">0.075</definedName>
    <definedName name="solver_mrt" localSheetId="17" hidden="1">0.075</definedName>
    <definedName name="solver_mrt" localSheetId="13" hidden="1">0.075</definedName>
    <definedName name="solver_mrt" localSheetId="15" hidden="1">0.075</definedName>
    <definedName name="solver_mrt" localSheetId="16" hidden="1">0.075</definedName>
    <definedName name="solver_mrt" localSheetId="14" hidden="1">0.075</definedName>
    <definedName name="solver_msl" localSheetId="8" hidden="1">2</definedName>
    <definedName name="solver_msl" localSheetId="9" hidden="1">2</definedName>
    <definedName name="solver_msl" localSheetId="5" hidden="1">2</definedName>
    <definedName name="solver_msl" localSheetId="6" hidden="1">2</definedName>
    <definedName name="solver_msl" localSheetId="10" hidden="1">2</definedName>
    <definedName name="solver_msl" localSheetId="11" hidden="1">2</definedName>
    <definedName name="solver_msl" localSheetId="2" hidden="1">2</definedName>
    <definedName name="solver_msl" localSheetId="3" hidden="1">2</definedName>
    <definedName name="solver_msl" localSheetId="4" hidden="1">2</definedName>
    <definedName name="solver_msl" localSheetId="1" hidden="1">2</definedName>
    <definedName name="solver_msl" localSheetId="12" hidden="1">2</definedName>
    <definedName name="solver_msl" localSheetId="17" hidden="1">2</definedName>
    <definedName name="solver_msl" localSheetId="13" hidden="1">2</definedName>
    <definedName name="solver_msl" localSheetId="15" hidden="1">2</definedName>
    <definedName name="solver_msl" localSheetId="16" hidden="1">2</definedName>
    <definedName name="solver_msl" localSheetId="14" hidden="1">2</definedName>
    <definedName name="solver_neg" localSheetId="8" hidden="1">1</definedName>
    <definedName name="solver_neg" localSheetId="9" hidden="1">1</definedName>
    <definedName name="solver_neg" localSheetId="5" hidden="1">1</definedName>
    <definedName name="solver_neg" localSheetId="6" hidden="1">1</definedName>
    <definedName name="solver_neg" localSheetId="10" hidden="1">1</definedName>
    <definedName name="solver_neg" localSheetId="11" hidden="1">1</definedName>
    <definedName name="solver_neg" localSheetId="2" hidden="1">1</definedName>
    <definedName name="solver_neg" localSheetId="3" hidden="1">1</definedName>
    <definedName name="solver_neg" localSheetId="4" hidden="1">1</definedName>
    <definedName name="solver_neg" localSheetId="1" hidden="1">1</definedName>
    <definedName name="solver_neg" localSheetId="12" hidden="1">1</definedName>
    <definedName name="solver_neg" localSheetId="17" hidden="1">1</definedName>
    <definedName name="solver_neg" localSheetId="13" hidden="1">1</definedName>
    <definedName name="solver_neg" localSheetId="15" hidden="1">1</definedName>
    <definedName name="solver_neg" localSheetId="16" hidden="1">1</definedName>
    <definedName name="solver_neg" localSheetId="14" hidden="1">1</definedName>
    <definedName name="solver_nod" localSheetId="8" hidden="1">2147483647</definedName>
    <definedName name="solver_nod" localSheetId="9" hidden="1">2147483647</definedName>
    <definedName name="solver_nod" localSheetId="5" hidden="1">2147483647</definedName>
    <definedName name="solver_nod" localSheetId="6" hidden="1">2147483647</definedName>
    <definedName name="solver_nod" localSheetId="10" hidden="1">2147483647</definedName>
    <definedName name="solver_nod" localSheetId="1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1" hidden="1">2147483647</definedName>
    <definedName name="solver_nod" localSheetId="12" hidden="1">2147483647</definedName>
    <definedName name="solver_nod" localSheetId="17" hidden="1">2147483647</definedName>
    <definedName name="solver_nod" localSheetId="13" hidden="1">2147483647</definedName>
    <definedName name="solver_nod" localSheetId="15" hidden="1">2147483647</definedName>
    <definedName name="solver_nod" localSheetId="16" hidden="1">2147483647</definedName>
    <definedName name="solver_nod" localSheetId="14" hidden="1">2147483647</definedName>
    <definedName name="solver_num" localSheetId="8" hidden="1">2</definedName>
    <definedName name="solver_num" localSheetId="9" hidden="1">2</definedName>
    <definedName name="solver_num" localSheetId="5" hidden="1">2</definedName>
    <definedName name="solver_num" localSheetId="6" hidden="1">2</definedName>
    <definedName name="solver_num" localSheetId="10" hidden="1">2</definedName>
    <definedName name="solver_num" localSheetId="11" hidden="1">3</definedName>
    <definedName name="solver_num" localSheetId="2" hidden="1">2</definedName>
    <definedName name="solver_num" localSheetId="3" hidden="1">2</definedName>
    <definedName name="solver_num" localSheetId="4" hidden="1">2</definedName>
    <definedName name="solver_num" localSheetId="1" hidden="1">2</definedName>
    <definedName name="solver_num" localSheetId="12" hidden="1">3</definedName>
    <definedName name="solver_num" localSheetId="17" hidden="1">2</definedName>
    <definedName name="solver_num" localSheetId="13" hidden="1">3</definedName>
    <definedName name="solver_num" localSheetId="15" hidden="1">3</definedName>
    <definedName name="solver_num" localSheetId="16" hidden="1">3</definedName>
    <definedName name="solver_num" localSheetId="14" hidden="1">2</definedName>
    <definedName name="solver_nwt" localSheetId="8" hidden="1">1</definedName>
    <definedName name="solver_nwt" localSheetId="9" hidden="1">1</definedName>
    <definedName name="solver_nwt" localSheetId="5" hidden="1">1</definedName>
    <definedName name="solver_nwt" localSheetId="6" hidden="1">1</definedName>
    <definedName name="solver_nwt" localSheetId="10" hidden="1">1</definedName>
    <definedName name="solver_nwt" localSheetId="11" hidden="1">1</definedName>
    <definedName name="solver_nwt" localSheetId="2" hidden="1">1</definedName>
    <definedName name="solver_nwt" localSheetId="3" hidden="1">1</definedName>
    <definedName name="solver_nwt" localSheetId="4" hidden="1">1</definedName>
    <definedName name="solver_nwt" localSheetId="1" hidden="1">1</definedName>
    <definedName name="solver_nwt" localSheetId="12" hidden="1">1</definedName>
    <definedName name="solver_nwt" localSheetId="17" hidden="1">1</definedName>
    <definedName name="solver_nwt" localSheetId="13" hidden="1">1</definedName>
    <definedName name="solver_nwt" localSheetId="15" hidden="1">1</definedName>
    <definedName name="solver_nwt" localSheetId="16" hidden="1">1</definedName>
    <definedName name="solver_nwt" localSheetId="14" hidden="1">1</definedName>
    <definedName name="solver_opt" localSheetId="8" hidden="1">'BIN MAX'!$L$35</definedName>
    <definedName name="solver_opt" localSheetId="9" hidden="1">'BIN MAX 2'!$O$14</definedName>
    <definedName name="solver_opt" localSheetId="5" hidden="1">'BIN MIN'!$W$4</definedName>
    <definedName name="solver_opt" localSheetId="6" hidden="1">'BIN MIN 2'!$Q$4</definedName>
    <definedName name="solver_opt" localSheetId="10" hidden="1">'BIN MIN 3'!$Q$20</definedName>
    <definedName name="solver_opt" localSheetId="11" hidden="1">'BIN MIN 4'!$J$29</definedName>
    <definedName name="solver_opt" localSheetId="2" hidden="1">'MAX 1'!$P$15</definedName>
    <definedName name="solver_opt" localSheetId="3" hidden="1">'MAX 2'!$N$8</definedName>
    <definedName name="solver_opt" localSheetId="4" hidden="1">'MAX 3'!$L$9</definedName>
    <definedName name="solver_opt" localSheetId="1" hidden="1">MIN!$L$5</definedName>
    <definedName name="solver_opt" localSheetId="12" hidden="1">'MIX INT'!$L$11</definedName>
    <definedName name="solver_opt" localSheetId="17" hidden="1">Sheet3!$J$29</definedName>
    <definedName name="solver_opt" localSheetId="13" hidden="1">'TR 1'!$P$26</definedName>
    <definedName name="solver_opt" localSheetId="15" hidden="1">'TR 2'!$Q$4</definedName>
    <definedName name="solver_opt" localSheetId="16" hidden="1">'TR 3'!$W$5</definedName>
    <definedName name="solver_opt" localSheetId="14" hidden="1">TS!$L$15</definedName>
    <definedName name="solver_pre" localSheetId="8" hidden="1">0.000001</definedName>
    <definedName name="solver_pre" localSheetId="9" hidden="1">0.000001</definedName>
    <definedName name="solver_pre" localSheetId="5" hidden="1">0.000001</definedName>
    <definedName name="solver_pre" localSheetId="6" hidden="1">0.000001</definedName>
    <definedName name="solver_pre" localSheetId="10" hidden="1">0.000001</definedName>
    <definedName name="solver_pre" localSheetId="11" hidden="1">0.000001</definedName>
    <definedName name="solver_pre" localSheetId="2" hidden="1">0.000001</definedName>
    <definedName name="solver_pre" localSheetId="3" hidden="1">0.000001</definedName>
    <definedName name="solver_pre" localSheetId="4" hidden="1">0.000001</definedName>
    <definedName name="solver_pre" localSheetId="1" hidden="1">0.000001</definedName>
    <definedName name="solver_pre" localSheetId="12" hidden="1">0.000001</definedName>
    <definedName name="solver_pre" localSheetId="17" hidden="1">0.000001</definedName>
    <definedName name="solver_pre" localSheetId="13" hidden="1">0.000001</definedName>
    <definedName name="solver_pre" localSheetId="15" hidden="1">0.000001</definedName>
    <definedName name="solver_pre" localSheetId="16" hidden="1">0.000001</definedName>
    <definedName name="solver_pre" localSheetId="14" hidden="1">0.000001</definedName>
    <definedName name="solver_rbv" localSheetId="8" hidden="1">1</definedName>
    <definedName name="solver_rbv" localSheetId="9" hidden="1">1</definedName>
    <definedName name="solver_rbv" localSheetId="5" hidden="1">1</definedName>
    <definedName name="solver_rbv" localSheetId="6" hidden="1">1</definedName>
    <definedName name="solver_rbv" localSheetId="10" hidden="1">1</definedName>
    <definedName name="solver_rbv" localSheetId="11" hidden="1">1</definedName>
    <definedName name="solver_rbv" localSheetId="2" hidden="1">1</definedName>
    <definedName name="solver_rbv" localSheetId="3" hidden="1">1</definedName>
    <definedName name="solver_rbv" localSheetId="4" hidden="1">1</definedName>
    <definedName name="solver_rbv" localSheetId="1" hidden="1">1</definedName>
    <definedName name="solver_rbv" localSheetId="12" hidden="1">1</definedName>
    <definedName name="solver_rbv" localSheetId="17" hidden="1">1</definedName>
    <definedName name="solver_rbv" localSheetId="13" hidden="1">1</definedName>
    <definedName name="solver_rbv" localSheetId="15" hidden="1">2</definedName>
    <definedName name="solver_rbv" localSheetId="16" hidden="1">2</definedName>
    <definedName name="solver_rbv" localSheetId="14" hidden="1">1</definedName>
    <definedName name="solver_rel1" localSheetId="8" hidden="1">1</definedName>
    <definedName name="solver_rel1" localSheetId="9" hidden="1">1</definedName>
    <definedName name="solver_rel1" localSheetId="5" hidden="1">5</definedName>
    <definedName name="solver_rel1" localSheetId="6" hidden="1">5</definedName>
    <definedName name="solver_rel1" localSheetId="10" hidden="1">3</definedName>
    <definedName name="solver_rel1" localSheetId="11" hidden="1">3</definedName>
    <definedName name="solver_rel1" localSheetId="2" hidden="1">1</definedName>
    <definedName name="solver_rel1" localSheetId="3" hidden="1">1</definedName>
    <definedName name="solver_rel1" localSheetId="4" hidden="1">1</definedName>
    <definedName name="solver_rel1" localSheetId="1" hidden="1">4</definedName>
    <definedName name="solver_rel1" localSheetId="12" hidden="1">5</definedName>
    <definedName name="solver_rel1" localSheetId="17" hidden="1">3</definedName>
    <definedName name="solver_rel1" localSheetId="13" hidden="1">4</definedName>
    <definedName name="solver_rel1" localSheetId="15" hidden="1">4</definedName>
    <definedName name="solver_rel1" localSheetId="16" hidden="1">1</definedName>
    <definedName name="solver_rel1" localSheetId="14" hidden="1">2</definedName>
    <definedName name="solver_rel2" localSheetId="8" hidden="1">5</definedName>
    <definedName name="solver_rel2" localSheetId="9" hidden="1">5</definedName>
    <definedName name="solver_rel2" localSheetId="5" hidden="1">3</definedName>
    <definedName name="solver_rel2" localSheetId="6" hidden="1">3</definedName>
    <definedName name="solver_rel2" localSheetId="10" hidden="1">5</definedName>
    <definedName name="solver_rel2" localSheetId="11" hidden="1">2</definedName>
    <definedName name="solver_rel2" localSheetId="2" hidden="1">4</definedName>
    <definedName name="solver_rel2" localSheetId="3" hidden="1">4</definedName>
    <definedName name="solver_rel2" localSheetId="4" hidden="1">4</definedName>
    <definedName name="solver_rel2" localSheetId="1" hidden="1">3</definedName>
    <definedName name="solver_rel2" localSheetId="12" hidden="1">1</definedName>
    <definedName name="solver_rel2" localSheetId="17" hidden="1">5</definedName>
    <definedName name="solver_rel2" localSheetId="13" hidden="1">1</definedName>
    <definedName name="solver_rel2" localSheetId="15" hidden="1">2</definedName>
    <definedName name="solver_rel2" localSheetId="16" hidden="1">5</definedName>
    <definedName name="solver_rel2" localSheetId="14" hidden="1">2</definedName>
    <definedName name="solver_rel3" localSheetId="11" hidden="1">5</definedName>
    <definedName name="solver_rel3" localSheetId="12" hidden="1">4</definedName>
    <definedName name="solver_rel3" localSheetId="13" hidden="1">3</definedName>
    <definedName name="solver_rel3" localSheetId="15" hidden="1">2</definedName>
    <definedName name="solver_rel3" localSheetId="16" hidden="1">2</definedName>
    <definedName name="solver_rel3" localSheetId="14" hidden="1">1</definedName>
    <definedName name="solver_rhs1" localSheetId="8" hidden="1">'BIN MAX'!$R$43</definedName>
    <definedName name="solver_rhs1" localSheetId="9" hidden="1">'BIN MAX 2'!$N$18:$N$19</definedName>
    <definedName name="solver_rhs1" localSheetId="5" hidden="1">binary</definedName>
    <definedName name="solver_rhs1" localSheetId="6" hidden="1">binary</definedName>
    <definedName name="solver_rhs1" localSheetId="10" hidden="1">'BIN MIN 3'!$N$23:$N$28</definedName>
    <definedName name="solver_rhs1" localSheetId="11" hidden="1">'BIN MIN 4'!$J$35:$U$35</definedName>
    <definedName name="solver_rhs1" localSheetId="2" hidden="1">'MAX 1'!$S$10:$S$12</definedName>
    <definedName name="solver_rhs1" localSheetId="3" hidden="1">'MAX 2'!$N$11:$N$12</definedName>
    <definedName name="solver_rhs1" localSheetId="4" hidden="1">'MAX 3'!$N$12:$N$14</definedName>
    <definedName name="solver_rhs1" localSheetId="1" hidden="1">integer</definedName>
    <definedName name="solver_rhs1" localSheetId="12" hidden="1">binary</definedName>
    <definedName name="solver_rhs1" localSheetId="17" hidden="1">Sheet3!$J$35:$U$35</definedName>
    <definedName name="solver_rhs1" localSheetId="13" hidden="1">integer</definedName>
    <definedName name="solver_rhs1" localSheetId="15" hidden="1">integer</definedName>
    <definedName name="solver_rhs1" localSheetId="16" hidden="1">'TR 3'!$P$1:$R$1</definedName>
    <definedName name="solver_rhs1" localSheetId="14" hidden="1">TS!$O$18:$O$20</definedName>
    <definedName name="solver_rhs2" localSheetId="8" hidden="1">"binary"</definedName>
    <definedName name="solver_rhs2" localSheetId="9" hidden="1">"binary"</definedName>
    <definedName name="solver_rhs2" localSheetId="5" hidden="1">'BIN MIN'!$Y$9:$Y$15</definedName>
    <definedName name="solver_rhs2" localSheetId="6" hidden="1">'BIN MIN 2'!$S$9:$S$15</definedName>
    <definedName name="solver_rhs2" localSheetId="10" hidden="1">"binary"</definedName>
    <definedName name="solver_rhs2" localSheetId="11" hidden="1">0</definedName>
    <definedName name="solver_rhs2" localSheetId="2" hidden="1">integer</definedName>
    <definedName name="solver_rhs2" localSheetId="3" hidden="1">integer</definedName>
    <definedName name="solver_rhs2" localSheetId="4" hidden="1">integer</definedName>
    <definedName name="solver_rhs2" localSheetId="1" hidden="1">MIN!$N$8:$N$9</definedName>
    <definedName name="solver_rhs2" localSheetId="12" hidden="1">'MIX INT'!$O$14:$O$16</definedName>
    <definedName name="solver_rhs2" localSheetId="17" hidden="1">"binary"</definedName>
    <definedName name="solver_rhs2" localSheetId="13" hidden="1">'TR 1'!$O$15:$O$17</definedName>
    <definedName name="solver_rhs2" localSheetId="15" hidden="1">'TR 2'!$T$13:$T$15</definedName>
    <definedName name="solver_rhs2" localSheetId="16" hidden="1">binary</definedName>
    <definedName name="solver_rhs2" localSheetId="14" hidden="1">TS!$O$21:$O$22</definedName>
    <definedName name="solver_rhs3" localSheetId="11" hidden="1">"binary"</definedName>
    <definedName name="solver_rhs3" localSheetId="12" hidden="1">integer</definedName>
    <definedName name="solver_rhs3" localSheetId="13" hidden="1">'TR 1'!$O$20:$O$23</definedName>
    <definedName name="solver_rhs3" localSheetId="15" hidden="1">'TR 2'!$T$9:$T$11</definedName>
    <definedName name="solver_rhs3" localSheetId="16" hidden="1">1</definedName>
    <definedName name="solver_rhs3" localSheetId="14" hidden="1">TS!$O$21:$O$22</definedName>
    <definedName name="solver_rlx" localSheetId="8" hidden="1">2</definedName>
    <definedName name="solver_rlx" localSheetId="9" hidden="1">2</definedName>
    <definedName name="solver_rlx" localSheetId="5" hidden="1">2</definedName>
    <definedName name="solver_rlx" localSheetId="6" hidden="1">2</definedName>
    <definedName name="solver_rlx" localSheetId="10" hidden="1">2</definedName>
    <definedName name="solver_rlx" localSheetId="11" hidden="1">2</definedName>
    <definedName name="solver_rlx" localSheetId="2" hidden="1">2</definedName>
    <definedName name="solver_rlx" localSheetId="3" hidden="1">2</definedName>
    <definedName name="solver_rlx" localSheetId="4" hidden="1">2</definedName>
    <definedName name="solver_rlx" localSheetId="1" hidden="1">2</definedName>
    <definedName name="solver_rlx" localSheetId="12" hidden="1">2</definedName>
    <definedName name="solver_rlx" localSheetId="17" hidden="1">2</definedName>
    <definedName name="solver_rlx" localSheetId="13" hidden="1">2</definedName>
    <definedName name="solver_rlx" localSheetId="15" hidden="1">2</definedName>
    <definedName name="solver_rlx" localSheetId="16" hidden="1">2</definedName>
    <definedName name="solver_rlx" localSheetId="14" hidden="1">2</definedName>
    <definedName name="solver_rsd" localSheetId="8" hidden="1">0</definedName>
    <definedName name="solver_rsd" localSheetId="9" hidden="1">0</definedName>
    <definedName name="solver_rsd" localSheetId="5" hidden="1">0</definedName>
    <definedName name="solver_rsd" localSheetId="6" hidden="1">0</definedName>
    <definedName name="solver_rsd" localSheetId="10" hidden="1">0</definedName>
    <definedName name="solver_rsd" localSheetId="11" hidden="1">0</definedName>
    <definedName name="solver_rsd" localSheetId="2" hidden="1">0</definedName>
    <definedName name="solver_rsd" localSheetId="3" hidden="1">0</definedName>
    <definedName name="solver_rsd" localSheetId="4" hidden="1">0</definedName>
    <definedName name="solver_rsd" localSheetId="1" hidden="1">0</definedName>
    <definedName name="solver_rsd" localSheetId="12" hidden="1">0</definedName>
    <definedName name="solver_rsd" localSheetId="17" hidden="1">0</definedName>
    <definedName name="solver_rsd" localSheetId="13" hidden="1">0</definedName>
    <definedName name="solver_rsd" localSheetId="15" hidden="1">0</definedName>
    <definedName name="solver_rsd" localSheetId="16" hidden="1">0</definedName>
    <definedName name="solver_rsd" localSheetId="14" hidden="1">0</definedName>
    <definedName name="solver_scl" localSheetId="8" hidden="1">1</definedName>
    <definedName name="solver_scl" localSheetId="9" hidden="1">1</definedName>
    <definedName name="solver_scl" localSheetId="5" hidden="1">1</definedName>
    <definedName name="solver_scl" localSheetId="6" hidden="1">1</definedName>
    <definedName name="solver_scl" localSheetId="10" hidden="1">1</definedName>
    <definedName name="solver_scl" localSheetId="11" hidden="1">1</definedName>
    <definedName name="solver_scl" localSheetId="2" hidden="1">1</definedName>
    <definedName name="solver_scl" localSheetId="3" hidden="1">1</definedName>
    <definedName name="solver_scl" localSheetId="4" hidden="1">1</definedName>
    <definedName name="solver_scl" localSheetId="1" hidden="1">1</definedName>
    <definedName name="solver_scl" localSheetId="12" hidden="1">1</definedName>
    <definedName name="solver_scl" localSheetId="17" hidden="1">1</definedName>
    <definedName name="solver_scl" localSheetId="13" hidden="1">1</definedName>
    <definedName name="solver_scl" localSheetId="15" hidden="1">2</definedName>
    <definedName name="solver_scl" localSheetId="16" hidden="1">2</definedName>
    <definedName name="solver_scl" localSheetId="14" hidden="1">1</definedName>
    <definedName name="solver_sho" localSheetId="8" hidden="1">2</definedName>
    <definedName name="solver_sho" localSheetId="9" hidden="1">2</definedName>
    <definedName name="solver_sho" localSheetId="5" hidden="1">2</definedName>
    <definedName name="solver_sho" localSheetId="6" hidden="1">2</definedName>
    <definedName name="solver_sho" localSheetId="10" hidden="1">2</definedName>
    <definedName name="solver_sho" localSheetId="11" hidden="1">2</definedName>
    <definedName name="solver_sho" localSheetId="2" hidden="1">2</definedName>
    <definedName name="solver_sho" localSheetId="3" hidden="1">2</definedName>
    <definedName name="solver_sho" localSheetId="4" hidden="1">2</definedName>
    <definedName name="solver_sho" localSheetId="1" hidden="1">2</definedName>
    <definedName name="solver_sho" localSheetId="12" hidden="1">2</definedName>
    <definedName name="solver_sho" localSheetId="17" hidden="1">2</definedName>
    <definedName name="solver_sho" localSheetId="13" hidden="1">2</definedName>
    <definedName name="solver_sho" localSheetId="15" hidden="1">2</definedName>
    <definedName name="solver_sho" localSheetId="16" hidden="1">2</definedName>
    <definedName name="solver_sho" localSheetId="14" hidden="1">2</definedName>
    <definedName name="solver_ssz" localSheetId="8" hidden="1">100</definedName>
    <definedName name="solver_ssz" localSheetId="9" hidden="1">100</definedName>
    <definedName name="solver_ssz" localSheetId="5" hidden="1">100</definedName>
    <definedName name="solver_ssz" localSheetId="6" hidden="1">100</definedName>
    <definedName name="solver_ssz" localSheetId="10" hidden="1">100</definedName>
    <definedName name="solver_ssz" localSheetId="11" hidden="1">100</definedName>
    <definedName name="solver_ssz" localSheetId="2" hidden="1">100</definedName>
    <definedName name="solver_ssz" localSheetId="3" hidden="1">100</definedName>
    <definedName name="solver_ssz" localSheetId="4" hidden="1">100</definedName>
    <definedName name="solver_ssz" localSheetId="1" hidden="1">100</definedName>
    <definedName name="solver_ssz" localSheetId="12" hidden="1">100</definedName>
    <definedName name="solver_ssz" localSheetId="17" hidden="1">100</definedName>
    <definedName name="solver_ssz" localSheetId="13" hidden="1">100</definedName>
    <definedName name="solver_ssz" localSheetId="15" hidden="1">100</definedName>
    <definedName name="solver_ssz" localSheetId="16" hidden="1">100</definedName>
    <definedName name="solver_ssz" localSheetId="14" hidden="1">100</definedName>
    <definedName name="solver_tim" localSheetId="8" hidden="1">2147483647</definedName>
    <definedName name="solver_tim" localSheetId="9" hidden="1">2147483647</definedName>
    <definedName name="solver_tim" localSheetId="5" hidden="1">2147483647</definedName>
    <definedName name="solver_tim" localSheetId="6" hidden="1">2147483647</definedName>
    <definedName name="solver_tim" localSheetId="10" hidden="1">2147483647</definedName>
    <definedName name="solver_tim" localSheetId="11" hidden="1">2147483647</definedName>
    <definedName name="solver_tim" localSheetId="2" hidden="1">2147483647</definedName>
    <definedName name="solver_tim" localSheetId="3" hidden="1">2147483647</definedName>
    <definedName name="solver_tim" localSheetId="4" hidden="1">2147483647</definedName>
    <definedName name="solver_tim" localSheetId="1" hidden="1">2147483647</definedName>
    <definedName name="solver_tim" localSheetId="12" hidden="1">2147483647</definedName>
    <definedName name="solver_tim" localSheetId="17" hidden="1">2147483647</definedName>
    <definedName name="solver_tim" localSheetId="13" hidden="1">2147483647</definedName>
    <definedName name="solver_tim" localSheetId="15" hidden="1">2147483647</definedName>
    <definedName name="solver_tim" localSheetId="16" hidden="1">2147483647</definedName>
    <definedName name="solver_tim" localSheetId="14" hidden="1">2147483647</definedName>
    <definedName name="solver_tol" localSheetId="8" hidden="1">0.01</definedName>
    <definedName name="solver_tol" localSheetId="9" hidden="1">0.01</definedName>
    <definedName name="solver_tol" localSheetId="5" hidden="1">0.01</definedName>
    <definedName name="solver_tol" localSheetId="6" hidden="1">0.01</definedName>
    <definedName name="solver_tol" localSheetId="10" hidden="1">0.01</definedName>
    <definedName name="solver_tol" localSheetId="11" hidden="1">0.01</definedName>
    <definedName name="solver_tol" localSheetId="2" hidden="1">0.01</definedName>
    <definedName name="solver_tol" localSheetId="3" hidden="1">0.01</definedName>
    <definedName name="solver_tol" localSheetId="4" hidden="1">0.01</definedName>
    <definedName name="solver_tol" localSheetId="1" hidden="1">0.01</definedName>
    <definedName name="solver_tol" localSheetId="12" hidden="1">0.01</definedName>
    <definedName name="solver_tol" localSheetId="17" hidden="1">0.01</definedName>
    <definedName name="solver_tol" localSheetId="13" hidden="1">0.01</definedName>
    <definedName name="solver_tol" localSheetId="15" hidden="1">0.01</definedName>
    <definedName name="solver_tol" localSheetId="16" hidden="1">0.01</definedName>
    <definedName name="solver_tol" localSheetId="14" hidden="1">0.01</definedName>
    <definedName name="solver_typ" localSheetId="8" hidden="1">1</definedName>
    <definedName name="solver_typ" localSheetId="9" hidden="1">1</definedName>
    <definedName name="solver_typ" localSheetId="5" hidden="1">2</definedName>
    <definedName name="solver_typ" localSheetId="6" hidden="1">2</definedName>
    <definedName name="solver_typ" localSheetId="10" hidden="1">2</definedName>
    <definedName name="solver_typ" localSheetId="11" hidden="1">2</definedName>
    <definedName name="solver_typ" localSheetId="2" hidden="1">1</definedName>
    <definedName name="solver_typ" localSheetId="3" hidden="1">1</definedName>
    <definedName name="solver_typ" localSheetId="4" hidden="1">1</definedName>
    <definedName name="solver_typ" localSheetId="1" hidden="1">2</definedName>
    <definedName name="solver_typ" localSheetId="12" hidden="1">1</definedName>
    <definedName name="solver_typ" localSheetId="17" hidden="1">2</definedName>
    <definedName name="solver_typ" localSheetId="13" hidden="1">2</definedName>
    <definedName name="solver_typ" localSheetId="15" hidden="1">2</definedName>
    <definedName name="solver_typ" localSheetId="16" hidden="1">1</definedName>
    <definedName name="solver_typ" localSheetId="14" hidden="1">2</definedName>
    <definedName name="solver_val" localSheetId="8" hidden="1">0</definedName>
    <definedName name="solver_val" localSheetId="9" hidden="1">0</definedName>
    <definedName name="solver_val" localSheetId="5" hidden="1">0</definedName>
    <definedName name="solver_val" localSheetId="6" hidden="1">0</definedName>
    <definedName name="solver_val" localSheetId="10" hidden="1">0</definedName>
    <definedName name="solver_val" localSheetId="11" hidden="1">0</definedName>
    <definedName name="solver_val" localSheetId="2" hidden="1">0</definedName>
    <definedName name="solver_val" localSheetId="3" hidden="1">0</definedName>
    <definedName name="solver_val" localSheetId="4" hidden="1">0</definedName>
    <definedName name="solver_val" localSheetId="1" hidden="1">0</definedName>
    <definedName name="solver_val" localSheetId="12" hidden="1">0</definedName>
    <definedName name="solver_val" localSheetId="17" hidden="1">0</definedName>
    <definedName name="solver_val" localSheetId="13" hidden="1">0</definedName>
    <definedName name="solver_val" localSheetId="15" hidden="1">0</definedName>
    <definedName name="solver_val" localSheetId="16" hidden="1">0</definedName>
    <definedName name="solver_val" localSheetId="14" hidden="1">0</definedName>
    <definedName name="solver_ver" localSheetId="8" hidden="1">3</definedName>
    <definedName name="solver_ver" localSheetId="9" hidden="1">3</definedName>
    <definedName name="solver_ver" localSheetId="5" hidden="1">3</definedName>
    <definedName name="solver_ver" localSheetId="6" hidden="1">3</definedName>
    <definedName name="solver_ver" localSheetId="10" hidden="1">3</definedName>
    <definedName name="solver_ver" localSheetId="11" hidden="1">3</definedName>
    <definedName name="solver_ver" localSheetId="2" hidden="1">3</definedName>
    <definedName name="solver_ver" localSheetId="3" hidden="1">3</definedName>
    <definedName name="solver_ver" localSheetId="4" hidden="1">3</definedName>
    <definedName name="solver_ver" localSheetId="1" hidden="1">3</definedName>
    <definedName name="solver_ver" localSheetId="12" hidden="1">3</definedName>
    <definedName name="solver_ver" localSheetId="17" hidden="1">3</definedName>
    <definedName name="solver_ver" localSheetId="13" hidden="1">3</definedName>
    <definedName name="solver_ver" localSheetId="15" hidden="1">3</definedName>
    <definedName name="solver_ver" localSheetId="16" hidden="1">3</definedName>
    <definedName name="solver_ver" localSheetId="14"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 i="4" l="1"/>
  <c r="J12" i="4"/>
  <c r="U33" i="27"/>
  <c r="T33" i="27"/>
  <c r="S33" i="27"/>
  <c r="R33" i="27"/>
  <c r="Q33" i="27"/>
  <c r="P33" i="27"/>
  <c r="O33" i="27"/>
  <c r="N33" i="27"/>
  <c r="M33" i="27"/>
  <c r="L33" i="27"/>
  <c r="K33" i="27"/>
  <c r="J33" i="27"/>
  <c r="J29" i="27"/>
  <c r="K33" i="13"/>
  <c r="L41" i="10"/>
  <c r="L35" i="10"/>
  <c r="Q13" i="10"/>
  <c r="O18" i="10"/>
  <c r="M16" i="22"/>
  <c r="N23" i="22"/>
  <c r="N22" i="22"/>
  <c r="P21" i="22"/>
  <c r="N21" i="22"/>
  <c r="N20" i="22"/>
  <c r="N19" i="22"/>
  <c r="M16" i="18" l="1"/>
  <c r="P26" i="18"/>
  <c r="V8" i="18"/>
  <c r="M52" i="16"/>
  <c r="M51" i="16"/>
  <c r="M49" i="16"/>
  <c r="J29" i="13" l="1"/>
  <c r="Q20" i="15"/>
  <c r="L28" i="15"/>
  <c r="L27" i="15"/>
  <c r="L26" i="15"/>
  <c r="L25" i="15"/>
  <c r="L24" i="15"/>
  <c r="L23" i="15"/>
  <c r="O14" i="16"/>
  <c r="L18" i="16"/>
  <c r="L19" i="16"/>
  <c r="O13" i="24"/>
  <c r="Q10" i="24"/>
  <c r="E4" i="23" l="1"/>
  <c r="E5" i="23"/>
  <c r="E6" i="23"/>
  <c r="E7" i="23"/>
  <c r="E8" i="23"/>
  <c r="E9" i="23"/>
  <c r="E10" i="23"/>
  <c r="E11" i="23"/>
  <c r="E12" i="23"/>
  <c r="D7" i="23"/>
  <c r="F7" i="23" s="1"/>
  <c r="D8" i="23"/>
  <c r="F8" i="23" s="1"/>
  <c r="D9" i="23"/>
  <c r="F9" i="23" s="1"/>
  <c r="D10" i="23"/>
  <c r="F10" i="23" s="1"/>
  <c r="D11" i="23"/>
  <c r="F11" i="23" s="1"/>
  <c r="D12" i="23"/>
  <c r="F12" i="23" s="1"/>
  <c r="D4" i="23"/>
  <c r="F4" i="23" s="1"/>
  <c r="D5" i="23"/>
  <c r="F5" i="23" s="1"/>
  <c r="D6" i="23"/>
  <c r="F6" i="23" s="1"/>
  <c r="E3" i="23"/>
  <c r="D3" i="23"/>
  <c r="F3" i="23" l="1"/>
  <c r="G3" i="23" s="1"/>
  <c r="Q24" i="21"/>
  <c r="R24" i="21"/>
  <c r="S24" i="21"/>
  <c r="Q25" i="21"/>
  <c r="R25" i="21"/>
  <c r="S25" i="21"/>
  <c r="R23" i="21"/>
  <c r="S23" i="21"/>
  <c r="Q23" i="21"/>
  <c r="R15" i="21"/>
  <c r="R14" i="21"/>
  <c r="R13" i="21"/>
  <c r="R11" i="21"/>
  <c r="R10" i="21"/>
  <c r="R9" i="21"/>
  <c r="Q2" i="20"/>
  <c r="R2" i="20"/>
  <c r="P2" i="20"/>
  <c r="G11" i="23" l="1"/>
  <c r="G5" i="23"/>
  <c r="G4" i="23"/>
  <c r="G6" i="23"/>
  <c r="G9" i="23"/>
  <c r="G10" i="23"/>
  <c r="G12" i="23"/>
  <c r="G7" i="23"/>
  <c r="G8" i="23"/>
  <c r="Q4" i="21"/>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4" i="20"/>
  <c r="W5" i="20"/>
  <c r="M23" i="18"/>
  <c r="M22" i="18"/>
  <c r="M21" i="18"/>
  <c r="M20" i="18"/>
  <c r="M17" i="18"/>
  <c r="M15" i="18"/>
  <c r="M16" i="17" l="1"/>
  <c r="M15" i="17"/>
  <c r="M14" i="17"/>
  <c r="L11" i="17"/>
  <c r="Q4" i="11" l="1"/>
  <c r="T33" i="13" l="1"/>
  <c r="U33" i="13"/>
  <c r="L33" i="13"/>
  <c r="M33" i="13"/>
  <c r="N33" i="13"/>
  <c r="O33" i="13"/>
  <c r="P33" i="13"/>
  <c r="Q33" i="13"/>
  <c r="R33" i="13"/>
  <c r="S33" i="13"/>
  <c r="J33" i="13"/>
  <c r="Q15" i="11"/>
  <c r="Q14" i="11"/>
  <c r="Q13" i="11"/>
  <c r="Q12" i="11"/>
  <c r="Q11" i="11"/>
  <c r="Q10" i="11"/>
  <c r="Q9" i="11"/>
  <c r="W15" i="9"/>
  <c r="W14" i="9"/>
  <c r="W13" i="9"/>
  <c r="W12" i="9"/>
  <c r="W10" i="9"/>
  <c r="W9" i="9"/>
  <c r="W4" i="9"/>
  <c r="W11" i="9"/>
  <c r="L14" i="7" l="1"/>
  <c r="L13" i="7"/>
  <c r="L12" i="7"/>
  <c r="L9" i="7"/>
  <c r="L12" i="6"/>
  <c r="L11" i="6"/>
  <c r="N8" i="6"/>
  <c r="P15" i="2" l="1"/>
  <c r="Q12" i="2"/>
  <c r="Q11" i="2"/>
  <c r="Q10" i="2"/>
  <c r="L9" i="5"/>
  <c r="L8" i="5"/>
  <c r="L5" i="5"/>
</calcChain>
</file>

<file path=xl/sharedStrings.xml><?xml version="1.0" encoding="utf-8"?>
<sst xmlns="http://schemas.openxmlformats.org/spreadsheetml/2006/main" count="796" uniqueCount="385">
  <si>
    <t>GRM</t>
  </si>
  <si>
    <t>MEAT</t>
  </si>
  <si>
    <t>BONE</t>
  </si>
  <si>
    <t>PRICE</t>
  </si>
  <si>
    <t>C1</t>
  </si>
  <si>
    <t>C2</t>
  </si>
  <si>
    <t>C3</t>
  </si>
  <si>
    <t>REQ</t>
  </si>
  <si>
    <t>KG</t>
  </si>
  <si>
    <t>QTY</t>
  </si>
  <si>
    <t>OBJECTIVE FUNCTION</t>
  </si>
  <si>
    <t>CONSTRAINTS</t>
  </si>
  <si>
    <t>&gt;=</t>
  </si>
  <si>
    <t>Statistics</t>
  </si>
  <si>
    <t>Machine Learning</t>
  </si>
  <si>
    <t>Web Development</t>
  </si>
  <si>
    <t>DBMS</t>
  </si>
  <si>
    <t>Cloud</t>
  </si>
  <si>
    <t>App Development</t>
  </si>
  <si>
    <t>Required</t>
  </si>
  <si>
    <t>here 1 means knows the technology</t>
  </si>
  <si>
    <t>oranges</t>
  </si>
  <si>
    <t>dragon fruit</t>
  </si>
  <si>
    <t>kiwi</t>
  </si>
  <si>
    <t>Apple</t>
  </si>
  <si>
    <t>qty</t>
  </si>
  <si>
    <t>price</t>
  </si>
  <si>
    <t>MINIMIZE PRICE</t>
  </si>
  <si>
    <t>TOTAL QTY OF MEAT</t>
  </si>
  <si>
    <t>MODEL</t>
  </si>
  <si>
    <t>REQUIRED</t>
  </si>
  <si>
    <t>TOTAL QTY OF BONE</t>
  </si>
  <si>
    <t>BEST SOL</t>
  </si>
  <si>
    <t>WORST SOL</t>
  </si>
  <si>
    <t>ROUNDED OFF</t>
  </si>
  <si>
    <t>INTEGER</t>
  </si>
  <si>
    <t>Integer_Sol</t>
  </si>
  <si>
    <t>Normal_Sol</t>
  </si>
  <si>
    <t>cheese</t>
  </si>
  <si>
    <t>veggies</t>
  </si>
  <si>
    <t>meat</t>
  </si>
  <si>
    <t>veg</t>
  </si>
  <si>
    <t>non_veg</t>
  </si>
  <si>
    <t>TOTAL CHEESE UTILIZATION</t>
  </si>
  <si>
    <t>AVAILABLE</t>
  </si>
  <si>
    <t>&lt;=</t>
  </si>
  <si>
    <t>TOTAL VEGITABLE UTILIZATION</t>
  </si>
  <si>
    <t>TOTAL MEAT UTILIZATION</t>
  </si>
  <si>
    <t>PROFIT</t>
  </si>
  <si>
    <t>OBJECTIVE PROFIT</t>
  </si>
  <si>
    <t>MAXIMIZE PROFIT</t>
  </si>
  <si>
    <t>MATHEMATICAL EQUATIONS</t>
  </si>
  <si>
    <t>X</t>
  </si>
  <si>
    <t>= number of veg pizzas</t>
  </si>
  <si>
    <t>Y</t>
  </si>
  <si>
    <t>= number of non-veg pizzas</t>
  </si>
  <si>
    <t xml:space="preserve">Objective Function </t>
  </si>
  <si>
    <t>Maximize</t>
  </si>
  <si>
    <t>Z = 120*X+ 180*Y</t>
  </si>
  <si>
    <t>Constraints</t>
  </si>
  <si>
    <t xml:space="preserve">Cheese: </t>
  </si>
  <si>
    <t>100X +120Y &lt;= 12000</t>
  </si>
  <si>
    <t>Veggies</t>
  </si>
  <si>
    <t>150X + 80Y &lt;= 9000</t>
  </si>
  <si>
    <t>Meat</t>
  </si>
  <si>
    <t>100Y &lt;= 4000</t>
  </si>
  <si>
    <t>Non Negative Constraints</t>
  </si>
  <si>
    <t xml:space="preserve">Y &gt;= 0 </t>
  </si>
  <si>
    <t>X &gt;= 0</t>
  </si>
  <si>
    <t>3X + 2Y &lt;= 60</t>
  </si>
  <si>
    <t>2X + 4Y &lt;= 80</t>
  </si>
  <si>
    <t>Y &gt;= 0</t>
  </si>
  <si>
    <t>TOPICS TO COVER</t>
  </si>
  <si>
    <t>SOLVING LPP PROBLEM IN EXCEL - MINIMIZATION</t>
  </si>
  <si>
    <t>MATHEMATICAL REPRESENTATION OF LPP PROBLEM</t>
  </si>
  <si>
    <t>SENSITIVITY ANALYSIS</t>
  </si>
  <si>
    <t>TRANSPORTATION PROBLEMS</t>
  </si>
  <si>
    <t>ASSIGNMENT PROBLEMS</t>
  </si>
  <si>
    <t>INTEGER PROBLEMS</t>
  </si>
  <si>
    <t>DECISION THEORY</t>
  </si>
  <si>
    <t>NETWORK MODELS</t>
  </si>
  <si>
    <t>PERT / CPM</t>
  </si>
  <si>
    <t>SIMULATION</t>
  </si>
  <si>
    <t>GAME THEORY</t>
  </si>
  <si>
    <t>MULTICRITERIA DECISION MAKING</t>
  </si>
  <si>
    <t>RISK OPTIMIZATION</t>
  </si>
  <si>
    <t>GOAL PROGRAMMING</t>
  </si>
  <si>
    <t xml:space="preserve">LEXICOGRAPHIC OPTIMIZATION </t>
  </si>
  <si>
    <t>QUEUEING THEORY</t>
  </si>
  <si>
    <t>MARKOV ANALYSIS</t>
  </si>
  <si>
    <t>DYNAMIC PROGRAMMING</t>
  </si>
  <si>
    <t>SUPPLY CHAIN NETWORK DESIGN</t>
  </si>
  <si>
    <t>INVENTORY MANAGEMENT PROBEMS</t>
  </si>
  <si>
    <t>SIMULATED ANNEALING</t>
  </si>
  <si>
    <t>MIXED INTEGER PROBLEMS</t>
  </si>
  <si>
    <t xml:space="preserve">OBJECTIVE FUNCTION </t>
  </si>
  <si>
    <t>INTEGER CONSTRAINT</t>
  </si>
  <si>
    <t>SOCIAL MEDIA</t>
  </si>
  <si>
    <t>GOOGLE AD</t>
  </si>
  <si>
    <t>CREATIVE</t>
  </si>
  <si>
    <t>AD MGMT</t>
  </si>
  <si>
    <t>MAXIMIZE</t>
  </si>
  <si>
    <t>CREATIVE HOURS</t>
  </si>
  <si>
    <t>AD HOURS</t>
  </si>
  <si>
    <t>NUMBER OF SOCIAL MEDIA CAMPAIGNS = X</t>
  </si>
  <si>
    <t>NUMBER OF GOOGLE AD CAMPAIGNS = Y</t>
  </si>
  <si>
    <t>MAXIMIZE PROFIT: Z = 4000X + 5000Y</t>
  </si>
  <si>
    <t xml:space="preserve">CREATIVE HOURS: </t>
  </si>
  <si>
    <t>AD MGMT HOURS:</t>
  </si>
  <si>
    <t>NON NEGATIVITY CONSTRAINTS</t>
  </si>
  <si>
    <t>X, Y ARE INTEGERS</t>
  </si>
  <si>
    <t>SOUR</t>
  </si>
  <si>
    <t>HIGHBALL</t>
  </si>
  <si>
    <t>OLDFASHIONED</t>
  </si>
  <si>
    <t>WHISKEY</t>
  </si>
  <si>
    <t>MIXER</t>
  </si>
  <si>
    <t>TIME</t>
  </si>
  <si>
    <t xml:space="preserve">MATHEMATICAL FORMULATION </t>
  </si>
  <si>
    <t>DECISION VARIABLES</t>
  </si>
  <si>
    <t>NUMBER OF SOUR = X</t>
  </si>
  <si>
    <t>NUMBER OF HIGHBALL = Y</t>
  </si>
  <si>
    <t>NUMBER OF OLDFASHIONED = Z</t>
  </si>
  <si>
    <t>MAXIMIZE PROFIT: Z = 420X + 300Y + 480Z</t>
  </si>
  <si>
    <t xml:space="preserve">TIME </t>
  </si>
  <si>
    <t>60X +60Y + 60Z &lt;= 6000</t>
  </si>
  <si>
    <t>48X+ 150Y + 10Z &lt;= 12000</t>
  </si>
  <si>
    <t>3X + 2Y + 4Z &lt;= 300</t>
  </si>
  <si>
    <t>NON NEGATIVE CONSTRAINT</t>
  </si>
  <si>
    <t>X  &gt;= 0</t>
  </si>
  <si>
    <t>Z &gt;= 0</t>
  </si>
  <si>
    <t>X,Y,Z ARE INTEGERS</t>
  </si>
  <si>
    <t>Integer Constraints</t>
  </si>
  <si>
    <t>X,Y are integers</t>
  </si>
  <si>
    <t>Decision Variables</t>
  </si>
  <si>
    <t>DONE</t>
  </si>
  <si>
    <t>SOLVING LPP PROBLEM IN EXCEL - MAXIMIZATION</t>
  </si>
  <si>
    <t>Name</t>
  </si>
  <si>
    <t>A</t>
  </si>
  <si>
    <t>B</t>
  </si>
  <si>
    <t>C</t>
  </si>
  <si>
    <t>D</t>
  </si>
  <si>
    <t>E</t>
  </si>
  <si>
    <t>F</t>
  </si>
  <si>
    <t>G</t>
  </si>
  <si>
    <t>H</t>
  </si>
  <si>
    <t>I</t>
  </si>
  <si>
    <t>J</t>
  </si>
  <si>
    <t>K</t>
  </si>
  <si>
    <t>L</t>
  </si>
  <si>
    <t>Xi is binary</t>
  </si>
  <si>
    <t>Xi = 0 if candidate is not selected</t>
  </si>
  <si>
    <t>Xi = 1 if candidate is selected</t>
  </si>
  <si>
    <t xml:space="preserve">Minimize </t>
  </si>
  <si>
    <t>ΣXi</t>
  </si>
  <si>
    <t>Constriants</t>
  </si>
  <si>
    <t>ΣXi*Statistics &gt;= 2</t>
  </si>
  <si>
    <t>ΣXi*ML &gt;= 3</t>
  </si>
  <si>
    <t>ΣXi*WD &gt;= 4</t>
  </si>
  <si>
    <t>ΣXi*DBMS &gt;= 3</t>
  </si>
  <si>
    <t>ΣXi*Cloud &gt;= 2</t>
  </si>
  <si>
    <t>ΣXi*App Development &gt;= 3</t>
  </si>
  <si>
    <t>for</t>
  </si>
  <si>
    <t>i∈{A,B,C,D,E,F,G,H,I,J,K,L}</t>
  </si>
  <si>
    <t>SELECT</t>
  </si>
  <si>
    <t>MINIMIZE</t>
  </si>
  <si>
    <t>S/T Constraints</t>
  </si>
  <si>
    <t>Model</t>
  </si>
  <si>
    <t>ML</t>
  </si>
  <si>
    <t>WD</t>
  </si>
  <si>
    <t>CLOUD</t>
  </si>
  <si>
    <t>APP DEV</t>
  </si>
  <si>
    <t>AI</t>
  </si>
  <si>
    <t>M</t>
  </si>
  <si>
    <t>Σxi*AI &gt;= 1</t>
  </si>
  <si>
    <t>Xi​∈{0,1}∀i</t>
  </si>
  <si>
    <t>Binary Constraint</t>
  </si>
  <si>
    <t>Objective Function</t>
  </si>
  <si>
    <t>Artificial Intelligence (AI)</t>
  </si>
  <si>
    <t>Each candidate may contribute to multiple skill requirements.</t>
  </si>
  <si>
    <t>Task</t>
  </si>
  <si>
    <t>An organization is forming a project team from a pool of 13 candidates (A to M).</t>
  </si>
  <si>
    <t>Each candidate has been evaluated for competency in seven technical skill areas:</t>
  </si>
  <si>
    <t>A value of 1 indicates that the candidate possesses the skill, and 0 indicates that they do not.</t>
  </si>
  <si>
    <t>The project has minimum skill requirements as follows:</t>
  </si>
  <si>
    <t>At least 2 members with Statistics skills</t>
  </si>
  <si>
    <t>At least 3 members with Machine Learning skills</t>
  </si>
  <si>
    <t>At least 4 members with Web Development skills</t>
  </si>
  <si>
    <t>At least 3 members with DBMS skills</t>
  </si>
  <si>
    <t>At least 2 members with Cloud skills</t>
  </si>
  <si>
    <t>At least 2 members with App Development skills</t>
  </si>
  <si>
    <t>At least 1 member with AI skills</t>
  </si>
  <si>
    <t>Candidate M is the only candidate who has AI skills, while other candidates contribute to various combinations of the remaining skills.</t>
  </si>
  <si>
    <t>Select a subset of candidates from A to M such that all the required skill thresholds are met.</t>
  </si>
  <si>
    <t>Ensure that the selection is as small as possible while still satisfying all skill requirements.</t>
  </si>
  <si>
    <t>Justify your selection by clearly explaining how each required skill count is achieved using the chosen candidates.</t>
  </si>
  <si>
    <t>Personalized Offers</t>
  </si>
  <si>
    <t>Faster Onboarding</t>
  </si>
  <si>
    <t>Loyalty Rewards</t>
  </si>
  <si>
    <t>Practive Churn Alerts</t>
  </si>
  <si>
    <t>Prob</t>
  </si>
  <si>
    <t>INSTALL</t>
  </si>
  <si>
    <t>S/ T Constraints</t>
  </si>
  <si>
    <t>REQJUIRED</t>
  </si>
  <si>
    <t xml:space="preserve">Variants: </t>
  </si>
  <si>
    <t>Each location should be served by atleast 2 wifi spots</t>
  </si>
  <si>
    <t>Each location should be served by atleast 3 wifi spots</t>
  </si>
  <si>
    <t>Location L is a jail, min number of wifi spots without serving L</t>
  </si>
  <si>
    <t>COVERAGE PROBLEM</t>
  </si>
  <si>
    <t>A logistics company wants to decide where to open regional distribution hubs to improve last-mile delivery reliability. There are four potential cities where a hub can be opened, and several customer zones that must be served. A hub either operates fully or does not open at all. Each city, if selected, can serve certain customer zones with a known probability of on-time delivery. The company wants to ensure every customer zone is served by at least one open hub, while minimizing the number of hubs opened. The decision variables are binary (open or not open), and the problem is to find the minimum set of hub locations that achieves full coverage.give dataset for this</t>
  </si>
  <si>
    <t>Zone \ Hub</t>
  </si>
  <si>
    <t>H1</t>
  </si>
  <si>
    <t>H2</t>
  </si>
  <si>
    <t>H3</t>
  </si>
  <si>
    <t>H4</t>
  </si>
  <si>
    <t>Z1</t>
  </si>
  <si>
    <t>Z2</t>
  </si>
  <si>
    <t>Z3</t>
  </si>
  <si>
    <t>Z4</t>
  </si>
  <si>
    <t>Z5</t>
  </si>
  <si>
    <t>Z6</t>
  </si>
  <si>
    <t>FACILITIES LOCATION PROBLEMS</t>
  </si>
  <si>
    <t>SET COVERAGE PROBLEMS</t>
  </si>
  <si>
    <t>GRAPH THEORY: SET PACKING PROBLEM</t>
  </si>
  <si>
    <t>Salary (S)</t>
  </si>
  <si>
    <t>Select (X)</t>
  </si>
  <si>
    <t>JOB SCHEDULING PROBLEMS</t>
  </si>
  <si>
    <t xml:space="preserve">FACILITY LOCATION </t>
  </si>
  <si>
    <t>KNAP SACK PROBLEM: SELECTION UNDER CAPACITY CONSTRAINTS</t>
  </si>
  <si>
    <t>Σxi</t>
  </si>
  <si>
    <t>hours</t>
  </si>
  <si>
    <t>TOTAL HOURS</t>
  </si>
  <si>
    <t>A manufacturing firm must select a subset of six improvement initiatives (A–F) for the coming year. Each initiative yields a benefit and consumes limited budget and skilled staff: A (benefit 18, budget 6, staff 4), B (20, 7, 5), C (14, 5, 3), D (16, 6, 4), E (10, 4, 2), and F (12, 5, 3). The firm has a total budget of 20 units and staff capacity of 14 units. Certain initiatives create additional benefits if implemented together: A and B generate an extra 6 units, B and D generate an extra 5 units, and C and E generate an extra 4 units. Each initiative can either be selected or not. The objective is to determine which initiatives to select in order to maximize total benefit, including synergy effects, without exceeding the available budget and staff limits.</t>
  </si>
  <si>
    <t>MIXED INTEGER PROBLEM</t>
  </si>
  <si>
    <t>Benefit</t>
  </si>
  <si>
    <t>Budget</t>
  </si>
  <si>
    <t>Staff</t>
  </si>
  <si>
    <t>Select</t>
  </si>
  <si>
    <t>staff</t>
  </si>
  <si>
    <t>Binary Nonlinear KNAPSACK PROBLEM</t>
  </si>
  <si>
    <t>Nonlinear because decision variables multiply</t>
  </si>
  <si>
    <t>A manufacturing firm plans production for the next month and must decide which of two products (Product 1 and Product 2) to set up and how much of each to produce. Producing any quantity of a product requires a fixed setup, costing ₹30,000 for Product 1 and ₹20,000 for Product 2, after which production can occur up to technical limits of 8 units for Product 1 and 12 units for Product 2. Each unit of Product 1 yields a contribution margin of ₹9,000 and requires 2 machine-hours, while each unit of Product 2 yields ₹7,000 and requires 1 machine-hour. The firm has a total of 20 machine-hours available for the month. If a product is not set up, its production quantity must be zero. The firm’s objective is to determine which products to set up and the production quantity of each so as to maximize total profit (total contribution minus setup costs) without exceeding machine-time or capacity limits.</t>
  </si>
  <si>
    <t>SET UP</t>
  </si>
  <si>
    <t>Fixed Cost</t>
  </si>
  <si>
    <t>UNITS</t>
  </si>
  <si>
    <t>UNIT CONST</t>
  </si>
  <si>
    <t>Hours</t>
  </si>
  <si>
    <t>CM/ unit</t>
  </si>
  <si>
    <t>UNITS A</t>
  </si>
  <si>
    <t>UNITS B</t>
  </si>
  <si>
    <t>HOURS</t>
  </si>
  <si>
    <t>BIN</t>
  </si>
  <si>
    <t>INT</t>
  </si>
  <si>
    <t>ASSIGNMENT PROBLEM</t>
  </si>
  <si>
    <t>A manufacturing company operates three plants—Plant A, Plant B, and Plant C—that supply products to four cities: City A, City B, City C, and City D. Plant A has a production capacity of 5,000 units, Plant B can supply 6,000 units, and Plant C can supply 2,500 units. The city-wise demand is 6,000 units for City A, 4,000 units for City B, 2,000 units for City C, and 1,500 units for City D. The cost of transporting one unit from Plant A to Cities A, B, C, and D is ₹3, ₹2, ₹7, and ₹6 respectively; from Plant B to the same cities is ₹7, ₹5, ₹2, and ₹3; and from Plant C is ₹2, ₹5, ₹4, and ₹5. The company must decide how many units to transport from each plant to each city so that all city demands are fully met without exceeding the supply capacity of any plant, while minimizing the total transportation cost.</t>
  </si>
  <si>
    <t>CA</t>
  </si>
  <si>
    <t>CB</t>
  </si>
  <si>
    <t>CC</t>
  </si>
  <si>
    <t>CD</t>
  </si>
  <si>
    <t>PA</t>
  </si>
  <si>
    <t>PB</t>
  </si>
  <si>
    <t>PC</t>
  </si>
  <si>
    <t>PLANT SIDE</t>
  </si>
  <si>
    <t>CITY SIDE</t>
  </si>
  <si>
    <t>OBJ FUNCTION</t>
  </si>
  <si>
    <t>MIN</t>
  </si>
  <si>
    <t>TRANSPORTATION COST</t>
  </si>
  <si>
    <t>BINARY PROBLEMS: LINEAR KNAPSACK</t>
  </si>
  <si>
    <t>NONLINEAR KNAPSACK</t>
  </si>
  <si>
    <t>TRANS-SHIPMENT PROBLEMS</t>
  </si>
  <si>
    <t>Delhi</t>
  </si>
  <si>
    <t>Mumbai</t>
  </si>
  <si>
    <t>Chennai</t>
  </si>
  <si>
    <t>DELHI</t>
  </si>
  <si>
    <t>MUMBAI</t>
  </si>
  <si>
    <t>CHENNAI</t>
  </si>
  <si>
    <t>Z</t>
  </si>
  <si>
    <t>available</t>
  </si>
  <si>
    <t>model</t>
  </si>
  <si>
    <t>Hyderbad</t>
  </si>
  <si>
    <t>top 50</t>
  </si>
  <si>
    <t>next 50</t>
  </si>
  <si>
    <t>last 50</t>
  </si>
  <si>
    <t>Hyderabad</t>
  </si>
  <si>
    <t>Top 50</t>
  </si>
  <si>
    <t>Next 50</t>
  </si>
  <si>
    <t>Last 50</t>
  </si>
  <si>
    <t>Allocation Matrix</t>
  </si>
  <si>
    <t xml:space="preserve">Candidate Choice </t>
  </si>
  <si>
    <t>Available</t>
  </si>
  <si>
    <t>LPP</t>
  </si>
  <si>
    <t xml:space="preserve">S/T </t>
  </si>
  <si>
    <t>=</t>
  </si>
  <si>
    <t>Penalty</t>
  </si>
  <si>
    <t>Penalty Matrix</t>
  </si>
  <si>
    <t>Deviation</t>
  </si>
  <si>
    <t>The Government plans to allocate IAS officers to three state cadres—Delhi, Mumbai, and Hyderabad—based on their rank in the Civil Services Examination. The officers are classified into three rank groups: Top 50, Next 50, and Last 50 candidates. Based on cadre preferences submitted by the candidates, among the Top 50 officers, 10 prefer Delhi, 20 prefer Mumbai, and 20 prefer Hyderabad; among the Next 50, 20 prefer Delhi, 15 prefer Mumbai, and 15 prefer Hyderabad; and among the Last 50, 5 prefer Delhi, 5 prefer Mumbai, and 40 prefer Hyderabad. However, the number of vacancies available is limited to 70 in Delhi, 30 in Mumbai, and 50 in Hyderabad. Since it may not be possible to allot cadres strictly according to preferences due to vacancy constraints, the problem is to formulate a linear programming model to determine the optimal allocation of officers from each rank group to the three cadres while satisfying vacancy constraints and minimizing deviation from candidates’ preferred choices.</t>
  </si>
  <si>
    <t>CANDIDATE PREFERENCE</t>
  </si>
  <si>
    <t>A company has two factories, F1 and F2, supplying goods to two markets, M1 and M2. Factory F1 has a supply of 30 units and Factory F2 has a supply of 20 units. Market M1 requires 25 units and Market M2 requires 25 units. Goods may be shipped directly from factories to markets or via a warehouse W, which acts only as a transshipment point and has no supply or demand of its own. The transportation cost per unit is ₹4 from F1 to W and ₹6 from F2 to W. From W to M1 and M2, the costs are ₹3 and ₹5 per unit respectively. Direct shipment costs are ₹10 from F1 to M1, ₹12 from F1 to M2, ₹11 from F2 to M1, and ₹9 from F2 to M2. The problem is to determine the optimal shipping plan that minimizes the total transportation cost while satisfying all supply and demand requirements.</t>
  </si>
  <si>
    <t>F1</t>
  </si>
  <si>
    <t>F2</t>
  </si>
  <si>
    <t>M1</t>
  </si>
  <si>
    <t>W</t>
  </si>
  <si>
    <t>M2</t>
  </si>
  <si>
    <t>W-&gt;M1</t>
  </si>
  <si>
    <t>W-&gt;M2</t>
  </si>
  <si>
    <t>F-&gt;M1</t>
  </si>
  <si>
    <t>F-&gt;M2</t>
  </si>
  <si>
    <t>Minimize</t>
  </si>
  <si>
    <t>S/T</t>
  </si>
  <si>
    <t>(F2 -&gt; W) +(F2-&gt; M1)+ (F2&gt;M2)</t>
  </si>
  <si>
    <t>(F1 -&gt; W) +(F1-&gt; M1)+ (F1&gt;M2)</t>
  </si>
  <si>
    <t>W-&gt;M</t>
  </si>
  <si>
    <t>J1</t>
  </si>
  <si>
    <t>J2</t>
  </si>
  <si>
    <t>J3</t>
  </si>
  <si>
    <t>J4</t>
  </si>
  <si>
    <t>TRAVELLING SALESMAN PROBLEM</t>
  </si>
  <si>
    <t>SMALLEST PROCESSING TIME</t>
  </si>
  <si>
    <t>WHICH MACHINE</t>
  </si>
  <si>
    <t>RANK</t>
  </si>
  <si>
    <t>Job</t>
  </si>
  <si>
    <t>Machine A (hrs)</t>
  </si>
  <si>
    <t>Machine B (hrs)</t>
  </si>
  <si>
    <t>J5</t>
  </si>
  <si>
    <t>J6</t>
  </si>
  <si>
    <t>J7</t>
  </si>
  <si>
    <t>J8</t>
  </si>
  <si>
    <t>J9</t>
  </si>
  <si>
    <t>J10</t>
  </si>
  <si>
    <t>Cont.Rank</t>
  </si>
  <si>
    <r>
      <t xml:space="preserve">If </t>
    </r>
    <r>
      <rPr>
        <b/>
        <sz val="11"/>
        <color theme="1"/>
        <rFont val="Calibri"/>
        <family val="2"/>
        <scheme val="minor"/>
      </rPr>
      <t>Min Machine = A</t>
    </r>
    <r>
      <rPr>
        <sz val="11"/>
        <color theme="1"/>
        <rFont val="Calibri"/>
        <family val="2"/>
        <scheme val="minor"/>
      </rPr>
      <t xml:space="preserve"> → place job </t>
    </r>
    <r>
      <rPr>
        <b/>
        <sz val="11"/>
        <color theme="1"/>
        <rFont val="Calibri"/>
        <family val="2"/>
        <scheme val="minor"/>
      </rPr>
      <t>from the left (earliest available position)</t>
    </r>
  </si>
  <si>
    <r>
      <t xml:space="preserve">If </t>
    </r>
    <r>
      <rPr>
        <b/>
        <sz val="11"/>
        <color theme="1"/>
        <rFont val="Calibri"/>
        <family val="2"/>
        <scheme val="minor"/>
      </rPr>
      <t>Min Machine = B</t>
    </r>
    <r>
      <rPr>
        <sz val="11"/>
        <color theme="1"/>
        <rFont val="Calibri"/>
        <family val="2"/>
        <scheme val="minor"/>
      </rPr>
      <t xml:space="preserve"> → place job </t>
    </r>
    <r>
      <rPr>
        <b/>
        <sz val="11"/>
        <color theme="1"/>
        <rFont val="Calibri"/>
        <family val="2"/>
        <scheme val="minor"/>
      </rPr>
      <t>from the right (latest available position)</t>
    </r>
  </si>
  <si>
    <t>j1</t>
  </si>
  <si>
    <t>j9</t>
  </si>
  <si>
    <t>j2</t>
  </si>
  <si>
    <t>j6</t>
  </si>
  <si>
    <t>j4</t>
  </si>
  <si>
    <t>j7</t>
  </si>
  <si>
    <t>j3</t>
  </si>
  <si>
    <t>j5</t>
  </si>
  <si>
    <t>j10</t>
  </si>
  <si>
    <t>j8</t>
  </si>
  <si>
    <t>total time</t>
  </si>
  <si>
    <t>JOHNSON'S RULE</t>
  </si>
  <si>
    <t>DAYS</t>
  </si>
  <si>
    <t>JOB SCHEDULING  PROBLEM</t>
  </si>
  <si>
    <t>JOB</t>
  </si>
  <si>
    <t xml:space="preserve">IF THERE ARE THREE JOBS, </t>
  </si>
  <si>
    <t>X = A+B</t>
  </si>
  <si>
    <t>Y = B+C</t>
  </si>
  <si>
    <t>pi</t>
  </si>
  <si>
    <t>xi</t>
  </si>
  <si>
    <t>objective function</t>
  </si>
  <si>
    <t>max</t>
  </si>
  <si>
    <t>constrains</t>
  </si>
  <si>
    <t>Xi = 0 if features is not selected</t>
  </si>
  <si>
    <t>Xi = 1 if features is selected</t>
  </si>
  <si>
    <t>Maximise prob</t>
  </si>
  <si>
    <t>Σxi*pi</t>
  </si>
  <si>
    <t>i∈{Personalized Offers,Faster Onboarding,Loyalty Rewards,Practive Churn Alerts}</t>
  </si>
  <si>
    <t>ΣXi*hours &lt;= 90</t>
  </si>
  <si>
    <t>a</t>
  </si>
  <si>
    <t>b</t>
  </si>
  <si>
    <t>c</t>
  </si>
  <si>
    <t>d</t>
  </si>
  <si>
    <t>e</t>
  </si>
  <si>
    <t>f</t>
  </si>
  <si>
    <t>benefit</t>
  </si>
  <si>
    <t>budget</t>
  </si>
  <si>
    <t>staf</t>
  </si>
  <si>
    <t>select</t>
  </si>
  <si>
    <t>max benefit</t>
  </si>
  <si>
    <t>constraints</t>
  </si>
  <si>
    <t>min hubs</t>
  </si>
  <si>
    <t>objective functions</t>
  </si>
  <si>
    <t>---------------- OBJECTIVE FUNCTION ----------------</t>
  </si>
  <si>
    <t>==================== TABLE 2 : SOLVER MODEL ====================</t>
  </si>
  <si>
    <t>Feature</t>
  </si>
  <si>
    <t>Retention</t>
  </si>
  <si>
    <t>X (0/1)</t>
  </si>
  <si>
    <t>Proactive Churn Alerts</t>
  </si>
  <si>
    <t>Total Retention =</t>
  </si>
  <si>
    <t>---------------- CONSTRAINT ----------------</t>
  </si>
  <si>
    <t>Total Hours Used =</t>
  </si>
  <si>
    <t>Capacity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</si>
</sst>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theme="1"/>
      <name val="Calibri"/>
      <family val="2"/>
    </font>
    <font>
      <b/>
      <sz val="13.5"/>
      <color theme="1"/>
      <name val="Calibri"/>
      <family val="2"/>
      <scheme val="minor"/>
    </font>
    <font>
      <b/>
      <i/>
      <sz val="11"/>
      <color theme="1"/>
      <name val="Calibri"/>
      <family val="2"/>
      <scheme val="minor"/>
    </font>
    <font>
      <sz val="12"/>
      <color theme="1"/>
      <name val="Calibri"/>
      <family val="2"/>
      <scheme val="minor"/>
    </font>
    <font>
      <sz val="14"/>
      <color theme="1"/>
      <name val="Calibri"/>
      <family val="2"/>
      <scheme val="minor"/>
    </font>
    <font>
      <b/>
      <sz val="18"/>
      <color theme="1"/>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bgColor indexed="64"/>
      </patternFill>
    </fill>
    <fill>
      <patternFill patternType="solid">
        <fgColor rgb="FF92D050"/>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7">
    <xf numFmtId="0" fontId="0" fillId="0" borderId="0" xfId="0"/>
    <xf numFmtId="0" fontId="1" fillId="0" borderId="0" xfId="0" applyFont="1"/>
    <xf numFmtId="0" fontId="0" fillId="0" borderId="0" xfId="0" quotePrefix="1"/>
    <xf numFmtId="0" fontId="2" fillId="0" borderId="0" xfId="0" applyFont="1"/>
    <xf numFmtId="0" fontId="3" fillId="0" borderId="0" xfId="0" applyFont="1" applyAlignment="1">
      <alignment vertical="center"/>
    </xf>
    <xf numFmtId="0" fontId="0" fillId="2" borderId="0" xfId="0" applyFill="1"/>
    <xf numFmtId="0" fontId="0" fillId="3" borderId="0" xfId="0" applyFill="1"/>
    <xf numFmtId="0" fontId="0" fillId="4" borderId="0" xfId="0" applyFill="1"/>
    <xf numFmtId="0" fontId="0" fillId="0" borderId="0" xfId="0" applyAlignment="1">
      <alignment horizontal="left" indent="2"/>
    </xf>
    <xf numFmtId="0" fontId="4" fillId="0" borderId="0" xfId="0" applyFont="1" applyAlignment="1">
      <alignment horizontal="left" indent="2"/>
    </xf>
    <xf numFmtId="0" fontId="1"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9" fillId="0" borderId="0" xfId="0" applyFont="1" applyAlignment="1">
      <alignment horizontal="left" vertical="center" indent="1"/>
    </xf>
    <xf numFmtId="0" fontId="8" fillId="0" borderId="0" xfId="0" applyFont="1" applyAlignment="1">
      <alignment horizontal="left" vertical="center" indent="1"/>
    </xf>
    <xf numFmtId="0" fontId="0" fillId="0" borderId="0" xfId="0" applyAlignment="1">
      <alignment horizontal="center"/>
    </xf>
    <xf numFmtId="2" fontId="0" fillId="0" borderId="0" xfId="0" applyNumberFormat="1"/>
    <xf numFmtId="2" fontId="0" fillId="0" borderId="5" xfId="0" applyNumberFormat="1" applyBorder="1"/>
    <xf numFmtId="0" fontId="0" fillId="0" borderId="5" xfId="0" applyBorder="1" applyAlignment="1">
      <alignment horizontal="center"/>
    </xf>
    <xf numFmtId="0" fontId="0" fillId="0" borderId="5" xfId="0" applyBorder="1" applyAlignment="1">
      <alignment horizontal="center" vertical="center"/>
    </xf>
    <xf numFmtId="0" fontId="0" fillId="0" borderId="6" xfId="0" applyBorder="1" applyAlignment="1">
      <alignment vertical="center"/>
    </xf>
    <xf numFmtId="0" fontId="1" fillId="0" borderId="0" xfId="0" applyFont="1" applyAlignment="1">
      <alignment vertical="center" wrapText="1"/>
    </xf>
    <xf numFmtId="0" fontId="0" fillId="0" borderId="0" xfId="0" applyAlignment="1">
      <alignment wrapText="1"/>
    </xf>
    <xf numFmtId="0" fontId="1" fillId="2" borderId="0" xfId="0" applyFont="1" applyFill="1" applyAlignment="1">
      <alignment vertical="center" wrapText="1"/>
    </xf>
    <xf numFmtId="0" fontId="0" fillId="2" borderId="0" xfId="0" applyFill="1" applyAlignment="1">
      <alignment vertical="center" wrapText="1"/>
    </xf>
    <xf numFmtId="0" fontId="0" fillId="5" borderId="0" xfId="0" applyFill="1"/>
    <xf numFmtId="0" fontId="0" fillId="6" borderId="0" xfId="0" applyFill="1"/>
    <xf numFmtId="0" fontId="0" fillId="0" borderId="7" xfId="0" applyBorder="1" applyAlignment="1">
      <alignment horizontal="center"/>
    </xf>
    <xf numFmtId="0" fontId="0" fillId="0" borderId="5" xfId="0" applyBorder="1"/>
    <xf numFmtId="0" fontId="0" fillId="3" borderId="5" xfId="0" applyFill="1" applyBorder="1"/>
    <xf numFmtId="0" fontId="0" fillId="0" borderId="8" xfId="0" applyBorder="1" applyAlignment="1">
      <alignment vertical="center"/>
    </xf>
    <xf numFmtId="0" fontId="1" fillId="0" borderId="0" xfId="0" applyFont="1" applyAlignment="1">
      <alignment horizontal="center"/>
    </xf>
    <xf numFmtId="0" fontId="6" fillId="0" borderId="0" xfId="0" applyFont="1" applyAlignment="1">
      <alignment horizontal="left" vertical="top" wrapText="1"/>
    </xf>
    <xf numFmtId="0" fontId="10" fillId="0" borderId="0" xfId="0" applyFont="1" applyAlignment="1">
      <alignment horizontal="center"/>
    </xf>
    <xf numFmtId="0" fontId="5" fillId="0" borderId="0" xfId="0" applyFont="1" applyAlignment="1">
      <alignment horizontal="left" vertical="top" wrapText="1"/>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4"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center" vertical="center" wrapText="1"/>
    </xf>
    <xf numFmtId="0" fontId="7" fillId="0" borderId="0" xfId="0" applyFont="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446227</xdr:colOff>
      <xdr:row>1</xdr:row>
      <xdr:rowOff>146303</xdr:rowOff>
    </xdr:from>
    <xdr:to>
      <xdr:col>7</xdr:col>
      <xdr:colOff>228905</xdr:colOff>
      <xdr:row>26</xdr:row>
      <xdr:rowOff>166724</xdr:rowOff>
    </xdr:to>
    <xdr:sp macro="" textlink="">
      <xdr:nvSpPr>
        <xdr:cNvPr id="3" name="TextBox 2">
          <a:extLst>
            <a:ext uri="{FF2B5EF4-FFF2-40B4-BE49-F238E27FC236}">
              <a16:creationId xmlns:a16="http://schemas.microsoft.com/office/drawing/2014/main" id="{EA51A62A-9676-4DF6-9496-F92B37E7B32A}"/>
            </a:ext>
          </a:extLst>
        </xdr:cNvPr>
        <xdr:cNvSpPr txBox="1"/>
      </xdr:nvSpPr>
      <xdr:spPr>
        <a:xfrm>
          <a:off x="446227" y="329183"/>
          <a:ext cx="4288841" cy="4592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 pizza outlet produces </a:t>
          </a:r>
          <a:r>
            <a:rPr lang="en-US" sz="1600" b="1"/>
            <a:t>Veg Pizzas</a:t>
          </a:r>
          <a:r>
            <a:rPr lang="en-US" sz="1600"/>
            <a:t> and </a:t>
          </a:r>
          <a:r>
            <a:rPr lang="en-US" sz="1600" b="1"/>
            <a:t>Non-Veg Pizzas</a:t>
          </a:r>
          <a:r>
            <a:rPr lang="en-US" sz="1600"/>
            <a:t>. Both types require </a:t>
          </a:r>
          <a:r>
            <a:rPr lang="en-US" sz="1600" b="1"/>
            <a:t>cheese</a:t>
          </a:r>
          <a:r>
            <a:rPr lang="en-US" sz="1600"/>
            <a:t>, </a:t>
          </a:r>
          <a:r>
            <a:rPr lang="en-US" sz="1600" b="1"/>
            <a:t>vegetables</a:t>
          </a:r>
          <a:r>
            <a:rPr lang="en-US" sz="1600"/>
            <a:t>, and </a:t>
          </a:r>
          <a:r>
            <a:rPr lang="en-US" sz="1600" b="1"/>
            <a:t>meat</a:t>
          </a:r>
          <a:r>
            <a:rPr lang="en-US" sz="1600"/>
            <a:t> as ingredients. The availability of ingredients is limited.</a:t>
          </a:r>
        </a:p>
        <a:p>
          <a:r>
            <a:rPr lang="en-US" sz="1600"/>
            <a:t>Each </a:t>
          </a:r>
          <a:r>
            <a:rPr lang="en-US" sz="1600" b="1"/>
            <a:t>Veg Pizza</a:t>
          </a:r>
          <a:r>
            <a:rPr lang="en-US" sz="1600"/>
            <a:t> requires </a:t>
          </a:r>
          <a:r>
            <a:rPr lang="en-US" sz="1600" b="1"/>
            <a:t>100 g of cheese</a:t>
          </a:r>
          <a:r>
            <a:rPr lang="en-US" sz="1600"/>
            <a:t> and </a:t>
          </a:r>
          <a:r>
            <a:rPr lang="en-US" sz="1600" b="1"/>
            <a:t>150 g of vegetables</a:t>
          </a:r>
          <a:r>
            <a:rPr lang="en-US" sz="1600"/>
            <a:t>.</a:t>
          </a:r>
        </a:p>
        <a:p>
          <a:r>
            <a:rPr lang="en-US" sz="1600"/>
            <a:t>Each </a:t>
          </a:r>
          <a:r>
            <a:rPr lang="en-US" sz="1600" b="1"/>
            <a:t>Non-Veg Pizza</a:t>
          </a:r>
          <a:r>
            <a:rPr lang="en-US" sz="1600"/>
            <a:t> requires </a:t>
          </a:r>
          <a:r>
            <a:rPr lang="en-US" sz="1600" b="1"/>
            <a:t>120 g of cheese</a:t>
          </a:r>
          <a:r>
            <a:rPr lang="en-US" sz="1600"/>
            <a:t>, </a:t>
          </a:r>
          <a:r>
            <a:rPr lang="en-US" sz="1600" b="1"/>
            <a:t>80 g of vegetables</a:t>
          </a:r>
          <a:r>
            <a:rPr lang="en-US" sz="1600"/>
            <a:t>, and </a:t>
          </a:r>
          <a:r>
            <a:rPr lang="en-US" sz="1600" b="1"/>
            <a:t>100 g of meat</a:t>
          </a:r>
          <a:r>
            <a:rPr lang="en-US" sz="1600"/>
            <a:t>.</a:t>
          </a:r>
        </a:p>
        <a:p>
          <a:r>
            <a:rPr lang="en-US" sz="1600"/>
            <a:t>The outlet has </a:t>
          </a:r>
          <a:r>
            <a:rPr lang="en-US" sz="1600" b="1"/>
            <a:t>12 kg of cheese</a:t>
          </a:r>
          <a:r>
            <a:rPr lang="en-US" sz="1600"/>
            <a:t>, </a:t>
          </a:r>
          <a:r>
            <a:rPr lang="en-US" sz="1600" b="1"/>
            <a:t>9 kg of vegetables</a:t>
          </a:r>
          <a:r>
            <a:rPr lang="en-US" sz="1600"/>
            <a:t>, and </a:t>
          </a:r>
          <a:r>
            <a:rPr lang="en-US" sz="1600" b="1"/>
            <a:t>4 kg of meat</a:t>
          </a:r>
          <a:r>
            <a:rPr lang="en-US" sz="1600"/>
            <a:t> available per day.</a:t>
          </a:r>
        </a:p>
        <a:p>
          <a:r>
            <a:rPr lang="en-US" sz="1600"/>
            <a:t>The profit earned is:</a:t>
          </a:r>
        </a:p>
        <a:p>
          <a:r>
            <a:rPr lang="en-US" sz="1600" b="1"/>
            <a:t>₹120 per Veg Pizza</a:t>
          </a:r>
          <a:endParaRPr lang="en-US" sz="1600"/>
        </a:p>
        <a:p>
          <a:r>
            <a:rPr lang="en-US" sz="1600" b="1"/>
            <a:t>₹180 per Non-Veg Pizza</a:t>
          </a:r>
          <a:endParaRPr lang="en-US" sz="1600"/>
        </a:p>
        <a:p>
          <a:r>
            <a:rPr lang="en-US" sz="1600"/>
            <a:t>Assuming that all pizzas produced are sold, formulate a </a:t>
          </a:r>
          <a:r>
            <a:rPr lang="en-US" sz="1600" b="1"/>
            <a:t>Linear Programming model</a:t>
          </a:r>
          <a:r>
            <a:rPr lang="en-US" sz="1600"/>
            <a:t> to determine how many veg and non-veg pizzas should be produced daily to </a:t>
          </a:r>
          <a:r>
            <a:rPr lang="en-US" sz="1600" b="1"/>
            <a:t>maximize profit</a:t>
          </a:r>
          <a:r>
            <a:rPr lang="en-US" sz="1600"/>
            <a: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510540</xdr:colOff>
      <xdr:row>0</xdr:row>
      <xdr:rowOff>167640</xdr:rowOff>
    </xdr:from>
    <xdr:to>
      <xdr:col>7</xdr:col>
      <xdr:colOff>411480</xdr:colOff>
      <xdr:row>27</xdr:row>
      <xdr:rowOff>167640</xdr:rowOff>
    </xdr:to>
    <xdr:sp macro="" textlink="">
      <xdr:nvSpPr>
        <xdr:cNvPr id="3" name="TextBox 2">
          <a:extLst>
            <a:ext uri="{FF2B5EF4-FFF2-40B4-BE49-F238E27FC236}">
              <a16:creationId xmlns:a16="http://schemas.microsoft.com/office/drawing/2014/main" id="{22C5D8B3-3CC9-49C7-99C9-08B3E7F62622}"/>
            </a:ext>
          </a:extLst>
        </xdr:cNvPr>
        <xdr:cNvSpPr txBox="1"/>
      </xdr:nvSpPr>
      <xdr:spPr>
        <a:xfrm>
          <a:off x="4168140" y="167640"/>
          <a:ext cx="4168140" cy="493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 digital marketing agency offers </a:t>
          </a:r>
          <a:r>
            <a:rPr lang="en-US" sz="1600" b="1"/>
            <a:t>Social Media Campaigns</a:t>
          </a:r>
          <a:r>
            <a:rPr lang="en-US" sz="1600"/>
            <a:t> and </a:t>
          </a:r>
          <a:r>
            <a:rPr lang="en-US" sz="1600" b="1"/>
            <a:t>Google Ad Campaigns</a:t>
          </a:r>
          <a:r>
            <a:rPr lang="en-US" sz="1600"/>
            <a:t> to its clients.</a:t>
          </a:r>
          <a:br>
            <a:rPr lang="en-US" sz="1600"/>
          </a:br>
          <a:r>
            <a:rPr lang="en-US" sz="1600"/>
            <a:t>Both services require </a:t>
          </a:r>
          <a:r>
            <a:rPr lang="en-US" sz="1600" b="1"/>
            <a:t>creative hours</a:t>
          </a:r>
          <a:r>
            <a:rPr lang="en-US" sz="1600"/>
            <a:t> and </a:t>
          </a:r>
          <a:r>
            <a:rPr lang="en-US" sz="1600" b="1"/>
            <a:t>ad management hours</a:t>
          </a:r>
          <a:r>
            <a:rPr lang="en-US" sz="1600"/>
            <a:t>. The agency has limited resources per week.</a:t>
          </a:r>
        </a:p>
        <a:p>
          <a:r>
            <a:rPr lang="en-US" sz="1600"/>
            <a:t>Each </a:t>
          </a:r>
          <a:r>
            <a:rPr lang="en-US" sz="1600" b="1"/>
            <a:t>Social Media Campaign</a:t>
          </a:r>
          <a:r>
            <a:rPr lang="en-US" sz="1600"/>
            <a:t> requires</a:t>
          </a:r>
        </a:p>
        <a:p>
          <a:pPr lvl="1"/>
          <a:r>
            <a:rPr lang="en-US" sz="1600"/>
            <a:t>3 hours of creative work</a:t>
          </a:r>
        </a:p>
        <a:p>
          <a:pPr lvl="1"/>
          <a:r>
            <a:rPr lang="en-US" sz="1600"/>
            <a:t>2 hours of ad management</a:t>
          </a:r>
        </a:p>
        <a:p>
          <a:pPr lvl="1"/>
          <a:r>
            <a:rPr lang="en-US" sz="1600"/>
            <a:t>Profit of ₹4,000 per campaign</a:t>
          </a:r>
        </a:p>
        <a:p>
          <a:r>
            <a:rPr lang="en-US" sz="1600"/>
            <a:t>Each </a:t>
          </a:r>
          <a:r>
            <a:rPr lang="en-US" sz="1600" b="1"/>
            <a:t>Google Ad Campaign</a:t>
          </a:r>
          <a:r>
            <a:rPr lang="en-US" sz="1600"/>
            <a:t> requires</a:t>
          </a:r>
        </a:p>
        <a:p>
          <a:pPr lvl="1"/>
          <a:r>
            <a:rPr lang="en-US" sz="1600"/>
            <a:t>2 hours of creative work</a:t>
          </a:r>
        </a:p>
        <a:p>
          <a:pPr lvl="1"/>
          <a:r>
            <a:rPr lang="en-US" sz="1600"/>
            <a:t>4 hours of ad management</a:t>
          </a:r>
        </a:p>
        <a:p>
          <a:pPr lvl="1"/>
          <a:r>
            <a:rPr lang="en-US" sz="1600"/>
            <a:t>Profit of ₹5,000 per campaign</a:t>
          </a:r>
        </a:p>
        <a:p>
          <a:r>
            <a:rPr lang="en-US" sz="1600"/>
            <a:t>The agency has </a:t>
          </a:r>
          <a:r>
            <a:rPr lang="en-US" sz="1600" b="1"/>
            <a:t>60 creative hours</a:t>
          </a:r>
          <a:r>
            <a:rPr lang="en-US" sz="1600"/>
            <a:t> and </a:t>
          </a:r>
          <a:r>
            <a:rPr lang="en-US" sz="1600" b="1"/>
            <a:t>80 ad management hours</a:t>
          </a:r>
          <a:r>
            <a:rPr lang="en-US" sz="1600"/>
            <a:t> available per week.</a:t>
          </a:r>
        </a:p>
        <a:p>
          <a:r>
            <a:rPr lang="en-US" sz="1600"/>
            <a:t>Assuming all campaigns sold generate profit, formulate a </a:t>
          </a:r>
          <a:r>
            <a:rPr lang="en-US" sz="1600" b="1"/>
            <a:t>Linear Programming model</a:t>
          </a:r>
          <a:r>
            <a:rPr lang="en-US" sz="1600"/>
            <a:t> to maximize weekly profit.</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0</xdr:row>
      <xdr:rowOff>43891</xdr:rowOff>
    </xdr:from>
    <xdr:to>
      <xdr:col>8</xdr:col>
      <xdr:colOff>153619</xdr:colOff>
      <xdr:row>29</xdr:row>
      <xdr:rowOff>106680</xdr:rowOff>
    </xdr:to>
    <xdr:sp macro="" textlink="">
      <xdr:nvSpPr>
        <xdr:cNvPr id="2" name="TextBox 1">
          <a:extLst>
            <a:ext uri="{FF2B5EF4-FFF2-40B4-BE49-F238E27FC236}">
              <a16:creationId xmlns:a16="http://schemas.microsoft.com/office/drawing/2014/main" id="{6743873B-4F6F-4EF2-8444-B5D93BD529DE}"/>
            </a:ext>
          </a:extLst>
        </xdr:cNvPr>
        <xdr:cNvSpPr txBox="1"/>
      </xdr:nvSpPr>
      <xdr:spPr>
        <a:xfrm>
          <a:off x="350520" y="43891"/>
          <a:ext cx="4953000" cy="53663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premium bar serves the following </a:t>
          </a:r>
          <a:r>
            <a:rPr lang="en-US" sz="1400" b="1"/>
            <a:t>industry-recognized whiskey cocktails</a:t>
          </a:r>
          <a:r>
            <a:rPr lang="en-US" sz="1400"/>
            <a:t> during an evening service:</a:t>
          </a:r>
        </a:p>
        <a:p>
          <a:r>
            <a:rPr lang="en-US" sz="1400" b="1"/>
            <a:t>Whiskey Sour</a:t>
          </a:r>
          <a:r>
            <a:rPr lang="en-US" sz="1400" b="0"/>
            <a:t>,</a:t>
          </a:r>
          <a:r>
            <a:rPr lang="en-US" sz="1400" b="0" baseline="0"/>
            <a:t> </a:t>
          </a:r>
          <a:r>
            <a:rPr lang="en-US" sz="1400" b="1"/>
            <a:t>Whiskey Highball</a:t>
          </a:r>
          <a:r>
            <a:rPr lang="en-US" sz="1400" b="0"/>
            <a:t>,</a:t>
          </a:r>
          <a:r>
            <a:rPr lang="en-US" sz="1400" b="0" baseline="0"/>
            <a:t> </a:t>
          </a:r>
          <a:r>
            <a:rPr lang="en-US" sz="1400" b="1"/>
            <a:t>Old Fashioned</a:t>
          </a:r>
          <a:endParaRPr lang="en-US" sz="1400"/>
        </a:p>
        <a:p>
          <a:r>
            <a:rPr lang="en-US" sz="1400"/>
            <a:t>Each cocktail requires whiskey, mixers, and bartender time. The bar has limited resources for the evening, as given below.</a:t>
          </a:r>
        </a:p>
        <a:p>
          <a:r>
            <a:rPr lang="en-US" sz="1400"/>
            <a:t>A </a:t>
          </a:r>
          <a:r>
            <a:rPr lang="en-US" sz="1400" b="1"/>
            <a:t>Whiskey Sour</a:t>
          </a:r>
          <a:r>
            <a:rPr lang="en-US" sz="1400"/>
            <a:t> requires </a:t>
          </a:r>
          <a:r>
            <a:rPr lang="en-US" sz="1400" b="1"/>
            <a:t>60 ml of whiskey</a:t>
          </a:r>
          <a:r>
            <a:rPr lang="en-US" sz="1400"/>
            <a:t>, </a:t>
          </a:r>
          <a:r>
            <a:rPr lang="en-US" sz="1400" b="1"/>
            <a:t>40 ml of  lemon juice and sugar syrup</a:t>
          </a:r>
          <a:r>
            <a:rPr lang="en-US" sz="1400" b="1" baseline="0"/>
            <a:t> (mixer)</a:t>
          </a:r>
          <a:r>
            <a:rPr lang="en-US" sz="1400"/>
            <a:t>, and </a:t>
          </a:r>
          <a:r>
            <a:rPr lang="en-US" sz="1400" b="1"/>
            <a:t>3 minutes of bartender time</a:t>
          </a:r>
          <a:r>
            <a:rPr lang="en-US" sz="1400"/>
            <a:t>. It yields a profit of </a:t>
          </a:r>
          <a:r>
            <a:rPr lang="en-US" sz="1400" b="1"/>
            <a:t>₹420 per glass</a:t>
          </a:r>
          <a:r>
            <a:rPr lang="en-US" sz="1400"/>
            <a:t>.</a:t>
          </a:r>
        </a:p>
        <a:p>
          <a:r>
            <a:rPr lang="en-US" sz="1400"/>
            <a:t>A </a:t>
          </a:r>
          <a:r>
            <a:rPr lang="en-US" sz="1400" b="1"/>
            <a:t>Whiskey Highball</a:t>
          </a:r>
          <a:r>
            <a:rPr lang="en-US" sz="1400"/>
            <a:t> requires </a:t>
          </a:r>
          <a:r>
            <a:rPr lang="en-US" sz="1400" b="1"/>
            <a:t>60 ml of whiskey</a:t>
          </a:r>
          <a:r>
            <a:rPr lang="en-US" sz="1400"/>
            <a:t>, </a:t>
          </a:r>
          <a:r>
            <a:rPr lang="en-US" sz="1400" b="1"/>
            <a:t>150 ml of soda (mixer)</a:t>
          </a:r>
          <a:r>
            <a:rPr lang="en-US" sz="1400"/>
            <a:t>, and </a:t>
          </a:r>
          <a:r>
            <a:rPr lang="en-US" sz="1400" b="1"/>
            <a:t>2 minutes of bartender time</a:t>
          </a:r>
          <a:r>
            <a:rPr lang="en-US" sz="1400"/>
            <a:t>. It yields a profit of </a:t>
          </a:r>
          <a:r>
            <a:rPr lang="en-US" sz="1400" b="1"/>
            <a:t>₹300 per glass</a:t>
          </a:r>
          <a:r>
            <a:rPr lang="en-US" sz="1400"/>
            <a:t>.</a:t>
          </a:r>
        </a:p>
        <a:p>
          <a:r>
            <a:rPr lang="en-US" sz="1400"/>
            <a:t>An </a:t>
          </a:r>
          <a:r>
            <a:rPr lang="en-US" sz="1400" b="1"/>
            <a:t>Old Fashioned</a:t>
          </a:r>
          <a:r>
            <a:rPr lang="en-US" sz="1400"/>
            <a:t> requires </a:t>
          </a:r>
          <a:r>
            <a:rPr lang="en-US" sz="1400" b="1"/>
            <a:t>60 ml of whiskey</a:t>
          </a:r>
          <a:r>
            <a:rPr lang="en-US" sz="1400"/>
            <a:t>, </a:t>
          </a:r>
          <a:r>
            <a:rPr lang="en-US" sz="1400" b="1"/>
            <a:t>10 ml of sugar syrup (mixer)</a:t>
          </a:r>
          <a:r>
            <a:rPr lang="en-US" sz="1400"/>
            <a:t>, and </a:t>
          </a:r>
          <a:r>
            <a:rPr lang="en-US" sz="1400" b="1"/>
            <a:t>4 minutes of bartender time</a:t>
          </a:r>
          <a:r>
            <a:rPr lang="en-US" sz="1400"/>
            <a:t>. It yields a profit of </a:t>
          </a:r>
          <a:r>
            <a:rPr lang="en-US" sz="1400" b="1"/>
            <a:t>₹480 per glass</a:t>
          </a:r>
          <a:r>
            <a:rPr lang="en-US" sz="1400"/>
            <a:t>.</a:t>
          </a:r>
        </a:p>
        <a:p>
          <a:r>
            <a:rPr lang="en-US" sz="1400"/>
            <a:t>The bar has </a:t>
          </a:r>
          <a:r>
            <a:rPr lang="en-US" sz="1400" b="1"/>
            <a:t>6,000 ml of whiskey</a:t>
          </a:r>
          <a:r>
            <a:rPr lang="en-US" sz="1400"/>
            <a:t>, </a:t>
          </a:r>
          <a:r>
            <a:rPr lang="en-US" sz="1400" b="1"/>
            <a:t>12,000 ml of mixers (including soda, lemon juice, and sugar syrup)</a:t>
          </a:r>
          <a:r>
            <a:rPr lang="en-US" sz="1400"/>
            <a:t>, and </a:t>
          </a:r>
          <a:r>
            <a:rPr lang="en-US" sz="1400" b="1"/>
            <a:t>300 minutes of bartender time</a:t>
          </a:r>
          <a:r>
            <a:rPr lang="en-US" sz="1400"/>
            <a:t> available for the evening.</a:t>
          </a:r>
        </a:p>
        <a:p>
          <a:r>
            <a:rPr lang="en-US" sz="1400"/>
            <a:t>Assuming that all cocktails prepared are sold:</a:t>
          </a:r>
        </a:p>
        <a:p>
          <a:r>
            <a:rPr lang="en-US" sz="1400" b="1"/>
            <a:t>(a)</a:t>
          </a:r>
          <a:r>
            <a:rPr lang="en-US" sz="1400"/>
            <a:t> Define suitable decision variables.</a:t>
          </a:r>
          <a:br>
            <a:rPr lang="en-US" sz="1400"/>
          </a:br>
          <a:r>
            <a:rPr lang="en-US" sz="1400" b="1"/>
            <a:t>(b)</a:t>
          </a:r>
          <a:r>
            <a:rPr lang="en-US" sz="1400"/>
            <a:t> Formulate a </a:t>
          </a:r>
          <a:r>
            <a:rPr lang="en-US" sz="1400" b="1"/>
            <a:t>Linear Programming Problem (LPP)</a:t>
          </a:r>
          <a:r>
            <a:rPr lang="en-US" sz="1400"/>
            <a:t> to </a:t>
          </a:r>
          <a:r>
            <a:rPr lang="en-US" sz="1400" b="1"/>
            <a:t>maximize total profit</a:t>
          </a:r>
          <a:r>
            <a:rPr lang="en-US" sz="1400"/>
            <a:t> subject to the above constraints.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1</xdr:row>
      <xdr:rowOff>7620</xdr:rowOff>
    </xdr:from>
    <xdr:to>
      <xdr:col>8</xdr:col>
      <xdr:colOff>548640</xdr:colOff>
      <xdr:row>23</xdr:row>
      <xdr:rowOff>137160</xdr:rowOff>
    </xdr:to>
    <xdr:sp macro="" textlink="">
      <xdr:nvSpPr>
        <xdr:cNvPr id="2" name="TextBox 1">
          <a:extLst>
            <a:ext uri="{FF2B5EF4-FFF2-40B4-BE49-F238E27FC236}">
              <a16:creationId xmlns:a16="http://schemas.microsoft.com/office/drawing/2014/main" id="{42660FDB-9856-4CD4-A709-521323ED94B5}"/>
            </a:ext>
          </a:extLst>
        </xdr:cNvPr>
        <xdr:cNvSpPr txBox="1"/>
      </xdr:nvSpPr>
      <xdr:spPr>
        <a:xfrm>
          <a:off x="228600" y="190500"/>
          <a:ext cx="5469941" cy="415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subscription-based digital service is facing rising customer churn and wants to </a:t>
          </a:r>
          <a:r>
            <a:rPr lang="en-US" sz="1400" b="1"/>
            <a:t>prioritize retention features</a:t>
          </a:r>
          <a:r>
            <a:rPr lang="en-US" sz="1400"/>
            <a:t> for the upcoming development cycle. Management has shortlisted four product features: personalized offers, faster onboarding, loyalty rewards, and proactive churn alerts. Each feature must be </a:t>
          </a:r>
          <a:r>
            <a:rPr lang="en-US" sz="1400" b="1"/>
            <a:t>either fully implemented or not implemented at all</a:t>
          </a:r>
          <a:r>
            <a:rPr lang="en-US" sz="1400"/>
            <a:t>, since partial rollout does not yield measurable retention benefits. Based on historical data and survival analysis, the analytics team has estimated the </a:t>
          </a:r>
          <a:r>
            <a:rPr lang="en-US" sz="1400" b="1"/>
            <a:t>probability of improving customer retention</a:t>
          </a:r>
          <a:r>
            <a:rPr lang="en-US" sz="1400"/>
            <a:t> associated with each feature. At the same time, the engineering team has a strict capacity limit of </a:t>
          </a:r>
          <a:r>
            <a:rPr lang="en-US" sz="1400" b="1"/>
            <a:t>90 total work hours</a:t>
          </a:r>
          <a:r>
            <a:rPr lang="en-US" sz="1400"/>
            <a:t> for the cycle. Implementing personalized offers requires </a:t>
          </a:r>
          <a:r>
            <a:rPr lang="en-US" sz="1400" b="1"/>
            <a:t>40 hours</a:t>
          </a:r>
          <a:r>
            <a:rPr lang="en-US" sz="1400"/>
            <a:t> and is expected to increase retention probability by </a:t>
          </a:r>
          <a:r>
            <a:rPr lang="en-US" sz="1400" b="1"/>
            <a:t>0.09</a:t>
          </a:r>
          <a:r>
            <a:rPr lang="en-US" sz="1400"/>
            <a:t>; faster onboarding requires </a:t>
          </a:r>
          <a:r>
            <a:rPr lang="en-US" sz="1400" b="1"/>
            <a:t>30 hours</a:t>
          </a:r>
          <a:r>
            <a:rPr lang="en-US" sz="1400"/>
            <a:t> with an estimated retention probability of </a:t>
          </a:r>
          <a:r>
            <a:rPr lang="en-US" sz="1400" b="1"/>
            <a:t>0.06</a:t>
          </a:r>
          <a:r>
            <a:rPr lang="en-US" sz="1400"/>
            <a:t>; loyalty rewards require </a:t>
          </a:r>
          <a:r>
            <a:rPr lang="en-US" sz="1400" b="1"/>
            <a:t>50 hours</a:t>
          </a:r>
          <a:r>
            <a:rPr lang="en-US" sz="1400"/>
            <a:t> with an estimated retention probability of </a:t>
          </a:r>
          <a:r>
            <a:rPr lang="en-US" sz="1400" b="1"/>
            <a:t>0.08</a:t>
          </a:r>
          <a:r>
            <a:rPr lang="en-US" sz="1400"/>
            <a:t>; and proactive churn alerts require </a:t>
          </a:r>
          <a:r>
            <a:rPr lang="en-US" sz="1400" b="1"/>
            <a:t>20 hours</a:t>
          </a:r>
          <a:r>
            <a:rPr lang="en-US" sz="1400"/>
            <a:t> with an estimated retention probability of </a:t>
          </a:r>
          <a:r>
            <a:rPr lang="en-US" sz="1400" b="1"/>
            <a:t>0.05</a:t>
          </a:r>
          <a:r>
            <a:rPr lang="en-US" sz="1400"/>
            <a:t>. The decision problem is to select a </a:t>
          </a:r>
          <a:r>
            <a:rPr lang="en-US" sz="1400" b="1"/>
            <a:t>binary combination of features</a:t>
          </a:r>
          <a:r>
            <a:rPr lang="en-US" sz="1400"/>
            <a:t> that maximizes the </a:t>
          </a:r>
          <a:r>
            <a:rPr lang="en-US" sz="1400" b="1"/>
            <a:t>overall expected retention probability</a:t>
          </a:r>
          <a:r>
            <a:rPr lang="en-US" sz="1400"/>
            <a:t> without exceeding the 90-hour constraint.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228600</xdr:colOff>
      <xdr:row>1</xdr:row>
      <xdr:rowOff>7620</xdr:rowOff>
    </xdr:from>
    <xdr:to>
      <xdr:col>8</xdr:col>
      <xdr:colOff>548640</xdr:colOff>
      <xdr:row>23</xdr:row>
      <xdr:rowOff>137160</xdr:rowOff>
    </xdr:to>
    <xdr:sp macro="" textlink="">
      <xdr:nvSpPr>
        <xdr:cNvPr id="2" name="TextBox 1">
          <a:extLst>
            <a:ext uri="{FF2B5EF4-FFF2-40B4-BE49-F238E27FC236}">
              <a16:creationId xmlns:a16="http://schemas.microsoft.com/office/drawing/2014/main" id="{70DD90B8-90EF-4113-A1D0-CDF6D88279FA}"/>
            </a:ext>
          </a:extLst>
        </xdr:cNvPr>
        <xdr:cNvSpPr txBox="1"/>
      </xdr:nvSpPr>
      <xdr:spPr>
        <a:xfrm>
          <a:off x="228600" y="190500"/>
          <a:ext cx="5196840" cy="415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subscription-based digital service is facing rising customer churn and wants to </a:t>
          </a:r>
          <a:r>
            <a:rPr lang="en-US" sz="1400" b="1"/>
            <a:t>prioritize retention features</a:t>
          </a:r>
          <a:r>
            <a:rPr lang="en-US" sz="1400"/>
            <a:t> for the upcoming development cycle. Management has shortlisted four product features: personalized offers, faster onboarding, loyalty rewards, and proactive churn alerts. Each feature must be </a:t>
          </a:r>
          <a:r>
            <a:rPr lang="en-US" sz="1400" b="1"/>
            <a:t>either fully implemented or not implemented at all</a:t>
          </a:r>
          <a:r>
            <a:rPr lang="en-US" sz="1400"/>
            <a:t>, since partial rollout does not yield measurable retention benefits. Based on historical data and survival analysis, the analytics team has estimated the </a:t>
          </a:r>
          <a:r>
            <a:rPr lang="en-US" sz="1400" b="1"/>
            <a:t>probability of improving customer retention</a:t>
          </a:r>
          <a:r>
            <a:rPr lang="en-US" sz="1400"/>
            <a:t> associated with each feature. At the same time, the engineering team has a strict capacity limit of </a:t>
          </a:r>
          <a:r>
            <a:rPr lang="en-US" sz="1400" b="1"/>
            <a:t>90 total work hours</a:t>
          </a:r>
          <a:r>
            <a:rPr lang="en-US" sz="1400"/>
            <a:t> for the cycle. Implementing personalized offers requires </a:t>
          </a:r>
          <a:r>
            <a:rPr lang="en-US" sz="1400" b="1"/>
            <a:t>40 hours</a:t>
          </a:r>
          <a:r>
            <a:rPr lang="en-US" sz="1400"/>
            <a:t> and is expected to increase retention probability by </a:t>
          </a:r>
          <a:r>
            <a:rPr lang="en-US" sz="1400" b="1"/>
            <a:t>0.09</a:t>
          </a:r>
          <a:r>
            <a:rPr lang="en-US" sz="1400"/>
            <a:t>; faster onboarding requires </a:t>
          </a:r>
          <a:r>
            <a:rPr lang="en-US" sz="1400" b="1"/>
            <a:t>30 hours</a:t>
          </a:r>
          <a:r>
            <a:rPr lang="en-US" sz="1400"/>
            <a:t> with an estimated retention probability of </a:t>
          </a:r>
          <a:r>
            <a:rPr lang="en-US" sz="1400" b="1"/>
            <a:t>0.06</a:t>
          </a:r>
          <a:r>
            <a:rPr lang="en-US" sz="1400"/>
            <a:t>; loyalty rewards require </a:t>
          </a:r>
          <a:r>
            <a:rPr lang="en-US" sz="1400" b="1"/>
            <a:t>50 hours</a:t>
          </a:r>
          <a:r>
            <a:rPr lang="en-US" sz="1400"/>
            <a:t> with an estimated retention probability of </a:t>
          </a:r>
          <a:r>
            <a:rPr lang="en-US" sz="1400" b="1"/>
            <a:t>0.08</a:t>
          </a:r>
          <a:r>
            <a:rPr lang="en-US" sz="1400"/>
            <a:t>; and proactive churn alerts require </a:t>
          </a:r>
          <a:r>
            <a:rPr lang="en-US" sz="1400" b="1"/>
            <a:t>20 hours</a:t>
          </a:r>
          <a:r>
            <a:rPr lang="en-US" sz="1400"/>
            <a:t> with an estimated retention probability of </a:t>
          </a:r>
          <a:r>
            <a:rPr lang="en-US" sz="1400" b="1"/>
            <a:t>0.05</a:t>
          </a:r>
          <a:r>
            <a:rPr lang="en-US" sz="1400"/>
            <a:t>. The decision problem is to select a </a:t>
          </a:r>
          <a:r>
            <a:rPr lang="en-US" sz="1400" b="1"/>
            <a:t>binary combination of features</a:t>
          </a:r>
          <a:r>
            <a:rPr lang="en-US" sz="1400"/>
            <a:t> that maximizes the </a:t>
          </a:r>
          <a:r>
            <a:rPr lang="en-US" sz="1400" b="1"/>
            <a:t>overall expected retention probability</a:t>
          </a:r>
          <a:r>
            <a:rPr lang="en-US" sz="1400"/>
            <a:t> without exceeding the 90-hour constraint.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7620</xdr:colOff>
      <xdr:row>1</xdr:row>
      <xdr:rowOff>137160</xdr:rowOff>
    </xdr:from>
    <xdr:to>
      <xdr:col>7</xdr:col>
      <xdr:colOff>15240</xdr:colOff>
      <xdr:row>13</xdr:row>
      <xdr:rowOff>7620</xdr:rowOff>
    </xdr:to>
    <xdr:sp macro="" textlink="">
      <xdr:nvSpPr>
        <xdr:cNvPr id="2" name="TextBox 1">
          <a:extLst>
            <a:ext uri="{FF2B5EF4-FFF2-40B4-BE49-F238E27FC236}">
              <a16:creationId xmlns:a16="http://schemas.microsoft.com/office/drawing/2014/main" id="{1B3F729D-183B-4161-9DBC-8AFC74ABD860}"/>
            </a:ext>
          </a:extLst>
        </xdr:cNvPr>
        <xdr:cNvSpPr txBox="1"/>
      </xdr:nvSpPr>
      <xdr:spPr>
        <a:xfrm>
          <a:off x="617220" y="320040"/>
          <a:ext cx="3665220"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Binary Covering Problem (Maximum Coverage)</a:t>
          </a:r>
        </a:p>
        <a:p>
          <a:r>
            <a:rPr lang="en-US" sz="1400"/>
            <a:t>A municipal corporation wants to place </a:t>
          </a:r>
          <a:r>
            <a:rPr lang="en-US" sz="1400" b="1"/>
            <a:t>public Wi-Fi hotspots</a:t>
          </a:r>
          <a:r>
            <a:rPr lang="en-US" sz="1400"/>
            <a:t> to maximize area coverage. Each</a:t>
          </a:r>
          <a:r>
            <a:rPr lang="en-US" sz="1400" baseline="0"/>
            <a:t> wifi spot can serve all immedite adjecent location. </a:t>
          </a:r>
          <a:r>
            <a:rPr lang="en-US" sz="1400"/>
            <a:t>The decision problem is to choose which hotspot locations to activate (binary decisions) so that the </a:t>
          </a:r>
          <a:r>
            <a:rPr lang="en-US" sz="1400" b="1"/>
            <a:t>maximum number of neighborhoods are covered</a:t>
          </a:r>
          <a:r>
            <a:rPr lang="en-US" sz="1400"/>
            <a:t>, subject to the limit on the number of installations.</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xdr:colOff>
      <xdr:row>1</xdr:row>
      <xdr:rowOff>137160</xdr:rowOff>
    </xdr:from>
    <xdr:to>
      <xdr:col>7</xdr:col>
      <xdr:colOff>15240</xdr:colOff>
      <xdr:row>13</xdr:row>
      <xdr:rowOff>7620</xdr:rowOff>
    </xdr:to>
    <xdr:sp macro="" textlink="">
      <xdr:nvSpPr>
        <xdr:cNvPr id="2" name="TextBox 1">
          <a:extLst>
            <a:ext uri="{FF2B5EF4-FFF2-40B4-BE49-F238E27FC236}">
              <a16:creationId xmlns:a16="http://schemas.microsoft.com/office/drawing/2014/main" id="{EBDDC398-D2F4-411E-A306-499FDBC45093}"/>
            </a:ext>
          </a:extLst>
        </xdr:cNvPr>
        <xdr:cNvSpPr txBox="1"/>
      </xdr:nvSpPr>
      <xdr:spPr>
        <a:xfrm>
          <a:off x="651358" y="363931"/>
          <a:ext cx="3870045" cy="20942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Binary Covering Problem (Maximum Coverage)</a:t>
          </a:r>
        </a:p>
        <a:p>
          <a:r>
            <a:rPr lang="en-US" sz="1400"/>
            <a:t>A municipal corporation wants to place </a:t>
          </a:r>
          <a:r>
            <a:rPr lang="en-US" sz="1400" b="1"/>
            <a:t>public Wi-Fi hotspots</a:t>
          </a:r>
          <a:r>
            <a:rPr lang="en-US" sz="1400"/>
            <a:t> to maximize area coverage. Each</a:t>
          </a:r>
          <a:r>
            <a:rPr lang="en-US" sz="1400" baseline="0"/>
            <a:t> wifi spot can serve all immedite adjecent location. </a:t>
          </a:r>
          <a:r>
            <a:rPr lang="en-US" sz="1400"/>
            <a:t>The decision problem is to choose which hotspot locations to activate (binary decisions) so that the </a:t>
          </a:r>
          <a:r>
            <a:rPr lang="en-US" sz="1400" b="1"/>
            <a:t>maximum number of neighborhoods are covered</a:t>
          </a:r>
          <a:r>
            <a:rPr lang="en-US" sz="1400"/>
            <a:t>, subject to the limit on the number of installations.</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CDCF-1B0C-4488-A6B3-D4F0817BCF60}">
  <dimension ref="H3:J12"/>
  <sheetViews>
    <sheetView topLeftCell="C1" zoomScale="132" workbookViewId="0">
      <selection activeCell="H12" sqref="H12"/>
    </sheetView>
  </sheetViews>
  <sheetFormatPr defaultRowHeight="14.4" x14ac:dyDescent="0.3"/>
  <cols>
    <col min="8" max="8" width="15" customWidth="1"/>
  </cols>
  <sheetData>
    <row r="3" spans="8:10" x14ac:dyDescent="0.3">
      <c r="I3" t="s">
        <v>25</v>
      </c>
      <c r="J3" t="s">
        <v>26</v>
      </c>
    </row>
    <row r="4" spans="8:10" x14ac:dyDescent="0.3">
      <c r="H4" t="s">
        <v>21</v>
      </c>
      <c r="I4">
        <v>2</v>
      </c>
      <c r="J4">
        <v>50</v>
      </c>
    </row>
    <row r="5" spans="8:10" x14ac:dyDescent="0.3">
      <c r="H5" t="s">
        <v>22</v>
      </c>
      <c r="I5">
        <v>3</v>
      </c>
      <c r="J5">
        <v>150</v>
      </c>
    </row>
    <row r="6" spans="8:10" x14ac:dyDescent="0.3">
      <c r="H6" t="s">
        <v>23</v>
      </c>
      <c r="I6">
        <v>1</v>
      </c>
      <c r="J6">
        <v>250</v>
      </c>
    </row>
    <row r="7" spans="8:10" x14ac:dyDescent="0.3">
      <c r="H7" t="s">
        <v>24</v>
      </c>
      <c r="I7">
        <v>2</v>
      </c>
      <c r="J7">
        <v>100</v>
      </c>
    </row>
    <row r="10" spans="8:10" x14ac:dyDescent="0.3">
      <c r="J10">
        <f>I4*J4+I5*J5+I6*J6+I7*J7</f>
        <v>1000</v>
      </c>
    </row>
    <row r="12" spans="8:10" x14ac:dyDescent="0.3">
      <c r="J12">
        <f>SUMPRODUCT(I4:I7,J4:J7)</f>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8945A-C460-4D50-99DB-E5D63EB232E7}">
  <dimension ref="C1:O11"/>
  <sheetViews>
    <sheetView zoomScale="140" zoomScaleNormal="140" workbookViewId="0">
      <selection activeCell="H20" sqref="H20"/>
    </sheetView>
  </sheetViews>
  <sheetFormatPr defaultRowHeight="14.4" x14ac:dyDescent="0.3"/>
  <cols>
    <col min="7" max="7" width="10.69921875" customWidth="1"/>
    <col min="8" max="8" width="10.8984375" customWidth="1"/>
    <col min="9" max="9" width="3.19921875" customWidth="1"/>
    <col min="14" max="14" width="12.69921875" customWidth="1"/>
  </cols>
  <sheetData>
    <row r="1" spans="3:15" x14ac:dyDescent="0.3">
      <c r="N1" t="s">
        <v>33</v>
      </c>
      <c r="O1">
        <v>9625</v>
      </c>
    </row>
    <row r="2" spans="3:15" x14ac:dyDescent="0.3">
      <c r="N2" t="s">
        <v>32</v>
      </c>
      <c r="O2">
        <v>8625</v>
      </c>
    </row>
    <row r="3" spans="3:15" x14ac:dyDescent="0.3">
      <c r="D3" t="s">
        <v>0</v>
      </c>
      <c r="E3" t="s">
        <v>0</v>
      </c>
      <c r="N3" t="s">
        <v>34</v>
      </c>
      <c r="O3">
        <v>9075</v>
      </c>
    </row>
    <row r="4" spans="3:15" x14ac:dyDescent="0.3">
      <c r="D4" t="s">
        <v>1</v>
      </c>
      <c r="E4" t="s">
        <v>2</v>
      </c>
      <c r="F4" t="s">
        <v>3</v>
      </c>
      <c r="G4" t="s">
        <v>36</v>
      </c>
      <c r="H4" t="s">
        <v>37</v>
      </c>
      <c r="J4" t="s">
        <v>10</v>
      </c>
      <c r="N4" t="s">
        <v>35</v>
      </c>
      <c r="O4">
        <v>8875</v>
      </c>
    </row>
    <row r="5" spans="3:15" x14ac:dyDescent="0.3">
      <c r="C5" t="s">
        <v>4</v>
      </c>
      <c r="D5">
        <v>1000</v>
      </c>
      <c r="E5">
        <v>0</v>
      </c>
      <c r="F5">
        <v>1100</v>
      </c>
      <c r="G5">
        <v>2</v>
      </c>
      <c r="H5">
        <v>0</v>
      </c>
      <c r="J5" t="s">
        <v>27</v>
      </c>
      <c r="L5">
        <f>SUMPRODUCT(F5:F7,G5:G7)</f>
        <v>8875</v>
      </c>
    </row>
    <row r="6" spans="3:15" x14ac:dyDescent="0.3">
      <c r="C6" t="s">
        <v>5</v>
      </c>
      <c r="D6">
        <v>750</v>
      </c>
      <c r="E6">
        <v>250</v>
      </c>
      <c r="F6">
        <v>800</v>
      </c>
      <c r="G6">
        <v>8</v>
      </c>
      <c r="H6">
        <v>10.666666666666666</v>
      </c>
    </row>
    <row r="7" spans="3:15" x14ac:dyDescent="0.3">
      <c r="C7" t="s">
        <v>6</v>
      </c>
      <c r="D7">
        <v>0</v>
      </c>
      <c r="E7">
        <v>1000</v>
      </c>
      <c r="F7">
        <v>275</v>
      </c>
      <c r="G7">
        <v>1</v>
      </c>
      <c r="H7">
        <v>0.33333333333333348</v>
      </c>
      <c r="J7" t="s">
        <v>11</v>
      </c>
      <c r="L7" t="s">
        <v>29</v>
      </c>
      <c r="N7" t="s">
        <v>30</v>
      </c>
    </row>
    <row r="8" spans="3:15" x14ac:dyDescent="0.3">
      <c r="J8" t="s">
        <v>28</v>
      </c>
      <c r="L8">
        <f>SUMPRODUCT(D5:D7,G5:G7)</f>
        <v>8000</v>
      </c>
      <c r="M8" t="s">
        <v>12</v>
      </c>
      <c r="N8">
        <v>8000</v>
      </c>
    </row>
    <row r="9" spans="3:15" x14ac:dyDescent="0.3">
      <c r="J9" t="s">
        <v>31</v>
      </c>
      <c r="L9">
        <f>SUMPRODUCT(E5:E7,G5:G7)</f>
        <v>3000</v>
      </c>
      <c r="M9" t="s">
        <v>12</v>
      </c>
      <c r="N9">
        <v>3000</v>
      </c>
    </row>
    <row r="10" spans="3:15" x14ac:dyDescent="0.3">
      <c r="D10" t="s">
        <v>1</v>
      </c>
      <c r="E10" t="s">
        <v>2</v>
      </c>
    </row>
    <row r="11" spans="3:15" x14ac:dyDescent="0.3">
      <c r="C11" t="s">
        <v>7</v>
      </c>
      <c r="D11">
        <v>8</v>
      </c>
      <c r="E11">
        <v>3</v>
      </c>
      <c r="F11"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11FB-05AC-40FE-AEA3-3DADBF460476}">
  <dimension ref="M3:S34"/>
  <sheetViews>
    <sheetView workbookViewId="0">
      <selection activeCell="K1" sqref="K1"/>
    </sheetView>
  </sheetViews>
  <sheetFormatPr defaultRowHeight="14.4" x14ac:dyDescent="0.3"/>
  <sheetData>
    <row r="3" spans="13:19" x14ac:dyDescent="0.3">
      <c r="N3">
        <v>12000</v>
      </c>
      <c r="O3">
        <v>9000</v>
      </c>
      <c r="P3">
        <v>4000</v>
      </c>
    </row>
    <row r="4" spans="13:19" x14ac:dyDescent="0.3">
      <c r="N4" t="s">
        <v>38</v>
      </c>
      <c r="O4" t="s">
        <v>39</v>
      </c>
      <c r="P4" t="s">
        <v>40</v>
      </c>
      <c r="Q4" t="s">
        <v>9</v>
      </c>
      <c r="R4" t="s">
        <v>48</v>
      </c>
    </row>
    <row r="5" spans="13:19" x14ac:dyDescent="0.3">
      <c r="M5" t="s">
        <v>41</v>
      </c>
      <c r="N5">
        <v>100</v>
      </c>
      <c r="O5">
        <v>150</v>
      </c>
      <c r="P5">
        <v>0</v>
      </c>
      <c r="Q5">
        <v>38</v>
      </c>
      <c r="R5">
        <v>120</v>
      </c>
    </row>
    <row r="6" spans="13:19" x14ac:dyDescent="0.3">
      <c r="M6" t="s">
        <v>42</v>
      </c>
      <c r="N6">
        <v>120</v>
      </c>
      <c r="O6">
        <v>80</v>
      </c>
      <c r="P6">
        <v>100</v>
      </c>
      <c r="Q6">
        <v>40</v>
      </c>
      <c r="R6">
        <v>180</v>
      </c>
    </row>
    <row r="9" spans="13:19" x14ac:dyDescent="0.3">
      <c r="Q9" t="s">
        <v>29</v>
      </c>
      <c r="S9" t="s">
        <v>44</v>
      </c>
    </row>
    <row r="10" spans="13:19" x14ac:dyDescent="0.3">
      <c r="M10" t="s">
        <v>43</v>
      </c>
      <c r="Q10">
        <f>SUMPRODUCT(Q5:Q6,N5:N6)</f>
        <v>8600</v>
      </c>
      <c r="R10" t="s">
        <v>45</v>
      </c>
      <c r="S10">
        <v>12000</v>
      </c>
    </row>
    <row r="11" spans="13:19" x14ac:dyDescent="0.3">
      <c r="M11" t="s">
        <v>46</v>
      </c>
      <c r="Q11">
        <f>SUMPRODUCT(Q5:Q6,O5:O6)</f>
        <v>8900</v>
      </c>
      <c r="R11" t="s">
        <v>45</v>
      </c>
      <c r="S11">
        <v>9000</v>
      </c>
    </row>
    <row r="12" spans="13:19" x14ac:dyDescent="0.3">
      <c r="M12" t="s">
        <v>47</v>
      </c>
      <c r="Q12">
        <f>SUMPRODUCT(P5:P6,Q5:Q6)</f>
        <v>4000</v>
      </c>
      <c r="R12" t="s">
        <v>45</v>
      </c>
      <c r="S12">
        <v>4000</v>
      </c>
    </row>
    <row r="14" spans="13:19" x14ac:dyDescent="0.3">
      <c r="M14" t="s">
        <v>49</v>
      </c>
    </row>
    <row r="15" spans="13:19" x14ac:dyDescent="0.3">
      <c r="M15" t="s">
        <v>50</v>
      </c>
      <c r="P15">
        <f>SUMPRODUCT(R5:R6,Q5:Q6)</f>
        <v>11760</v>
      </c>
    </row>
    <row r="17" spans="13:15" x14ac:dyDescent="0.3">
      <c r="M17" s="1" t="s">
        <v>51</v>
      </c>
    </row>
    <row r="18" spans="13:15" x14ac:dyDescent="0.3">
      <c r="M18" t="s">
        <v>133</v>
      </c>
    </row>
    <row r="19" spans="13:15" x14ac:dyDescent="0.3">
      <c r="N19" t="s">
        <v>52</v>
      </c>
      <c r="O19" s="2" t="s">
        <v>53</v>
      </c>
    </row>
    <row r="20" spans="13:15" x14ac:dyDescent="0.3">
      <c r="N20" t="s">
        <v>54</v>
      </c>
      <c r="O20" s="2" t="s">
        <v>55</v>
      </c>
    </row>
    <row r="22" spans="13:15" x14ac:dyDescent="0.3">
      <c r="M22" t="s">
        <v>56</v>
      </c>
    </row>
    <row r="23" spans="13:15" x14ac:dyDescent="0.3">
      <c r="N23" t="s">
        <v>57</v>
      </c>
      <c r="O23" t="s">
        <v>58</v>
      </c>
    </row>
    <row r="26" spans="13:15" x14ac:dyDescent="0.3">
      <c r="M26" t="s">
        <v>59</v>
      </c>
    </row>
    <row r="27" spans="13:15" x14ac:dyDescent="0.3">
      <c r="N27" t="s">
        <v>60</v>
      </c>
      <c r="O27" t="s">
        <v>61</v>
      </c>
    </row>
    <row r="28" spans="13:15" x14ac:dyDescent="0.3">
      <c r="N28" t="s">
        <v>62</v>
      </c>
      <c r="O28" t="s">
        <v>63</v>
      </c>
    </row>
    <row r="29" spans="13:15" x14ac:dyDescent="0.3">
      <c r="N29" t="s">
        <v>64</v>
      </c>
      <c r="O29" t="s">
        <v>65</v>
      </c>
    </row>
    <row r="30" spans="13:15" x14ac:dyDescent="0.3">
      <c r="N30" t="s">
        <v>66</v>
      </c>
    </row>
    <row r="31" spans="13:15" x14ac:dyDescent="0.3">
      <c r="O31" t="s">
        <v>68</v>
      </c>
    </row>
    <row r="32" spans="13:15" x14ac:dyDescent="0.3">
      <c r="O32" t="s">
        <v>67</v>
      </c>
    </row>
    <row r="33" spans="14:15" x14ac:dyDescent="0.3">
      <c r="N33" t="s">
        <v>131</v>
      </c>
    </row>
    <row r="34" spans="14:15" x14ac:dyDescent="0.3">
      <c r="O34" t="s">
        <v>132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DD09-AC56-4582-97E3-E02F9BC3484C}">
  <dimension ref="J2:N33"/>
  <sheetViews>
    <sheetView workbookViewId="0">
      <selection activeCell="P15" sqref="P15"/>
    </sheetView>
  </sheetViews>
  <sheetFormatPr defaultRowHeight="14.4" x14ac:dyDescent="0.3"/>
  <cols>
    <col min="10" max="10" width="15.796875" customWidth="1"/>
  </cols>
  <sheetData>
    <row r="2" spans="10:14" x14ac:dyDescent="0.3">
      <c r="K2">
        <v>60</v>
      </c>
      <c r="L2">
        <v>80</v>
      </c>
    </row>
    <row r="3" spans="10:14" x14ac:dyDescent="0.3">
      <c r="K3" t="s">
        <v>99</v>
      </c>
      <c r="L3" t="s">
        <v>100</v>
      </c>
      <c r="M3" t="s">
        <v>9</v>
      </c>
      <c r="N3" t="s">
        <v>48</v>
      </c>
    </row>
    <row r="4" spans="10:14" x14ac:dyDescent="0.3">
      <c r="J4" t="s">
        <v>97</v>
      </c>
      <c r="K4">
        <v>3</v>
      </c>
      <c r="L4">
        <v>2</v>
      </c>
      <c r="M4">
        <v>10</v>
      </c>
      <c r="N4">
        <v>4000</v>
      </c>
    </row>
    <row r="5" spans="10:14" x14ac:dyDescent="0.3">
      <c r="J5" t="s">
        <v>98</v>
      </c>
      <c r="K5">
        <v>2</v>
      </c>
      <c r="L5">
        <v>4</v>
      </c>
      <c r="M5">
        <v>15</v>
      </c>
      <c r="N5">
        <v>5000</v>
      </c>
    </row>
    <row r="8" spans="10:14" x14ac:dyDescent="0.3">
      <c r="J8" t="s">
        <v>10</v>
      </c>
      <c r="L8" t="s">
        <v>50</v>
      </c>
      <c r="N8">
        <f>SUMPRODUCT(M4:M5,N4:N5)</f>
        <v>115000</v>
      </c>
    </row>
    <row r="10" spans="10:14" x14ac:dyDescent="0.3">
      <c r="J10" t="s">
        <v>11</v>
      </c>
      <c r="L10" t="s">
        <v>29</v>
      </c>
      <c r="N10" t="s">
        <v>44</v>
      </c>
    </row>
    <row r="11" spans="10:14" x14ac:dyDescent="0.3">
      <c r="J11" t="s">
        <v>102</v>
      </c>
      <c r="L11">
        <f>SUMPRODUCT(M4:M5,K4:K5)</f>
        <v>60</v>
      </c>
      <c r="M11" t="s">
        <v>45</v>
      </c>
      <c r="N11">
        <v>60</v>
      </c>
    </row>
    <row r="12" spans="10:14" x14ac:dyDescent="0.3">
      <c r="J12" t="s">
        <v>103</v>
      </c>
      <c r="L12">
        <f>SUMPRODUCT(M4:M5,L4:L5)</f>
        <v>80</v>
      </c>
      <c r="M12" t="s">
        <v>45</v>
      </c>
      <c r="N12">
        <v>80</v>
      </c>
    </row>
    <row r="14" spans="10:14" x14ac:dyDescent="0.3">
      <c r="J14" t="s">
        <v>118</v>
      </c>
    </row>
    <row r="16" spans="10:14" x14ac:dyDescent="0.3">
      <c r="K16" t="s">
        <v>104</v>
      </c>
    </row>
    <row r="17" spans="10:13" x14ac:dyDescent="0.3">
      <c r="K17" t="s">
        <v>105</v>
      </c>
    </row>
    <row r="19" spans="10:13" x14ac:dyDescent="0.3">
      <c r="J19" t="s">
        <v>95</v>
      </c>
    </row>
    <row r="21" spans="10:13" x14ac:dyDescent="0.3">
      <c r="K21" t="s">
        <v>106</v>
      </c>
    </row>
    <row r="23" spans="10:13" x14ac:dyDescent="0.3">
      <c r="J23" t="s">
        <v>11</v>
      </c>
    </row>
    <row r="25" spans="10:13" x14ac:dyDescent="0.3">
      <c r="K25" t="s">
        <v>107</v>
      </c>
      <c r="M25" t="s">
        <v>69</v>
      </c>
    </row>
    <row r="26" spans="10:13" x14ac:dyDescent="0.3">
      <c r="K26" t="s">
        <v>108</v>
      </c>
      <c r="M26" t="s">
        <v>70</v>
      </c>
    </row>
    <row r="28" spans="10:13" x14ac:dyDescent="0.3">
      <c r="K28" t="s">
        <v>109</v>
      </c>
    </row>
    <row r="29" spans="10:13" x14ac:dyDescent="0.3">
      <c r="K29" t="s">
        <v>68</v>
      </c>
    </row>
    <row r="30" spans="10:13" x14ac:dyDescent="0.3">
      <c r="K30" t="s">
        <v>67</v>
      </c>
    </row>
    <row r="32" spans="10:13" x14ac:dyDescent="0.3">
      <c r="K32" t="s">
        <v>96</v>
      </c>
    </row>
    <row r="33" spans="11:11" x14ac:dyDescent="0.3">
      <c r="K33" t="s">
        <v>110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ED5D-E86A-42F1-965A-7FB30AAEF259}">
  <dimension ref="J2:O38"/>
  <sheetViews>
    <sheetView workbookViewId="0">
      <selection activeCell="I1" sqref="I1"/>
    </sheetView>
  </sheetViews>
  <sheetFormatPr defaultRowHeight="14.4" x14ac:dyDescent="0.3"/>
  <cols>
    <col min="10" max="10" width="17.59765625" customWidth="1"/>
  </cols>
  <sheetData>
    <row r="2" spans="10:15" x14ac:dyDescent="0.3">
      <c r="K2">
        <v>6000</v>
      </c>
      <c r="L2">
        <v>12000</v>
      </c>
      <c r="M2">
        <v>300</v>
      </c>
    </row>
    <row r="3" spans="10:15" x14ac:dyDescent="0.3">
      <c r="K3" t="s">
        <v>114</v>
      </c>
      <c r="L3" t="s">
        <v>115</v>
      </c>
      <c r="M3" t="s">
        <v>116</v>
      </c>
      <c r="N3" t="s">
        <v>9</v>
      </c>
      <c r="O3" t="s">
        <v>48</v>
      </c>
    </row>
    <row r="4" spans="10:15" x14ac:dyDescent="0.3">
      <c r="J4" t="s">
        <v>111</v>
      </c>
      <c r="K4">
        <v>60</v>
      </c>
      <c r="L4">
        <v>40</v>
      </c>
      <c r="M4">
        <v>3</v>
      </c>
      <c r="N4">
        <v>100</v>
      </c>
      <c r="O4">
        <v>420</v>
      </c>
    </row>
    <row r="5" spans="10:15" x14ac:dyDescent="0.3">
      <c r="J5" t="s">
        <v>112</v>
      </c>
      <c r="K5">
        <v>60</v>
      </c>
      <c r="L5">
        <v>150</v>
      </c>
      <c r="M5">
        <v>2</v>
      </c>
      <c r="N5">
        <v>0</v>
      </c>
      <c r="O5">
        <v>300</v>
      </c>
    </row>
    <row r="6" spans="10:15" x14ac:dyDescent="0.3">
      <c r="J6" t="s">
        <v>113</v>
      </c>
      <c r="K6">
        <v>60</v>
      </c>
      <c r="L6">
        <v>10</v>
      </c>
      <c r="M6">
        <v>4</v>
      </c>
      <c r="N6">
        <v>0</v>
      </c>
      <c r="O6">
        <v>480</v>
      </c>
    </row>
    <row r="8" spans="10:15" x14ac:dyDescent="0.3">
      <c r="J8" t="s">
        <v>95</v>
      </c>
    </row>
    <row r="9" spans="10:15" x14ac:dyDescent="0.3">
      <c r="K9" t="s">
        <v>101</v>
      </c>
      <c r="L9">
        <f>SUMPRODUCT(N4:N6,O4:O6)</f>
        <v>42000</v>
      </c>
    </row>
    <row r="11" spans="10:15" x14ac:dyDescent="0.3">
      <c r="J11" t="s">
        <v>11</v>
      </c>
    </row>
    <row r="12" spans="10:15" x14ac:dyDescent="0.3">
      <c r="K12" t="s">
        <v>114</v>
      </c>
      <c r="L12">
        <f>SUMPRODUCT(N4:N6,K4:K6)</f>
        <v>6000</v>
      </c>
      <c r="M12" t="s">
        <v>45</v>
      </c>
      <c r="N12">
        <v>6000</v>
      </c>
    </row>
    <row r="13" spans="10:15" x14ac:dyDescent="0.3">
      <c r="K13" t="s">
        <v>115</v>
      </c>
      <c r="L13">
        <f>SUMPRODUCT(N4:N6,L4:L6)</f>
        <v>4000</v>
      </c>
      <c r="M13" t="s">
        <v>45</v>
      </c>
      <c r="N13">
        <v>12000</v>
      </c>
    </row>
    <row r="14" spans="10:15" x14ac:dyDescent="0.3">
      <c r="K14" t="s">
        <v>116</v>
      </c>
      <c r="L14">
        <f>SUMPRODUCT(N4:N6,M4:M6)</f>
        <v>300</v>
      </c>
      <c r="M14" t="s">
        <v>45</v>
      </c>
      <c r="N14">
        <v>300</v>
      </c>
    </row>
    <row r="17" spans="10:12" x14ac:dyDescent="0.3">
      <c r="J17" t="s">
        <v>117</v>
      </c>
    </row>
    <row r="19" spans="10:12" x14ac:dyDescent="0.3">
      <c r="J19" t="s">
        <v>118</v>
      </c>
    </row>
    <row r="20" spans="10:12" x14ac:dyDescent="0.3">
      <c r="K20" t="s">
        <v>119</v>
      </c>
    </row>
    <row r="21" spans="10:12" x14ac:dyDescent="0.3">
      <c r="K21" t="s">
        <v>120</v>
      </c>
    </row>
    <row r="22" spans="10:12" x14ac:dyDescent="0.3">
      <c r="K22" t="s">
        <v>121</v>
      </c>
    </row>
    <row r="24" spans="10:12" x14ac:dyDescent="0.3">
      <c r="J24" t="s">
        <v>95</v>
      </c>
    </row>
    <row r="25" spans="10:12" x14ac:dyDescent="0.3">
      <c r="K25" t="s">
        <v>122</v>
      </c>
    </row>
    <row r="27" spans="10:12" x14ac:dyDescent="0.3">
      <c r="J27" t="s">
        <v>11</v>
      </c>
    </row>
    <row r="28" spans="10:12" x14ac:dyDescent="0.3">
      <c r="K28" t="s">
        <v>114</v>
      </c>
      <c r="L28" t="s">
        <v>124</v>
      </c>
    </row>
    <row r="29" spans="10:12" x14ac:dyDescent="0.3">
      <c r="K29" t="s">
        <v>115</v>
      </c>
      <c r="L29" t="s">
        <v>125</v>
      </c>
    </row>
    <row r="30" spans="10:12" x14ac:dyDescent="0.3">
      <c r="K30" t="s">
        <v>123</v>
      </c>
      <c r="L30" t="s">
        <v>126</v>
      </c>
    </row>
    <row r="32" spans="10:12" x14ac:dyDescent="0.3">
      <c r="K32" t="s">
        <v>127</v>
      </c>
    </row>
    <row r="33" spans="11:11" x14ac:dyDescent="0.3">
      <c r="K33" t="s">
        <v>128</v>
      </c>
    </row>
    <row r="34" spans="11:11" x14ac:dyDescent="0.3">
      <c r="K34" t="s">
        <v>71</v>
      </c>
    </row>
    <row r="35" spans="11:11" x14ac:dyDescent="0.3">
      <c r="K35" t="s">
        <v>129</v>
      </c>
    </row>
    <row r="37" spans="11:11" x14ac:dyDescent="0.3">
      <c r="K37" t="s">
        <v>96</v>
      </c>
    </row>
    <row r="38" spans="11:11" x14ac:dyDescent="0.3">
      <c r="K38" t="s">
        <v>130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6C0D-5A17-4214-B0C3-CE125D10BFBA}">
  <dimension ref="A1:Y39"/>
  <sheetViews>
    <sheetView tabSelected="1" topLeftCell="I7" zoomScale="121" workbookViewId="0">
      <selection activeCell="G23" sqref="G23"/>
    </sheetView>
  </sheetViews>
  <sheetFormatPr defaultRowHeight="14.4" x14ac:dyDescent="0.3"/>
  <cols>
    <col min="6" max="9" width="8.8984375" customWidth="1"/>
  </cols>
  <sheetData>
    <row r="1" spans="1:25" x14ac:dyDescent="0.3">
      <c r="A1" s="33" t="s">
        <v>252</v>
      </c>
      <c r="B1" s="33"/>
      <c r="C1" s="33"/>
    </row>
    <row r="2" spans="1:25" x14ac:dyDescent="0.3">
      <c r="J2" t="s">
        <v>136</v>
      </c>
      <c r="K2" t="s">
        <v>13</v>
      </c>
      <c r="L2" t="s">
        <v>14</v>
      </c>
      <c r="M2" t="s">
        <v>15</v>
      </c>
      <c r="N2" t="s">
        <v>16</v>
      </c>
      <c r="O2" t="s">
        <v>17</v>
      </c>
      <c r="P2" t="s">
        <v>18</v>
      </c>
      <c r="Q2" t="s">
        <v>171</v>
      </c>
      <c r="S2" t="s">
        <v>163</v>
      </c>
      <c r="V2" t="s">
        <v>95</v>
      </c>
    </row>
    <row r="3" spans="1:25" x14ac:dyDescent="0.3">
      <c r="A3" t="s">
        <v>180</v>
      </c>
      <c r="J3" t="s">
        <v>137</v>
      </c>
      <c r="K3" s="6">
        <v>1</v>
      </c>
      <c r="L3" s="6">
        <v>1</v>
      </c>
      <c r="M3" s="6">
        <v>1</v>
      </c>
      <c r="N3" s="6">
        <v>1</v>
      </c>
      <c r="O3" s="5">
        <v>0</v>
      </c>
      <c r="P3" s="5">
        <v>0</v>
      </c>
      <c r="Q3" s="5">
        <v>0</v>
      </c>
      <c r="R3" s="5"/>
      <c r="S3" s="5">
        <v>1</v>
      </c>
    </row>
    <row r="4" spans="1:25" x14ac:dyDescent="0.3">
      <c r="A4" t="s">
        <v>181</v>
      </c>
      <c r="J4" t="s">
        <v>138</v>
      </c>
      <c r="K4">
        <v>0</v>
      </c>
      <c r="L4">
        <v>1</v>
      </c>
      <c r="M4">
        <v>1</v>
      </c>
      <c r="N4">
        <v>1</v>
      </c>
      <c r="O4">
        <v>0</v>
      </c>
      <c r="P4">
        <v>0</v>
      </c>
      <c r="Q4">
        <v>0</v>
      </c>
      <c r="S4">
        <v>0</v>
      </c>
      <c r="V4" t="s">
        <v>164</v>
      </c>
      <c r="W4">
        <f>SUM(S3:S15)</f>
        <v>5</v>
      </c>
    </row>
    <row r="5" spans="1:25" x14ac:dyDescent="0.3">
      <c r="A5" s="9" t="s">
        <v>13</v>
      </c>
      <c r="J5" t="s">
        <v>139</v>
      </c>
      <c r="K5" s="5">
        <v>0</v>
      </c>
      <c r="L5" s="5">
        <v>0</v>
      </c>
      <c r="M5" s="6">
        <v>1</v>
      </c>
      <c r="N5" s="5">
        <v>1</v>
      </c>
      <c r="O5" s="5">
        <v>0</v>
      </c>
      <c r="P5" s="6">
        <v>1</v>
      </c>
      <c r="Q5" s="6">
        <v>0</v>
      </c>
      <c r="R5" s="5"/>
      <c r="S5" s="5">
        <v>1</v>
      </c>
    </row>
    <row r="6" spans="1:25" x14ac:dyDescent="0.3">
      <c r="A6" s="9" t="s">
        <v>14</v>
      </c>
      <c r="J6" t="s">
        <v>140</v>
      </c>
      <c r="K6">
        <v>0</v>
      </c>
      <c r="L6">
        <v>1</v>
      </c>
      <c r="M6">
        <v>1</v>
      </c>
      <c r="N6">
        <v>0</v>
      </c>
      <c r="O6">
        <v>0</v>
      </c>
      <c r="P6">
        <v>1</v>
      </c>
      <c r="Q6">
        <v>0</v>
      </c>
      <c r="S6">
        <v>0</v>
      </c>
    </row>
    <row r="7" spans="1:25" x14ac:dyDescent="0.3">
      <c r="A7" s="9" t="s">
        <v>15</v>
      </c>
      <c r="J7" t="s">
        <v>141</v>
      </c>
      <c r="K7">
        <v>1</v>
      </c>
      <c r="L7">
        <v>1</v>
      </c>
      <c r="M7">
        <v>0</v>
      </c>
      <c r="N7">
        <v>0</v>
      </c>
      <c r="O7">
        <v>1</v>
      </c>
      <c r="P7">
        <v>0</v>
      </c>
      <c r="Q7">
        <v>0</v>
      </c>
      <c r="S7">
        <v>0</v>
      </c>
      <c r="V7" t="s">
        <v>165</v>
      </c>
    </row>
    <row r="8" spans="1:25" x14ac:dyDescent="0.3">
      <c r="A8" s="9" t="s">
        <v>16</v>
      </c>
      <c r="J8" t="s">
        <v>142</v>
      </c>
      <c r="K8">
        <v>0</v>
      </c>
      <c r="L8">
        <v>0</v>
      </c>
      <c r="M8">
        <v>1</v>
      </c>
      <c r="N8">
        <v>1</v>
      </c>
      <c r="O8">
        <v>1</v>
      </c>
      <c r="P8">
        <v>0</v>
      </c>
      <c r="Q8">
        <v>0</v>
      </c>
      <c r="S8">
        <v>0</v>
      </c>
      <c r="W8" t="s">
        <v>166</v>
      </c>
      <c r="Y8" t="s">
        <v>19</v>
      </c>
    </row>
    <row r="9" spans="1:25" x14ac:dyDescent="0.3">
      <c r="A9" s="9" t="s">
        <v>17</v>
      </c>
      <c r="J9" t="s">
        <v>143</v>
      </c>
      <c r="K9" s="6">
        <v>1</v>
      </c>
      <c r="L9" s="6">
        <v>1</v>
      </c>
      <c r="M9" s="6">
        <v>1</v>
      </c>
      <c r="N9" s="5">
        <v>0</v>
      </c>
      <c r="O9" s="6">
        <v>1</v>
      </c>
      <c r="P9" s="6">
        <v>1</v>
      </c>
      <c r="Q9" s="6">
        <v>0</v>
      </c>
      <c r="R9" s="5"/>
      <c r="S9" s="5">
        <v>1</v>
      </c>
      <c r="V9" t="s">
        <v>13</v>
      </c>
      <c r="W9">
        <f>SUMPRODUCT(S3:S15,K3:K15)</f>
        <v>2</v>
      </c>
      <c r="X9" t="s">
        <v>12</v>
      </c>
      <c r="Y9">
        <v>2</v>
      </c>
    </row>
    <row r="10" spans="1:25" x14ac:dyDescent="0.3">
      <c r="A10" s="9" t="s">
        <v>18</v>
      </c>
      <c r="J10" t="s">
        <v>144</v>
      </c>
      <c r="K10">
        <v>0</v>
      </c>
      <c r="L10">
        <v>1</v>
      </c>
      <c r="M10">
        <v>0</v>
      </c>
      <c r="N10">
        <v>1</v>
      </c>
      <c r="O10">
        <v>0</v>
      </c>
      <c r="P10">
        <v>0</v>
      </c>
      <c r="Q10">
        <v>0</v>
      </c>
      <c r="S10">
        <v>0</v>
      </c>
      <c r="V10" t="s">
        <v>167</v>
      </c>
      <c r="W10">
        <f>SUMPRODUCT(S3:S15,L3:L15)</f>
        <v>3</v>
      </c>
      <c r="X10" t="s">
        <v>12</v>
      </c>
      <c r="Y10">
        <v>3</v>
      </c>
    </row>
    <row r="11" spans="1:25" x14ac:dyDescent="0.3">
      <c r="A11" s="9" t="s">
        <v>177</v>
      </c>
      <c r="J11" t="s">
        <v>145</v>
      </c>
      <c r="K11">
        <v>0</v>
      </c>
      <c r="L11">
        <v>0</v>
      </c>
      <c r="M11">
        <v>1</v>
      </c>
      <c r="N11">
        <v>0</v>
      </c>
      <c r="O11">
        <v>0</v>
      </c>
      <c r="P11">
        <v>1</v>
      </c>
      <c r="Q11">
        <v>0</v>
      </c>
      <c r="S11">
        <v>0</v>
      </c>
      <c r="V11" t="s">
        <v>168</v>
      </c>
      <c r="W11">
        <f>SUMPRODUCT(S3:S14,M3:M14)</f>
        <v>4</v>
      </c>
      <c r="X11" t="s">
        <v>12</v>
      </c>
      <c r="Y11">
        <v>4</v>
      </c>
    </row>
    <row r="12" spans="1:25" x14ac:dyDescent="0.3">
      <c r="A12" t="s">
        <v>182</v>
      </c>
      <c r="J12" t="s">
        <v>146</v>
      </c>
      <c r="K12" s="5">
        <v>0</v>
      </c>
      <c r="L12" s="6">
        <v>1</v>
      </c>
      <c r="M12" s="6">
        <v>1</v>
      </c>
      <c r="N12" s="6">
        <v>1</v>
      </c>
      <c r="O12" s="6">
        <v>1</v>
      </c>
      <c r="P12" s="5">
        <v>0</v>
      </c>
      <c r="Q12" s="5">
        <v>0</v>
      </c>
      <c r="R12" s="5"/>
      <c r="S12" s="5">
        <v>1</v>
      </c>
      <c r="V12" t="s">
        <v>16</v>
      </c>
      <c r="W12">
        <f>SUMPRODUCT(S3:S15,N3:N15)</f>
        <v>3</v>
      </c>
      <c r="X12" t="s">
        <v>12</v>
      </c>
      <c r="Y12">
        <v>3</v>
      </c>
    </row>
    <row r="13" spans="1:25" x14ac:dyDescent="0.3">
      <c r="A13" t="s">
        <v>183</v>
      </c>
      <c r="J13" t="s">
        <v>147</v>
      </c>
      <c r="K13">
        <v>0</v>
      </c>
      <c r="L13">
        <v>1</v>
      </c>
      <c r="M13">
        <v>1</v>
      </c>
      <c r="N13">
        <v>0</v>
      </c>
      <c r="O13">
        <v>0</v>
      </c>
      <c r="P13">
        <v>1</v>
      </c>
      <c r="Q13">
        <v>0</v>
      </c>
      <c r="S13">
        <v>0</v>
      </c>
      <c r="V13" t="s">
        <v>169</v>
      </c>
      <c r="W13">
        <f>SUMPRODUCT(S3:S15,O3:O15)</f>
        <v>2</v>
      </c>
      <c r="X13" t="s">
        <v>12</v>
      </c>
      <c r="Y13">
        <v>2</v>
      </c>
    </row>
    <row r="14" spans="1:25" x14ac:dyDescent="0.3">
      <c r="A14" s="9" t="s">
        <v>184</v>
      </c>
      <c r="J14" t="s">
        <v>148</v>
      </c>
      <c r="K14">
        <v>0</v>
      </c>
      <c r="L14">
        <v>0</v>
      </c>
      <c r="M14">
        <v>0</v>
      </c>
      <c r="N14">
        <v>0</v>
      </c>
      <c r="O14">
        <v>1</v>
      </c>
      <c r="P14">
        <v>1</v>
      </c>
      <c r="Q14">
        <v>0</v>
      </c>
      <c r="S14">
        <v>0</v>
      </c>
      <c r="V14" t="s">
        <v>170</v>
      </c>
      <c r="W14">
        <f>SUMPRODUCT(P3:P15,S3:S15)</f>
        <v>2</v>
      </c>
      <c r="X14" t="s">
        <v>12</v>
      </c>
      <c r="Y14">
        <v>2</v>
      </c>
    </row>
    <row r="15" spans="1:25" x14ac:dyDescent="0.3">
      <c r="A15" s="9" t="s">
        <v>185</v>
      </c>
      <c r="J15" t="s">
        <v>172</v>
      </c>
      <c r="K15" s="5">
        <v>0</v>
      </c>
      <c r="L15" s="5">
        <v>0</v>
      </c>
      <c r="M15" s="5">
        <v>0</v>
      </c>
      <c r="N15" s="5">
        <v>0</v>
      </c>
      <c r="O15" s="5">
        <v>0</v>
      </c>
      <c r="P15" s="5">
        <v>0</v>
      </c>
      <c r="Q15" s="7">
        <v>1</v>
      </c>
      <c r="R15" s="5"/>
      <c r="S15" s="5">
        <v>1</v>
      </c>
      <c r="V15" t="s">
        <v>171</v>
      </c>
      <c r="W15">
        <f>SUMPRODUCT(S3:S15,Q3:Q15)</f>
        <v>1</v>
      </c>
      <c r="X15" t="s">
        <v>12</v>
      </c>
      <c r="Y15">
        <v>1</v>
      </c>
    </row>
    <row r="16" spans="1:25" x14ac:dyDescent="0.3">
      <c r="A16" s="9" t="s">
        <v>186</v>
      </c>
    </row>
    <row r="17" spans="1:23" x14ac:dyDescent="0.3">
      <c r="A17" s="9" t="s">
        <v>187</v>
      </c>
      <c r="K17" t="s">
        <v>13</v>
      </c>
      <c r="L17" t="s">
        <v>14</v>
      </c>
      <c r="M17" t="s">
        <v>15</v>
      </c>
      <c r="N17" t="s">
        <v>16</v>
      </c>
      <c r="O17" t="s">
        <v>17</v>
      </c>
      <c r="P17" t="s">
        <v>18</v>
      </c>
      <c r="Q17" t="s">
        <v>171</v>
      </c>
    </row>
    <row r="18" spans="1:23" x14ac:dyDescent="0.3">
      <c r="A18" s="9" t="s">
        <v>188</v>
      </c>
      <c r="J18" t="s">
        <v>19</v>
      </c>
      <c r="K18">
        <v>2</v>
      </c>
      <c r="L18">
        <v>3</v>
      </c>
      <c r="M18">
        <v>4</v>
      </c>
      <c r="N18">
        <v>3</v>
      </c>
      <c r="O18">
        <v>2</v>
      </c>
      <c r="P18">
        <v>2</v>
      </c>
      <c r="Q18">
        <v>1</v>
      </c>
    </row>
    <row r="19" spans="1:23" x14ac:dyDescent="0.3">
      <c r="A19" s="9" t="s">
        <v>189</v>
      </c>
      <c r="V19" s="1" t="s">
        <v>133</v>
      </c>
    </row>
    <row r="20" spans="1:23" x14ac:dyDescent="0.3">
      <c r="A20" s="9" t="s">
        <v>190</v>
      </c>
      <c r="W20" t="s">
        <v>149</v>
      </c>
    </row>
    <row r="21" spans="1:23" x14ac:dyDescent="0.3">
      <c r="A21" t="s">
        <v>178</v>
      </c>
      <c r="W21" t="s">
        <v>150</v>
      </c>
    </row>
    <row r="22" spans="1:23" x14ac:dyDescent="0.3">
      <c r="A22" t="s">
        <v>191</v>
      </c>
      <c r="W22" t="s">
        <v>151</v>
      </c>
    </row>
    <row r="23" spans="1:23" x14ac:dyDescent="0.3">
      <c r="A23" s="1" t="s">
        <v>179</v>
      </c>
    </row>
    <row r="24" spans="1:23" x14ac:dyDescent="0.3">
      <c r="A24" s="8" t="s">
        <v>192</v>
      </c>
      <c r="V24" s="1" t="s">
        <v>176</v>
      </c>
    </row>
    <row r="25" spans="1:23" x14ac:dyDescent="0.3">
      <c r="A25" s="8" t="s">
        <v>193</v>
      </c>
      <c r="V25" t="s">
        <v>152</v>
      </c>
      <c r="W25" s="3" t="s">
        <v>153</v>
      </c>
    </row>
    <row r="26" spans="1:23" x14ac:dyDescent="0.3">
      <c r="A26" s="8" t="s">
        <v>194</v>
      </c>
      <c r="W26" t="s">
        <v>161</v>
      </c>
    </row>
    <row r="27" spans="1:23" x14ac:dyDescent="0.3">
      <c r="W27" t="s">
        <v>162</v>
      </c>
    </row>
    <row r="29" spans="1:23" x14ac:dyDescent="0.3">
      <c r="V29" s="1" t="s">
        <v>154</v>
      </c>
    </row>
    <row r="30" spans="1:23" x14ac:dyDescent="0.3">
      <c r="W30" t="s">
        <v>155</v>
      </c>
    </row>
    <row r="31" spans="1:23" x14ac:dyDescent="0.3">
      <c r="W31" t="s">
        <v>156</v>
      </c>
    </row>
    <row r="32" spans="1:23" x14ac:dyDescent="0.3">
      <c r="W32" t="s">
        <v>157</v>
      </c>
    </row>
    <row r="33" spans="23:23" x14ac:dyDescent="0.3">
      <c r="W33" t="s">
        <v>158</v>
      </c>
    </row>
    <row r="34" spans="23:23" x14ac:dyDescent="0.3">
      <c r="W34" t="s">
        <v>159</v>
      </c>
    </row>
    <row r="35" spans="23:23" x14ac:dyDescent="0.3">
      <c r="W35" t="s">
        <v>160</v>
      </c>
    </row>
    <row r="36" spans="23:23" x14ac:dyDescent="0.3">
      <c r="W36" t="s">
        <v>173</v>
      </c>
    </row>
    <row r="38" spans="23:23" x14ac:dyDescent="0.3">
      <c r="W38" t="s">
        <v>175</v>
      </c>
    </row>
    <row r="39" spans="23:23" x14ac:dyDescent="0.3">
      <c r="W39" t="s">
        <v>174</v>
      </c>
    </row>
  </sheetData>
  <mergeCells count="1">
    <mergeCell ref="A1:C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89A8-FC0C-490E-A143-D15245A54CD3}">
  <dimension ref="C1:S39"/>
  <sheetViews>
    <sheetView topLeftCell="C1" zoomScale="121" workbookViewId="0">
      <selection activeCell="P1" sqref="P1:R1"/>
    </sheetView>
  </sheetViews>
  <sheetFormatPr defaultRowHeight="14.4" x14ac:dyDescent="0.3"/>
  <sheetData>
    <row r="1" spans="3:19" x14ac:dyDescent="0.3">
      <c r="P1" s="33" t="s">
        <v>252</v>
      </c>
      <c r="Q1" s="33"/>
      <c r="R1" s="33"/>
    </row>
    <row r="2" spans="3:19" x14ac:dyDescent="0.3">
      <c r="C2" t="s">
        <v>136</v>
      </c>
      <c r="D2" t="s">
        <v>13</v>
      </c>
      <c r="E2" t="s">
        <v>14</v>
      </c>
      <c r="F2" t="s">
        <v>15</v>
      </c>
      <c r="G2" t="s">
        <v>16</v>
      </c>
      <c r="H2" t="s">
        <v>17</v>
      </c>
      <c r="I2" t="s">
        <v>18</v>
      </c>
      <c r="J2" t="s">
        <v>171</v>
      </c>
      <c r="K2" t="s">
        <v>223</v>
      </c>
      <c r="M2" t="s">
        <v>224</v>
      </c>
      <c r="P2" t="s">
        <v>95</v>
      </c>
    </row>
    <row r="3" spans="3:19" x14ac:dyDescent="0.3">
      <c r="C3" t="s">
        <v>137</v>
      </c>
      <c r="D3" s="6">
        <v>1</v>
      </c>
      <c r="E3" s="6">
        <v>1</v>
      </c>
      <c r="F3" s="6">
        <v>1</v>
      </c>
      <c r="G3" s="6">
        <v>1</v>
      </c>
      <c r="H3" s="5">
        <v>0</v>
      </c>
      <c r="I3" s="5">
        <v>0</v>
      </c>
      <c r="J3" s="5">
        <v>0</v>
      </c>
      <c r="K3" s="5">
        <v>7</v>
      </c>
      <c r="L3" s="5"/>
      <c r="M3" s="5">
        <v>1</v>
      </c>
    </row>
    <row r="4" spans="3:19" x14ac:dyDescent="0.3">
      <c r="C4" t="s">
        <v>138</v>
      </c>
      <c r="D4">
        <v>0</v>
      </c>
      <c r="E4">
        <v>1</v>
      </c>
      <c r="F4">
        <v>1</v>
      </c>
      <c r="G4">
        <v>1</v>
      </c>
      <c r="H4">
        <v>0</v>
      </c>
      <c r="I4">
        <v>0</v>
      </c>
      <c r="J4">
        <v>0</v>
      </c>
      <c r="K4">
        <v>4</v>
      </c>
      <c r="M4">
        <v>1</v>
      </c>
      <c r="P4" t="s">
        <v>164</v>
      </c>
      <c r="Q4">
        <f>SUMPRODUCT(M3:M15,K3:K15)</f>
        <v>42</v>
      </c>
    </row>
    <row r="5" spans="3:19" x14ac:dyDescent="0.3">
      <c r="C5" t="s">
        <v>139</v>
      </c>
      <c r="D5" s="5">
        <v>0</v>
      </c>
      <c r="E5" s="5">
        <v>0</v>
      </c>
      <c r="F5" s="6">
        <v>1</v>
      </c>
      <c r="G5" s="5">
        <v>1</v>
      </c>
      <c r="H5" s="5">
        <v>0</v>
      </c>
      <c r="I5" s="6">
        <v>1</v>
      </c>
      <c r="J5" s="6">
        <v>0</v>
      </c>
      <c r="K5" s="6">
        <v>9</v>
      </c>
      <c r="L5" s="5"/>
      <c r="M5" s="5">
        <v>0</v>
      </c>
    </row>
    <row r="6" spans="3:19" x14ac:dyDescent="0.3">
      <c r="C6" t="s">
        <v>140</v>
      </c>
      <c r="D6">
        <v>0</v>
      </c>
      <c r="E6">
        <v>1</v>
      </c>
      <c r="F6">
        <v>1</v>
      </c>
      <c r="G6">
        <v>0</v>
      </c>
      <c r="H6">
        <v>0</v>
      </c>
      <c r="I6">
        <v>1</v>
      </c>
      <c r="J6">
        <v>0</v>
      </c>
      <c r="K6">
        <v>5</v>
      </c>
      <c r="M6">
        <v>0</v>
      </c>
    </row>
    <row r="7" spans="3:19" x14ac:dyDescent="0.3">
      <c r="C7" t="s">
        <v>141</v>
      </c>
      <c r="D7">
        <v>1</v>
      </c>
      <c r="E7">
        <v>1</v>
      </c>
      <c r="F7">
        <v>0</v>
      </c>
      <c r="G7">
        <v>0</v>
      </c>
      <c r="H7">
        <v>1</v>
      </c>
      <c r="I7">
        <v>0</v>
      </c>
      <c r="J7">
        <v>0</v>
      </c>
      <c r="K7">
        <v>5</v>
      </c>
      <c r="M7">
        <v>1</v>
      </c>
      <c r="P7" t="s">
        <v>165</v>
      </c>
    </row>
    <row r="8" spans="3:19" x14ac:dyDescent="0.3">
      <c r="C8" t="s">
        <v>142</v>
      </c>
      <c r="D8">
        <v>0</v>
      </c>
      <c r="E8">
        <v>0</v>
      </c>
      <c r="F8">
        <v>1</v>
      </c>
      <c r="G8">
        <v>1</v>
      </c>
      <c r="H8">
        <v>1</v>
      </c>
      <c r="I8">
        <v>0</v>
      </c>
      <c r="J8">
        <v>0</v>
      </c>
      <c r="K8">
        <v>5</v>
      </c>
      <c r="M8">
        <v>1</v>
      </c>
      <c r="Q8" t="s">
        <v>166</v>
      </c>
      <c r="S8" t="s">
        <v>19</v>
      </c>
    </row>
    <row r="9" spans="3:19" x14ac:dyDescent="0.3">
      <c r="C9" t="s">
        <v>143</v>
      </c>
      <c r="D9" s="6">
        <v>1</v>
      </c>
      <c r="E9" s="6">
        <v>1</v>
      </c>
      <c r="F9" s="6">
        <v>1</v>
      </c>
      <c r="G9" s="5">
        <v>0</v>
      </c>
      <c r="H9" s="6">
        <v>1</v>
      </c>
      <c r="I9" s="6">
        <v>1</v>
      </c>
      <c r="J9" s="6">
        <v>0</v>
      </c>
      <c r="K9" s="6">
        <v>12</v>
      </c>
      <c r="L9" s="5"/>
      <c r="M9" s="5">
        <v>0</v>
      </c>
      <c r="P9" t="s">
        <v>13</v>
      </c>
      <c r="Q9">
        <f>SUMPRODUCT(M3:M15,D3:D15)</f>
        <v>2</v>
      </c>
      <c r="R9" t="s">
        <v>12</v>
      </c>
      <c r="S9">
        <v>2</v>
      </c>
    </row>
    <row r="10" spans="3:19" x14ac:dyDescent="0.3">
      <c r="C10" t="s">
        <v>144</v>
      </c>
      <c r="D10">
        <v>0</v>
      </c>
      <c r="E10">
        <v>1</v>
      </c>
      <c r="F10">
        <v>0</v>
      </c>
      <c r="G10">
        <v>1</v>
      </c>
      <c r="H10">
        <v>0</v>
      </c>
      <c r="I10">
        <v>0</v>
      </c>
      <c r="J10">
        <v>0</v>
      </c>
      <c r="K10">
        <v>5</v>
      </c>
      <c r="M10">
        <v>0</v>
      </c>
      <c r="P10" t="s">
        <v>167</v>
      </c>
      <c r="Q10">
        <f>SUMPRODUCT(M3:M15,E3:E15)</f>
        <v>4</v>
      </c>
      <c r="R10" t="s">
        <v>12</v>
      </c>
      <c r="S10">
        <v>3</v>
      </c>
    </row>
    <row r="11" spans="3:19" x14ac:dyDescent="0.3">
      <c r="C11" t="s">
        <v>145</v>
      </c>
      <c r="D11">
        <v>0</v>
      </c>
      <c r="E11">
        <v>0</v>
      </c>
      <c r="F11">
        <v>1</v>
      </c>
      <c r="G11">
        <v>0</v>
      </c>
      <c r="H11">
        <v>0</v>
      </c>
      <c r="I11">
        <v>1</v>
      </c>
      <c r="J11">
        <v>0</v>
      </c>
      <c r="K11">
        <v>5</v>
      </c>
      <c r="M11">
        <v>0</v>
      </c>
      <c r="P11" t="s">
        <v>168</v>
      </c>
      <c r="Q11">
        <f>SUMPRODUCT(M3:M14,F3:F14)</f>
        <v>4</v>
      </c>
      <c r="R11" t="s">
        <v>12</v>
      </c>
      <c r="S11">
        <v>4</v>
      </c>
    </row>
    <row r="12" spans="3:19" x14ac:dyDescent="0.3">
      <c r="C12" t="s">
        <v>146</v>
      </c>
      <c r="D12" s="5">
        <v>0</v>
      </c>
      <c r="E12" s="6">
        <v>1</v>
      </c>
      <c r="F12" s="6">
        <v>1</v>
      </c>
      <c r="G12" s="6">
        <v>1</v>
      </c>
      <c r="H12" s="6">
        <v>1</v>
      </c>
      <c r="I12" s="5">
        <v>0</v>
      </c>
      <c r="J12" s="5">
        <v>0</v>
      </c>
      <c r="K12" s="5">
        <v>14</v>
      </c>
      <c r="L12" s="5"/>
      <c r="M12" s="5">
        <v>0</v>
      </c>
      <c r="P12" t="s">
        <v>16</v>
      </c>
      <c r="Q12">
        <f>SUMPRODUCT(M3:M15,G3:G15)</f>
        <v>3</v>
      </c>
      <c r="R12" t="s">
        <v>12</v>
      </c>
      <c r="S12">
        <v>3</v>
      </c>
    </row>
    <row r="13" spans="3:19" x14ac:dyDescent="0.3">
      <c r="C13" t="s">
        <v>147</v>
      </c>
      <c r="D13">
        <v>0</v>
      </c>
      <c r="E13">
        <v>1</v>
      </c>
      <c r="F13">
        <v>1</v>
      </c>
      <c r="G13">
        <v>0</v>
      </c>
      <c r="H13">
        <v>0</v>
      </c>
      <c r="I13">
        <v>1</v>
      </c>
      <c r="J13">
        <v>0</v>
      </c>
      <c r="K13">
        <v>3</v>
      </c>
      <c r="M13">
        <v>1</v>
      </c>
      <c r="P13" t="s">
        <v>169</v>
      </c>
      <c r="Q13">
        <f>SUMPRODUCT(M3:M15,H3:H15)</f>
        <v>3</v>
      </c>
      <c r="R13" t="s">
        <v>12</v>
      </c>
      <c r="S13">
        <v>2</v>
      </c>
    </row>
    <row r="14" spans="3:19" x14ac:dyDescent="0.3">
      <c r="C14" t="s">
        <v>148</v>
      </c>
      <c r="D14">
        <v>0</v>
      </c>
      <c r="E14">
        <v>0</v>
      </c>
      <c r="F14">
        <v>0</v>
      </c>
      <c r="G14">
        <v>0</v>
      </c>
      <c r="H14">
        <v>1</v>
      </c>
      <c r="I14">
        <v>1</v>
      </c>
      <c r="J14">
        <v>0</v>
      </c>
      <c r="K14">
        <v>3</v>
      </c>
      <c r="M14">
        <v>1</v>
      </c>
      <c r="P14" t="s">
        <v>170</v>
      </c>
      <c r="Q14">
        <f>SUMPRODUCT(I3:I15,M3:M15)</f>
        <v>2</v>
      </c>
      <c r="R14" t="s">
        <v>12</v>
      </c>
      <c r="S14">
        <v>2</v>
      </c>
    </row>
    <row r="15" spans="3:19" x14ac:dyDescent="0.3">
      <c r="C15" t="s">
        <v>172</v>
      </c>
      <c r="D15" s="5">
        <v>0</v>
      </c>
      <c r="E15" s="5">
        <v>0</v>
      </c>
      <c r="F15" s="5">
        <v>0</v>
      </c>
      <c r="G15" s="5">
        <v>0</v>
      </c>
      <c r="H15" s="5">
        <v>0</v>
      </c>
      <c r="I15" s="5">
        <v>0</v>
      </c>
      <c r="J15" s="7">
        <v>1</v>
      </c>
      <c r="K15" s="7">
        <v>15</v>
      </c>
      <c r="L15" s="5"/>
      <c r="M15" s="5">
        <v>1</v>
      </c>
      <c r="P15" t="s">
        <v>171</v>
      </c>
      <c r="Q15">
        <f>SUMPRODUCT(M3:M15,J3:J15)</f>
        <v>1</v>
      </c>
      <c r="R15" t="s">
        <v>12</v>
      </c>
      <c r="S15">
        <v>1</v>
      </c>
    </row>
    <row r="17" spans="3:17" x14ac:dyDescent="0.3">
      <c r="D17" t="s">
        <v>13</v>
      </c>
      <c r="E17" t="s">
        <v>14</v>
      </c>
      <c r="F17" t="s">
        <v>15</v>
      </c>
      <c r="G17" t="s">
        <v>16</v>
      </c>
      <c r="H17" t="s">
        <v>17</v>
      </c>
      <c r="I17" t="s">
        <v>18</v>
      </c>
      <c r="J17" t="s">
        <v>171</v>
      </c>
    </row>
    <row r="18" spans="3:17" x14ac:dyDescent="0.3">
      <c r="C18" t="s">
        <v>19</v>
      </c>
      <c r="D18">
        <v>2</v>
      </c>
      <c r="E18">
        <v>3</v>
      </c>
      <c r="F18">
        <v>4</v>
      </c>
      <c r="G18">
        <v>3</v>
      </c>
      <c r="H18">
        <v>2</v>
      </c>
      <c r="I18">
        <v>2</v>
      </c>
      <c r="J18">
        <v>1</v>
      </c>
    </row>
    <row r="19" spans="3:17" x14ac:dyDescent="0.3">
      <c r="P19" s="1" t="s">
        <v>133</v>
      </c>
    </row>
    <row r="20" spans="3:17" x14ac:dyDescent="0.3">
      <c r="Q20" t="s">
        <v>149</v>
      </c>
    </row>
    <row r="21" spans="3:17" x14ac:dyDescent="0.3">
      <c r="E21" t="s">
        <v>20</v>
      </c>
      <c r="Q21" t="s">
        <v>150</v>
      </c>
    </row>
    <row r="22" spans="3:17" x14ac:dyDescent="0.3">
      <c r="Q22" t="s">
        <v>151</v>
      </c>
    </row>
    <row r="24" spans="3:17" x14ac:dyDescent="0.3">
      <c r="P24" s="1" t="s">
        <v>176</v>
      </c>
    </row>
    <row r="25" spans="3:17" x14ac:dyDescent="0.3">
      <c r="P25" t="s">
        <v>152</v>
      </c>
      <c r="Q25" s="3" t="s">
        <v>228</v>
      </c>
    </row>
    <row r="26" spans="3:17" x14ac:dyDescent="0.3">
      <c r="Q26" t="s">
        <v>161</v>
      </c>
    </row>
    <row r="27" spans="3:17" x14ac:dyDescent="0.3">
      <c r="Q27" t="s">
        <v>162</v>
      </c>
    </row>
    <row r="29" spans="3:17" x14ac:dyDescent="0.3">
      <c r="P29" s="1" t="s">
        <v>154</v>
      </c>
    </row>
    <row r="30" spans="3:17" x14ac:dyDescent="0.3">
      <c r="Q30" t="s">
        <v>155</v>
      </c>
    </row>
    <row r="31" spans="3:17" x14ac:dyDescent="0.3">
      <c r="Q31" t="s">
        <v>156</v>
      </c>
    </row>
    <row r="32" spans="3:17" x14ac:dyDescent="0.3">
      <c r="Q32" t="s">
        <v>157</v>
      </c>
    </row>
    <row r="33" spans="17:17" x14ac:dyDescent="0.3">
      <c r="Q33" t="s">
        <v>158</v>
      </c>
    </row>
    <row r="34" spans="17:17" x14ac:dyDescent="0.3">
      <c r="Q34" t="s">
        <v>159</v>
      </c>
    </row>
    <row r="35" spans="17:17" x14ac:dyDescent="0.3">
      <c r="Q35" t="s">
        <v>160</v>
      </c>
    </row>
    <row r="36" spans="17:17" x14ac:dyDescent="0.3">
      <c r="Q36" t="s">
        <v>173</v>
      </c>
    </row>
    <row r="38" spans="17:17" x14ac:dyDescent="0.3">
      <c r="Q38" t="s">
        <v>175</v>
      </c>
    </row>
    <row r="39" spans="17:17" x14ac:dyDescent="0.3">
      <c r="Q39" t="s">
        <v>174</v>
      </c>
    </row>
  </sheetData>
  <mergeCells count="1">
    <mergeCell ref="P1:R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E0CD-82F8-41B7-B8F3-998542CF9581}">
  <dimension ref="K1:Q30"/>
  <sheetViews>
    <sheetView workbookViewId="0">
      <selection activeCell="L17" sqref="L17"/>
    </sheetView>
  </sheetViews>
  <sheetFormatPr defaultRowHeight="14.4" x14ac:dyDescent="0.3"/>
  <sheetData>
    <row r="1" spans="11:17" x14ac:dyDescent="0.3">
      <c r="K1" s="33" t="s">
        <v>227</v>
      </c>
      <c r="L1" s="33"/>
      <c r="M1" s="33"/>
      <c r="N1" s="33"/>
      <c r="O1" s="33"/>
      <c r="P1" s="33"/>
      <c r="Q1" s="33"/>
    </row>
    <row r="2" spans="11:17" x14ac:dyDescent="0.3">
      <c r="N2" t="s">
        <v>350</v>
      </c>
      <c r="P2" t="s">
        <v>351</v>
      </c>
    </row>
    <row r="3" spans="11:17" x14ac:dyDescent="0.3">
      <c r="M3" t="s">
        <v>245</v>
      </c>
      <c r="N3" t="s">
        <v>199</v>
      </c>
      <c r="P3" t="s">
        <v>236</v>
      </c>
    </row>
    <row r="4" spans="11:17" x14ac:dyDescent="0.3">
      <c r="L4" t="s">
        <v>195</v>
      </c>
      <c r="M4">
        <v>40</v>
      </c>
      <c r="N4">
        <v>0.09</v>
      </c>
      <c r="P4">
        <v>1</v>
      </c>
    </row>
    <row r="5" spans="11:17" x14ac:dyDescent="0.3">
      <c r="L5" t="s">
        <v>196</v>
      </c>
      <c r="M5">
        <v>30</v>
      </c>
      <c r="N5">
        <v>0.06</v>
      </c>
      <c r="P5">
        <v>1</v>
      </c>
    </row>
    <row r="6" spans="11:17" x14ac:dyDescent="0.3">
      <c r="L6" t="s">
        <v>197</v>
      </c>
      <c r="M6">
        <v>50</v>
      </c>
      <c r="N6">
        <v>0.08</v>
      </c>
      <c r="P6">
        <v>0</v>
      </c>
    </row>
    <row r="7" spans="11:17" x14ac:dyDescent="0.3">
      <c r="L7" t="s">
        <v>198</v>
      </c>
      <c r="M7">
        <v>20</v>
      </c>
      <c r="N7">
        <v>0.05</v>
      </c>
      <c r="P7">
        <v>1</v>
      </c>
    </row>
    <row r="9" spans="11:17" x14ac:dyDescent="0.3">
      <c r="P9" t="s">
        <v>352</v>
      </c>
    </row>
    <row r="10" spans="11:17" x14ac:dyDescent="0.3">
      <c r="P10" t="s">
        <v>353</v>
      </c>
      <c r="Q10">
        <f>SUMPRODUCT(N4:N7,P4:P7)</f>
        <v>0.2</v>
      </c>
    </row>
    <row r="12" spans="11:17" x14ac:dyDescent="0.3">
      <c r="O12" t="s">
        <v>354</v>
      </c>
    </row>
    <row r="13" spans="11:17" x14ac:dyDescent="0.3">
      <c r="O13">
        <f>SUMPRODUCT(M4:M7,P4:P7)</f>
        <v>90</v>
      </c>
      <c r="P13" t="s">
        <v>45</v>
      </c>
      <c r="Q13">
        <v>90</v>
      </c>
    </row>
    <row r="16" spans="11:17" x14ac:dyDescent="0.3">
      <c r="P16" s="1" t="s">
        <v>133</v>
      </c>
    </row>
    <row r="17" spans="16:17" x14ac:dyDescent="0.3">
      <c r="Q17" t="s">
        <v>149</v>
      </c>
    </row>
    <row r="18" spans="16:17" x14ac:dyDescent="0.3">
      <c r="Q18" t="s">
        <v>355</v>
      </c>
    </row>
    <row r="19" spans="16:17" x14ac:dyDescent="0.3">
      <c r="Q19" t="s">
        <v>356</v>
      </c>
    </row>
    <row r="21" spans="16:17" x14ac:dyDescent="0.3">
      <c r="P21" s="1" t="s">
        <v>176</v>
      </c>
    </row>
    <row r="22" spans="16:17" x14ac:dyDescent="0.3">
      <c r="P22" t="s">
        <v>357</v>
      </c>
      <c r="Q22" s="3" t="s">
        <v>358</v>
      </c>
    </row>
    <row r="23" spans="16:17" x14ac:dyDescent="0.3">
      <c r="Q23" t="s">
        <v>161</v>
      </c>
    </row>
    <row r="24" spans="16:17" x14ac:dyDescent="0.3">
      <c r="Q24" t="s">
        <v>359</v>
      </c>
    </row>
    <row r="26" spans="16:17" x14ac:dyDescent="0.3">
      <c r="P26" s="1" t="s">
        <v>154</v>
      </c>
    </row>
    <row r="27" spans="16:17" x14ac:dyDescent="0.3">
      <c r="Q27" t="s">
        <v>360</v>
      </c>
    </row>
    <row r="29" spans="16:17" x14ac:dyDescent="0.3">
      <c r="Q29" t="s">
        <v>175</v>
      </c>
    </row>
    <row r="30" spans="16:17" x14ac:dyDescent="0.3">
      <c r="Q30" t="s">
        <v>174</v>
      </c>
    </row>
  </sheetData>
  <mergeCells count="1">
    <mergeCell ref="K1:Q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61E8-3FC1-497A-9797-02EA5071B985}">
  <dimension ref="K1:R43"/>
  <sheetViews>
    <sheetView topLeftCell="A12" workbookViewId="0">
      <selection activeCell="L44" sqref="L44"/>
    </sheetView>
  </sheetViews>
  <sheetFormatPr defaultRowHeight="14.4" x14ac:dyDescent="0.3"/>
  <cols>
    <col min="12" max="12" width="19.69921875" customWidth="1"/>
  </cols>
  <sheetData>
    <row r="1" spans="11:17" x14ac:dyDescent="0.3">
      <c r="K1" s="33" t="s">
        <v>227</v>
      </c>
      <c r="L1" s="33"/>
      <c r="M1" s="33"/>
      <c r="N1" s="33"/>
      <c r="O1" s="33"/>
      <c r="P1" s="33"/>
      <c r="Q1" s="33"/>
    </row>
    <row r="4" spans="11:17" x14ac:dyDescent="0.3">
      <c r="M4" t="s">
        <v>199</v>
      </c>
      <c r="N4" t="s">
        <v>229</v>
      </c>
      <c r="P4" t="s">
        <v>163</v>
      </c>
    </row>
    <row r="5" spans="11:17" x14ac:dyDescent="0.3">
      <c r="L5" t="s">
        <v>195</v>
      </c>
      <c r="M5">
        <v>0.09</v>
      </c>
      <c r="N5">
        <v>40</v>
      </c>
      <c r="P5">
        <v>1</v>
      </c>
    </row>
    <row r="6" spans="11:17" x14ac:dyDescent="0.3">
      <c r="L6" t="s">
        <v>196</v>
      </c>
      <c r="M6">
        <v>0.06</v>
      </c>
      <c r="N6">
        <v>30</v>
      </c>
      <c r="P6">
        <v>1</v>
      </c>
    </row>
    <row r="7" spans="11:17" x14ac:dyDescent="0.3">
      <c r="L7" t="s">
        <v>197</v>
      </c>
      <c r="M7">
        <v>0.08</v>
      </c>
      <c r="N7">
        <v>50</v>
      </c>
      <c r="P7">
        <v>0</v>
      </c>
    </row>
    <row r="8" spans="11:17" x14ac:dyDescent="0.3">
      <c r="L8" t="s">
        <v>198</v>
      </c>
      <c r="M8">
        <v>0.05</v>
      </c>
      <c r="N8">
        <v>20</v>
      </c>
      <c r="P8">
        <v>1</v>
      </c>
    </row>
    <row r="12" spans="11:17" x14ac:dyDescent="0.3">
      <c r="M12" t="s">
        <v>95</v>
      </c>
    </row>
    <row r="13" spans="11:17" x14ac:dyDescent="0.3">
      <c r="O13" t="s">
        <v>101</v>
      </c>
      <c r="Q13">
        <f>SUMPRODUCT(P5:P8,M5:M8)</f>
        <v>0.2</v>
      </c>
    </row>
    <row r="15" spans="11:17" x14ac:dyDescent="0.3">
      <c r="M15" t="s">
        <v>11</v>
      </c>
    </row>
    <row r="17" spans="12:18" x14ac:dyDescent="0.3">
      <c r="O17" t="s">
        <v>29</v>
      </c>
      <c r="Q17" t="s">
        <v>44</v>
      </c>
    </row>
    <row r="18" spans="12:18" x14ac:dyDescent="0.3">
      <c r="M18" t="s">
        <v>230</v>
      </c>
      <c r="O18">
        <f>SUMPRODUCT(P5:P8,N5:N8)</f>
        <v>90</v>
      </c>
      <c r="P18" t="s">
        <v>45</v>
      </c>
      <c r="Q18">
        <v>90</v>
      </c>
    </row>
    <row r="23" spans="12:18" x14ac:dyDescent="0.3">
      <c r="L23" t="s">
        <v>376</v>
      </c>
    </row>
    <row r="25" spans="12:18" x14ac:dyDescent="0.3">
      <c r="L25" t="s">
        <v>377</v>
      </c>
      <c r="P25" t="s">
        <v>245</v>
      </c>
      <c r="Q25" t="s">
        <v>378</v>
      </c>
      <c r="R25" t="s">
        <v>379</v>
      </c>
    </row>
    <row r="26" spans="12:18" x14ac:dyDescent="0.3">
      <c r="L26" t="s">
        <v>195</v>
      </c>
      <c r="N26">
        <v>40</v>
      </c>
      <c r="O26">
        <v>0.09</v>
      </c>
      <c r="Q26">
        <v>1</v>
      </c>
    </row>
    <row r="27" spans="12:18" x14ac:dyDescent="0.3">
      <c r="L27" t="s">
        <v>196</v>
      </c>
      <c r="N27">
        <v>30</v>
      </c>
      <c r="O27">
        <v>0.06</v>
      </c>
      <c r="Q27">
        <v>1</v>
      </c>
    </row>
    <row r="28" spans="12:18" x14ac:dyDescent="0.3">
      <c r="L28" t="s">
        <v>197</v>
      </c>
      <c r="N28">
        <v>50</v>
      </c>
      <c r="O28">
        <v>0.08</v>
      </c>
      <c r="Q28">
        <v>0</v>
      </c>
    </row>
    <row r="29" spans="12:18" x14ac:dyDescent="0.3">
      <c r="L29" t="s">
        <v>380</v>
      </c>
      <c r="N29">
        <v>20</v>
      </c>
      <c r="O29">
        <v>0.05</v>
      </c>
      <c r="Q29">
        <v>1</v>
      </c>
    </row>
    <row r="32" spans="12:18" x14ac:dyDescent="0.3">
      <c r="L32" t="s">
        <v>375</v>
      </c>
    </row>
    <row r="34" spans="12:18" x14ac:dyDescent="0.3">
      <c r="L34" t="s">
        <v>381</v>
      </c>
    </row>
    <row r="35" spans="12:18" x14ac:dyDescent="0.3">
      <c r="L35">
        <f>SUMPRODUCT(O26:O29,Q26:Q29)</f>
        <v>0.2</v>
      </c>
    </row>
    <row r="38" spans="12:18" x14ac:dyDescent="0.3">
      <c r="L38" t="s">
        <v>382</v>
      </c>
    </row>
    <row r="40" spans="12:18" x14ac:dyDescent="0.3">
      <c r="L40" t="s">
        <v>383</v>
      </c>
    </row>
    <row r="41" spans="12:18" x14ac:dyDescent="0.3">
      <c r="L41">
        <f>SUMPRODUCT(N26:N29,Q26:Q29)</f>
        <v>90</v>
      </c>
    </row>
    <row r="43" spans="12:18" x14ac:dyDescent="0.3">
      <c r="L43" t="s">
        <v>384</v>
      </c>
      <c r="R43">
        <v>90</v>
      </c>
    </row>
  </sheetData>
  <mergeCells count="1">
    <mergeCell ref="K1:Q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12FE-D604-4C88-899C-E3EC8A7ECD06}">
  <dimension ref="B1:P56"/>
  <sheetViews>
    <sheetView topLeftCell="A40" workbookViewId="0">
      <selection activeCell="N46" sqref="N46"/>
    </sheetView>
  </sheetViews>
  <sheetFormatPr defaultRowHeight="14.4" x14ac:dyDescent="0.3"/>
  <sheetData>
    <row r="1" spans="2:16" ht="21.05" x14ac:dyDescent="0.4">
      <c r="B1" s="35" t="s">
        <v>238</v>
      </c>
      <c r="C1" s="35"/>
      <c r="D1" s="35"/>
      <c r="E1" s="35"/>
      <c r="F1" s="35"/>
      <c r="G1" s="35"/>
    </row>
    <row r="2" spans="2:16" x14ac:dyDescent="0.3">
      <c r="B2" s="34" t="s">
        <v>231</v>
      </c>
      <c r="C2" s="34"/>
      <c r="D2" s="34"/>
      <c r="E2" s="34"/>
      <c r="F2" s="34"/>
      <c r="G2" s="34"/>
    </row>
    <row r="3" spans="2:16" x14ac:dyDescent="0.3">
      <c r="B3" s="34"/>
      <c r="C3" s="34"/>
      <c r="D3" s="34"/>
      <c r="E3" s="34"/>
      <c r="F3" s="34"/>
      <c r="G3" s="34"/>
      <c r="M3">
        <v>20</v>
      </c>
      <c r="N3">
        <v>14</v>
      </c>
    </row>
    <row r="4" spans="2:16" x14ac:dyDescent="0.3">
      <c r="B4" s="34"/>
      <c r="C4" s="34"/>
      <c r="D4" s="34"/>
      <c r="E4" s="34"/>
      <c r="F4" s="34"/>
      <c r="G4" s="34"/>
      <c r="L4" t="s">
        <v>367</v>
      </c>
      <c r="M4" t="s">
        <v>368</v>
      </c>
      <c r="N4" t="s">
        <v>369</v>
      </c>
      <c r="P4" t="s">
        <v>370</v>
      </c>
    </row>
    <row r="5" spans="2:16" x14ac:dyDescent="0.3">
      <c r="B5" s="34"/>
      <c r="C5" s="34"/>
      <c r="D5" s="34"/>
      <c r="E5" s="34"/>
      <c r="F5" s="34"/>
      <c r="G5" s="34"/>
      <c r="K5" t="s">
        <v>361</v>
      </c>
      <c r="L5">
        <v>18</v>
      </c>
      <c r="M5">
        <v>6</v>
      </c>
      <c r="N5">
        <v>4</v>
      </c>
      <c r="P5">
        <v>1</v>
      </c>
    </row>
    <row r="6" spans="2:16" x14ac:dyDescent="0.3">
      <c r="B6" s="34"/>
      <c r="C6" s="34"/>
      <c r="D6" s="34"/>
      <c r="E6" s="34"/>
      <c r="F6" s="34"/>
      <c r="G6" s="34"/>
      <c r="K6" t="s">
        <v>362</v>
      </c>
      <c r="L6">
        <v>20</v>
      </c>
      <c r="M6">
        <v>7</v>
      </c>
      <c r="N6">
        <v>5</v>
      </c>
      <c r="P6">
        <v>0</v>
      </c>
    </row>
    <row r="7" spans="2:16" x14ac:dyDescent="0.3">
      <c r="B7" s="34"/>
      <c r="C7" s="34"/>
      <c r="D7" s="34"/>
      <c r="E7" s="34"/>
      <c r="F7" s="34"/>
      <c r="G7" s="34"/>
      <c r="K7" t="s">
        <v>363</v>
      </c>
      <c r="L7">
        <v>14</v>
      </c>
      <c r="M7">
        <v>5</v>
      </c>
      <c r="N7">
        <v>3</v>
      </c>
      <c r="P7">
        <v>1</v>
      </c>
    </row>
    <row r="8" spans="2:16" x14ac:dyDescent="0.3">
      <c r="B8" s="34"/>
      <c r="C8" s="34"/>
      <c r="D8" s="34"/>
      <c r="E8" s="34"/>
      <c r="F8" s="34"/>
      <c r="G8" s="34"/>
      <c r="K8" t="s">
        <v>364</v>
      </c>
      <c r="L8">
        <v>16</v>
      </c>
      <c r="M8">
        <v>6</v>
      </c>
      <c r="N8">
        <v>4</v>
      </c>
      <c r="P8">
        <v>0</v>
      </c>
    </row>
    <row r="9" spans="2:16" x14ac:dyDescent="0.3">
      <c r="B9" s="34"/>
      <c r="C9" s="34"/>
      <c r="D9" s="34"/>
      <c r="E9" s="34"/>
      <c r="F9" s="34"/>
      <c r="G9" s="34"/>
      <c r="K9" t="s">
        <v>365</v>
      </c>
      <c r="L9">
        <v>10</v>
      </c>
      <c r="M9">
        <v>4</v>
      </c>
      <c r="N9">
        <v>1</v>
      </c>
      <c r="P9">
        <v>1</v>
      </c>
    </row>
    <row r="10" spans="2:16" x14ac:dyDescent="0.3">
      <c r="B10" s="34"/>
      <c r="C10" s="34"/>
      <c r="D10" s="34"/>
      <c r="E10" s="34"/>
      <c r="F10" s="34"/>
      <c r="G10" s="34"/>
      <c r="K10" t="s">
        <v>366</v>
      </c>
      <c r="L10">
        <v>12</v>
      </c>
      <c r="M10">
        <v>5</v>
      </c>
      <c r="N10">
        <v>3</v>
      </c>
      <c r="P10">
        <v>1</v>
      </c>
    </row>
    <row r="11" spans="2:16" x14ac:dyDescent="0.3">
      <c r="B11" s="34"/>
      <c r="C11" s="34"/>
      <c r="D11" s="34"/>
      <c r="E11" s="34"/>
      <c r="F11" s="34"/>
      <c r="G11" s="34"/>
    </row>
    <row r="12" spans="2:16" x14ac:dyDescent="0.3">
      <c r="B12" s="34"/>
      <c r="C12" s="34"/>
      <c r="D12" s="34"/>
      <c r="E12" s="34"/>
      <c r="F12" s="34"/>
      <c r="G12" s="34"/>
    </row>
    <row r="13" spans="2:16" x14ac:dyDescent="0.3">
      <c r="B13" s="34"/>
      <c r="C13" s="34"/>
      <c r="D13" s="34"/>
      <c r="E13" s="34"/>
      <c r="F13" s="34"/>
      <c r="G13" s="34"/>
    </row>
    <row r="14" spans="2:16" x14ac:dyDescent="0.3">
      <c r="B14" s="34"/>
      <c r="C14" s="34"/>
      <c r="D14" s="34"/>
      <c r="E14" s="34"/>
      <c r="F14" s="34"/>
      <c r="G14" s="34"/>
      <c r="N14" t="s">
        <v>371</v>
      </c>
      <c r="O14">
        <f>SUMPRODUCT(L5:L10,P5:P10)</f>
        <v>54</v>
      </c>
    </row>
    <row r="15" spans="2:16" x14ac:dyDescent="0.3">
      <c r="B15" s="34"/>
      <c r="C15" s="34"/>
      <c r="D15" s="34"/>
      <c r="E15" s="34"/>
      <c r="F15" s="34"/>
      <c r="G15" s="34"/>
    </row>
    <row r="16" spans="2:16" x14ac:dyDescent="0.3">
      <c r="B16" s="34"/>
      <c r="C16" s="34"/>
      <c r="D16" s="34"/>
      <c r="E16" s="34"/>
      <c r="F16" s="34"/>
      <c r="G16" s="34"/>
    </row>
    <row r="17" spans="2:14" x14ac:dyDescent="0.3">
      <c r="B17" s="34"/>
      <c r="C17" s="34"/>
      <c r="D17" s="34"/>
      <c r="E17" s="34"/>
      <c r="F17" s="34"/>
      <c r="G17" s="34"/>
      <c r="L17" t="s">
        <v>372</v>
      </c>
    </row>
    <row r="18" spans="2:14" x14ac:dyDescent="0.3">
      <c r="B18" s="34"/>
      <c r="C18" s="34"/>
      <c r="D18" s="34"/>
      <c r="E18" s="34"/>
      <c r="F18" s="34"/>
      <c r="G18" s="34"/>
      <c r="L18">
        <f>SUMPRODUCT(M5:M10,P5:P10)</f>
        <v>20</v>
      </c>
      <c r="M18" t="s">
        <v>45</v>
      </c>
      <c r="N18">
        <v>20</v>
      </c>
    </row>
    <row r="19" spans="2:14" x14ac:dyDescent="0.3">
      <c r="B19" s="34"/>
      <c r="C19" s="34"/>
      <c r="D19" s="34"/>
      <c r="E19" s="34"/>
      <c r="F19" s="34"/>
      <c r="G19" s="34"/>
      <c r="L19">
        <f>SUMPRODUCT(N5:N10,P5:P10)</f>
        <v>11</v>
      </c>
      <c r="M19" t="s">
        <v>45</v>
      </c>
      <c r="N19">
        <v>14</v>
      </c>
    </row>
    <row r="20" spans="2:14" x14ac:dyDescent="0.3">
      <c r="B20" s="34"/>
      <c r="C20" s="34"/>
      <c r="D20" s="34"/>
      <c r="E20" s="34"/>
      <c r="F20" s="34"/>
      <c r="G20" s="34"/>
    </row>
    <row r="21" spans="2:14" x14ac:dyDescent="0.3">
      <c r="B21" s="34"/>
      <c r="C21" s="34"/>
      <c r="D21" s="34"/>
      <c r="E21" s="34"/>
      <c r="F21" s="34"/>
      <c r="G21" s="34"/>
    </row>
    <row r="22" spans="2:14" x14ac:dyDescent="0.3">
      <c r="B22" s="34"/>
      <c r="C22" s="34"/>
      <c r="D22" s="34"/>
      <c r="E22" s="34"/>
      <c r="F22" s="34"/>
      <c r="G22" s="34"/>
    </row>
    <row r="23" spans="2:14" x14ac:dyDescent="0.3">
      <c r="B23" s="34"/>
      <c r="C23" s="34"/>
      <c r="D23" s="34"/>
      <c r="E23" s="34"/>
      <c r="F23" s="34"/>
      <c r="G23" s="34"/>
    </row>
    <row r="24" spans="2:14" x14ac:dyDescent="0.3">
      <c r="B24" s="34"/>
      <c r="C24" s="34"/>
      <c r="D24" s="34"/>
      <c r="E24" s="34"/>
      <c r="F24" s="34"/>
      <c r="G24" s="34"/>
    </row>
    <row r="39" spans="11:16" x14ac:dyDescent="0.3">
      <c r="L39" t="s">
        <v>233</v>
      </c>
      <c r="M39" t="s">
        <v>234</v>
      </c>
      <c r="N39" t="s">
        <v>235</v>
      </c>
      <c r="P39" t="s">
        <v>236</v>
      </c>
    </row>
    <row r="40" spans="11:16" x14ac:dyDescent="0.3">
      <c r="K40" t="s">
        <v>137</v>
      </c>
      <c r="L40">
        <v>18</v>
      </c>
      <c r="M40">
        <v>6</v>
      </c>
      <c r="N40">
        <v>4</v>
      </c>
      <c r="P40">
        <v>1</v>
      </c>
    </row>
    <row r="41" spans="11:16" x14ac:dyDescent="0.3">
      <c r="K41" t="s">
        <v>138</v>
      </c>
      <c r="L41">
        <v>20</v>
      </c>
      <c r="M41">
        <v>7</v>
      </c>
      <c r="N41">
        <v>5</v>
      </c>
      <c r="P41">
        <v>1</v>
      </c>
    </row>
    <row r="42" spans="11:16" x14ac:dyDescent="0.3">
      <c r="K42" t="s">
        <v>139</v>
      </c>
      <c r="L42">
        <v>14</v>
      </c>
      <c r="M42">
        <v>5</v>
      </c>
      <c r="N42">
        <v>3</v>
      </c>
      <c r="P42">
        <v>0</v>
      </c>
    </row>
    <row r="43" spans="11:16" x14ac:dyDescent="0.3">
      <c r="K43" t="s">
        <v>140</v>
      </c>
      <c r="L43">
        <v>16</v>
      </c>
      <c r="M43">
        <v>6</v>
      </c>
      <c r="N43">
        <v>4</v>
      </c>
      <c r="P43">
        <v>1</v>
      </c>
    </row>
    <row r="44" spans="11:16" x14ac:dyDescent="0.3">
      <c r="K44" t="s">
        <v>141</v>
      </c>
      <c r="L44">
        <v>10</v>
      </c>
      <c r="M44">
        <v>4</v>
      </c>
      <c r="N44">
        <v>2</v>
      </c>
      <c r="P44">
        <v>0</v>
      </c>
    </row>
    <row r="45" spans="11:16" x14ac:dyDescent="0.3">
      <c r="K45" t="s">
        <v>142</v>
      </c>
      <c r="L45">
        <v>12</v>
      </c>
      <c r="M45">
        <v>5</v>
      </c>
      <c r="N45">
        <v>3</v>
      </c>
      <c r="P45">
        <v>0</v>
      </c>
    </row>
    <row r="48" spans="11:16" x14ac:dyDescent="0.3">
      <c r="L48" t="s">
        <v>57</v>
      </c>
    </row>
    <row r="49" spans="12:15" x14ac:dyDescent="0.3">
      <c r="M49">
        <f>SUMPRODUCT(P40:P45,L40:L45)+P40*P41*6+P41*P43*5+P42*P44*4</f>
        <v>65</v>
      </c>
    </row>
    <row r="50" spans="12:15" x14ac:dyDescent="0.3">
      <c r="L50" t="s">
        <v>59</v>
      </c>
    </row>
    <row r="51" spans="12:15" x14ac:dyDescent="0.3">
      <c r="L51" t="s">
        <v>234</v>
      </c>
      <c r="M51">
        <f>SUMPRODUCT(M40:M45,P40:P45)</f>
        <v>19</v>
      </c>
      <c r="N51" t="s">
        <v>45</v>
      </c>
      <c r="O51">
        <v>20</v>
      </c>
    </row>
    <row r="52" spans="12:15" x14ac:dyDescent="0.3">
      <c r="L52" t="s">
        <v>237</v>
      </c>
      <c r="M52">
        <f>SUMPRODUCT(N40:N45,P40:P45)</f>
        <v>13</v>
      </c>
      <c r="N52" t="s">
        <v>45</v>
      </c>
      <c r="O52">
        <v>14</v>
      </c>
    </row>
    <row r="56" spans="12:15" x14ac:dyDescent="0.3">
      <c r="L56" t="s">
        <v>239</v>
      </c>
    </row>
  </sheetData>
  <mergeCells count="2">
    <mergeCell ref="B2:G24"/>
    <mergeCell ref="B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CC3D9-A9E7-4E19-911D-2FA847CD6AE2}">
  <dimension ref="B1:S28"/>
  <sheetViews>
    <sheetView workbookViewId="0">
      <selection activeCell="P19" sqref="P19"/>
    </sheetView>
  </sheetViews>
  <sheetFormatPr defaultRowHeight="14.4" x14ac:dyDescent="0.3"/>
  <sheetData>
    <row r="1" spans="2:19" x14ac:dyDescent="0.3">
      <c r="I1" s="33" t="s">
        <v>226</v>
      </c>
      <c r="J1" s="33"/>
      <c r="K1" s="33"/>
      <c r="L1" s="33"/>
      <c r="M1" s="33"/>
    </row>
    <row r="3" spans="2:19" ht="14.4" customHeight="1" x14ac:dyDescent="0.3">
      <c r="B3" s="36" t="s">
        <v>208</v>
      </c>
      <c r="C3" s="36"/>
      <c r="D3" s="36"/>
      <c r="E3" s="36"/>
      <c r="F3" s="36"/>
      <c r="I3" s="10" t="s">
        <v>209</v>
      </c>
      <c r="J3" s="10" t="s">
        <v>210</v>
      </c>
      <c r="K3" s="10" t="s">
        <v>211</v>
      </c>
      <c r="L3" s="10" t="s">
        <v>212</v>
      </c>
      <c r="M3" s="10" t="s">
        <v>213</v>
      </c>
    </row>
    <row r="4" spans="2:19" ht="14.4" customHeight="1" x14ac:dyDescent="0.3">
      <c r="B4" s="36"/>
      <c r="C4" s="36"/>
      <c r="D4" s="36"/>
      <c r="E4" s="36"/>
      <c r="F4" s="36"/>
      <c r="I4" s="11" t="s">
        <v>214</v>
      </c>
      <c r="J4" s="11">
        <v>1</v>
      </c>
      <c r="K4" s="11">
        <v>0</v>
      </c>
      <c r="L4" s="11">
        <v>1</v>
      </c>
      <c r="M4" s="11">
        <v>0</v>
      </c>
    </row>
    <row r="5" spans="2:19" ht="14.4" customHeight="1" x14ac:dyDescent="0.3">
      <c r="B5" s="36"/>
      <c r="C5" s="36"/>
      <c r="D5" s="36"/>
      <c r="E5" s="36"/>
      <c r="F5" s="36"/>
      <c r="I5" s="11" t="s">
        <v>215</v>
      </c>
      <c r="J5" s="11">
        <v>1</v>
      </c>
      <c r="K5" s="11">
        <v>1</v>
      </c>
      <c r="L5" s="11">
        <v>0</v>
      </c>
      <c r="M5" s="11">
        <v>0</v>
      </c>
    </row>
    <row r="6" spans="2:19" ht="14.4" customHeight="1" x14ac:dyDescent="0.3">
      <c r="B6" s="36"/>
      <c r="C6" s="36"/>
      <c r="D6" s="36"/>
      <c r="E6" s="36"/>
      <c r="F6" s="36"/>
      <c r="I6" s="11" t="s">
        <v>216</v>
      </c>
      <c r="J6" s="11">
        <v>0</v>
      </c>
      <c r="K6" s="11">
        <v>1</v>
      </c>
      <c r="L6" s="11">
        <v>1</v>
      </c>
      <c r="M6" s="11">
        <v>0</v>
      </c>
    </row>
    <row r="7" spans="2:19" ht="14.4" customHeight="1" x14ac:dyDescent="0.3">
      <c r="B7" s="36"/>
      <c r="C7" s="36"/>
      <c r="D7" s="36"/>
      <c r="E7" s="36"/>
      <c r="F7" s="36"/>
      <c r="I7" s="11" t="s">
        <v>217</v>
      </c>
      <c r="J7" s="11">
        <v>0</v>
      </c>
      <c r="K7" s="11">
        <v>0</v>
      </c>
      <c r="L7" s="11">
        <v>1</v>
      </c>
      <c r="M7" s="11">
        <v>1</v>
      </c>
    </row>
    <row r="8" spans="2:19" ht="14.4" customHeight="1" x14ac:dyDescent="0.3">
      <c r="B8" s="36"/>
      <c r="C8" s="36"/>
      <c r="D8" s="36"/>
      <c r="E8" s="36"/>
      <c r="F8" s="36"/>
      <c r="I8" s="11" t="s">
        <v>218</v>
      </c>
      <c r="J8" s="11">
        <v>0</v>
      </c>
      <c r="K8" s="11">
        <v>1</v>
      </c>
      <c r="L8" s="11">
        <v>0</v>
      </c>
      <c r="M8" s="11">
        <v>1</v>
      </c>
    </row>
    <row r="9" spans="2:19" ht="14.4" customHeight="1" x14ac:dyDescent="0.3">
      <c r="B9" s="36"/>
      <c r="C9" s="36"/>
      <c r="D9" s="36"/>
      <c r="E9" s="36"/>
      <c r="F9" s="36"/>
      <c r="I9" s="11" t="s">
        <v>219</v>
      </c>
      <c r="J9" s="11">
        <v>1</v>
      </c>
      <c r="K9" s="11">
        <v>0</v>
      </c>
      <c r="L9" s="11">
        <v>0</v>
      </c>
      <c r="M9" s="11">
        <v>1</v>
      </c>
    </row>
    <row r="10" spans="2:19" ht="14.4" customHeight="1" x14ac:dyDescent="0.3">
      <c r="B10" s="36"/>
      <c r="C10" s="36"/>
      <c r="D10" s="36"/>
      <c r="E10" s="36"/>
      <c r="F10" s="36"/>
    </row>
    <row r="11" spans="2:19" ht="14.4" customHeight="1" x14ac:dyDescent="0.3">
      <c r="B11" s="36"/>
      <c r="C11" s="36"/>
      <c r="D11" s="36"/>
      <c r="E11" s="36"/>
      <c r="F11" s="36"/>
    </row>
    <row r="12" spans="2:19" ht="14.4" customHeight="1" x14ac:dyDescent="0.3">
      <c r="B12" s="36"/>
      <c r="C12" s="36"/>
      <c r="D12" s="36"/>
      <c r="E12" s="36"/>
      <c r="F12" s="36"/>
    </row>
    <row r="13" spans="2:19" ht="14.4" customHeight="1" x14ac:dyDescent="0.3">
      <c r="B13" s="36"/>
      <c r="C13" s="36"/>
      <c r="D13" s="36"/>
      <c r="E13" s="36"/>
      <c r="F13" s="36"/>
      <c r="K13" s="10" t="s">
        <v>209</v>
      </c>
      <c r="L13" s="11" t="s">
        <v>214</v>
      </c>
      <c r="M13" s="11" t="s">
        <v>215</v>
      </c>
      <c r="N13" s="11" t="s">
        <v>216</v>
      </c>
      <c r="O13" s="11" t="s">
        <v>217</v>
      </c>
      <c r="P13" s="11" t="s">
        <v>218</v>
      </c>
      <c r="Q13" s="11" t="s">
        <v>219</v>
      </c>
      <c r="S13" s="11" t="s">
        <v>370</v>
      </c>
    </row>
    <row r="14" spans="2:19" ht="14.4" customHeight="1" x14ac:dyDescent="0.3">
      <c r="B14" s="36"/>
      <c r="C14" s="36"/>
      <c r="D14" s="36"/>
      <c r="E14" s="36"/>
      <c r="F14" s="36"/>
      <c r="K14" s="10" t="s">
        <v>210</v>
      </c>
      <c r="L14" s="11">
        <v>1</v>
      </c>
      <c r="M14" s="11">
        <v>1</v>
      </c>
      <c r="N14" s="11">
        <v>0</v>
      </c>
      <c r="O14" s="11">
        <v>0</v>
      </c>
      <c r="P14" s="11">
        <v>0</v>
      </c>
      <c r="Q14" s="11">
        <v>1</v>
      </c>
      <c r="S14" s="11">
        <v>1</v>
      </c>
    </row>
    <row r="15" spans="2:19" ht="14.4" customHeight="1" x14ac:dyDescent="0.3">
      <c r="B15" s="36"/>
      <c r="C15" s="36"/>
      <c r="D15" s="36"/>
      <c r="E15" s="36"/>
      <c r="F15" s="36"/>
      <c r="K15" s="10" t="s">
        <v>211</v>
      </c>
      <c r="L15" s="11">
        <v>0</v>
      </c>
      <c r="M15" s="11">
        <v>1</v>
      </c>
      <c r="N15" s="11">
        <v>1</v>
      </c>
      <c r="O15" s="11">
        <v>0</v>
      </c>
      <c r="P15" s="11">
        <v>1</v>
      </c>
      <c r="Q15" s="11">
        <v>0</v>
      </c>
      <c r="S15" s="11">
        <v>1</v>
      </c>
    </row>
    <row r="16" spans="2:19" ht="14.4" customHeight="1" x14ac:dyDescent="0.3">
      <c r="B16" s="36"/>
      <c r="C16" s="36"/>
      <c r="D16" s="36"/>
      <c r="E16" s="36"/>
      <c r="F16" s="36"/>
      <c r="K16" s="10" t="s">
        <v>212</v>
      </c>
      <c r="L16" s="11">
        <v>1</v>
      </c>
      <c r="M16" s="11">
        <v>0</v>
      </c>
      <c r="N16" s="11">
        <v>1</v>
      </c>
      <c r="O16" s="11">
        <v>1</v>
      </c>
      <c r="P16" s="11">
        <v>0</v>
      </c>
      <c r="Q16" s="11">
        <v>0</v>
      </c>
      <c r="S16" s="11">
        <v>1</v>
      </c>
    </row>
    <row r="17" spans="2:19" ht="14.4" customHeight="1" x14ac:dyDescent="0.3">
      <c r="B17" s="36"/>
      <c r="C17" s="36"/>
      <c r="D17" s="36"/>
      <c r="E17" s="36"/>
      <c r="F17" s="36"/>
      <c r="K17" s="10" t="s">
        <v>213</v>
      </c>
      <c r="L17" s="11">
        <v>0</v>
      </c>
      <c r="M17" s="11">
        <v>0</v>
      </c>
      <c r="N17" s="11">
        <v>0</v>
      </c>
      <c r="O17" s="11">
        <v>1</v>
      </c>
      <c r="P17" s="11">
        <v>1</v>
      </c>
      <c r="Q17" s="11">
        <v>1</v>
      </c>
      <c r="S17" s="11">
        <v>0</v>
      </c>
    </row>
    <row r="18" spans="2:19" ht="14.4" customHeight="1" x14ac:dyDescent="0.3">
      <c r="B18" s="36"/>
      <c r="C18" s="36"/>
      <c r="D18" s="36"/>
      <c r="E18" s="36"/>
      <c r="F18" s="36"/>
    </row>
    <row r="19" spans="2:19" ht="18.600000000000001" customHeight="1" x14ac:dyDescent="0.3">
      <c r="B19" s="36"/>
      <c r="C19" s="36"/>
      <c r="D19" s="36"/>
      <c r="E19" s="36"/>
      <c r="F19" s="36"/>
      <c r="L19" s="11"/>
      <c r="M19" s="11"/>
      <c r="N19" s="11"/>
      <c r="O19" s="11"/>
      <c r="P19" s="23" t="s">
        <v>374</v>
      </c>
      <c r="Q19" s="11"/>
    </row>
    <row r="20" spans="2:19" x14ac:dyDescent="0.3">
      <c r="P20" t="s">
        <v>373</v>
      </c>
      <c r="Q20">
        <f>SUM(S14:S17)</f>
        <v>3</v>
      </c>
    </row>
    <row r="22" spans="2:19" x14ac:dyDescent="0.3">
      <c r="L22" s="10" t="s">
        <v>166</v>
      </c>
      <c r="N22" t="s">
        <v>30</v>
      </c>
    </row>
    <row r="23" spans="2:19" x14ac:dyDescent="0.3">
      <c r="K23" s="11" t="s">
        <v>214</v>
      </c>
      <c r="L23">
        <f>SUMPRODUCT(L14:L17,S14:S17)</f>
        <v>2</v>
      </c>
      <c r="M23" t="s">
        <v>12</v>
      </c>
      <c r="N23">
        <v>1</v>
      </c>
    </row>
    <row r="24" spans="2:19" x14ac:dyDescent="0.3">
      <c r="K24" s="11" t="s">
        <v>215</v>
      </c>
      <c r="L24">
        <f>SUMPRODUCT(M14:M17,S14:S17)</f>
        <v>2</v>
      </c>
      <c r="M24" t="s">
        <v>12</v>
      </c>
      <c r="N24">
        <v>1</v>
      </c>
    </row>
    <row r="25" spans="2:19" x14ac:dyDescent="0.3">
      <c r="K25" s="11" t="s">
        <v>216</v>
      </c>
      <c r="L25">
        <f>SUMPRODUCT(N14:N17,S14:S17)</f>
        <v>2</v>
      </c>
      <c r="M25" t="s">
        <v>12</v>
      </c>
      <c r="N25">
        <v>1</v>
      </c>
    </row>
    <row r="26" spans="2:19" x14ac:dyDescent="0.3">
      <c r="K26" s="11" t="s">
        <v>217</v>
      </c>
      <c r="L26">
        <f>SUMPRODUCT(O14:O17,S14:S17)</f>
        <v>1</v>
      </c>
      <c r="M26" t="s">
        <v>12</v>
      </c>
      <c r="N26">
        <v>1</v>
      </c>
    </row>
    <row r="27" spans="2:19" x14ac:dyDescent="0.3">
      <c r="K27" s="11" t="s">
        <v>218</v>
      </c>
      <c r="L27">
        <f>SUMPRODUCT(P14:P17,S14:S17)</f>
        <v>1</v>
      </c>
      <c r="M27" t="s">
        <v>12</v>
      </c>
      <c r="N27">
        <v>1</v>
      </c>
    </row>
    <row r="28" spans="2:19" x14ac:dyDescent="0.3">
      <c r="K28" s="11" t="s">
        <v>219</v>
      </c>
      <c r="L28">
        <f>SUMPRODUCT(Q14:Q17,S14:S17)</f>
        <v>1</v>
      </c>
      <c r="M28" t="s">
        <v>12</v>
      </c>
      <c r="N28">
        <v>1</v>
      </c>
    </row>
  </sheetData>
  <mergeCells count="2">
    <mergeCell ref="B3:F19"/>
    <mergeCell ref="I1:M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2326-B891-403C-8A19-FB1F025A8A93}">
  <dimension ref="B1:W35"/>
  <sheetViews>
    <sheetView zoomScale="78" zoomScaleNormal="78" workbookViewId="0">
      <selection activeCell="M4" sqref="M4:N5"/>
    </sheetView>
  </sheetViews>
  <sheetFormatPr defaultRowHeight="14.4" x14ac:dyDescent="0.3"/>
  <sheetData>
    <row r="1" spans="2:23" ht="18" x14ac:dyDescent="0.3">
      <c r="I1" s="4" t="s">
        <v>207</v>
      </c>
    </row>
    <row r="3" spans="2:23" ht="15" thickBot="1" x14ac:dyDescent="0.35"/>
    <row r="4" spans="2:23" x14ac:dyDescent="0.3">
      <c r="I4" s="37" t="s">
        <v>137</v>
      </c>
      <c r="J4" s="38"/>
      <c r="K4" s="37" t="s">
        <v>138</v>
      </c>
      <c r="L4" s="38"/>
      <c r="M4" s="45" t="s">
        <v>139</v>
      </c>
      <c r="N4" s="46"/>
      <c r="O4" s="49" t="s">
        <v>140</v>
      </c>
      <c r="P4" s="50"/>
    </row>
    <row r="5" spans="2:23" ht="15" thickBot="1" x14ac:dyDescent="0.35">
      <c r="I5" s="39"/>
      <c r="J5" s="40"/>
      <c r="K5" s="39"/>
      <c r="L5" s="40"/>
      <c r="M5" s="47"/>
      <c r="N5" s="48"/>
      <c r="O5" s="51"/>
      <c r="P5" s="52"/>
    </row>
    <row r="6" spans="2:23" x14ac:dyDescent="0.3">
      <c r="I6" s="37" t="s">
        <v>141</v>
      </c>
      <c r="J6" s="38"/>
      <c r="K6" s="45" t="s">
        <v>142</v>
      </c>
      <c r="L6" s="46"/>
      <c r="M6" s="49" t="s">
        <v>143</v>
      </c>
      <c r="N6" s="50"/>
      <c r="O6" s="49" t="s">
        <v>144</v>
      </c>
      <c r="P6" s="50"/>
    </row>
    <row r="7" spans="2:23" ht="15" thickBot="1" x14ac:dyDescent="0.35">
      <c r="I7" s="39"/>
      <c r="J7" s="40"/>
      <c r="K7" s="47"/>
      <c r="L7" s="48"/>
      <c r="M7" s="51"/>
      <c r="N7" s="52"/>
      <c r="O7" s="51"/>
      <c r="P7" s="52"/>
    </row>
    <row r="8" spans="2:23" x14ac:dyDescent="0.3">
      <c r="I8" s="37" t="s">
        <v>145</v>
      </c>
      <c r="J8" s="38"/>
      <c r="K8" s="37" t="s">
        <v>146</v>
      </c>
      <c r="L8" s="38"/>
      <c r="M8" s="37" t="s">
        <v>147</v>
      </c>
      <c r="N8" s="38"/>
      <c r="O8" s="41" t="s">
        <v>148</v>
      </c>
      <c r="P8" s="42"/>
    </row>
    <row r="9" spans="2:23" ht="15" thickBot="1" x14ac:dyDescent="0.35">
      <c r="I9" s="39"/>
      <c r="J9" s="40"/>
      <c r="K9" s="39"/>
      <c r="L9" s="40"/>
      <c r="M9" s="39"/>
      <c r="N9" s="40"/>
      <c r="O9" s="43"/>
      <c r="P9" s="44"/>
    </row>
    <row r="14" spans="2:23" x14ac:dyDescent="0.3">
      <c r="J14" t="s">
        <v>137</v>
      </c>
      <c r="K14" t="s">
        <v>138</v>
      </c>
      <c r="L14" t="s">
        <v>139</v>
      </c>
      <c r="M14" t="s">
        <v>140</v>
      </c>
      <c r="N14" t="s">
        <v>141</v>
      </c>
      <c r="O14" t="s">
        <v>142</v>
      </c>
      <c r="P14" t="s">
        <v>143</v>
      </c>
      <c r="Q14" t="s">
        <v>144</v>
      </c>
      <c r="R14" t="s">
        <v>145</v>
      </c>
      <c r="S14" t="s">
        <v>146</v>
      </c>
      <c r="T14" t="s">
        <v>147</v>
      </c>
      <c r="U14" t="s">
        <v>148</v>
      </c>
      <c r="W14" t="s">
        <v>200</v>
      </c>
    </row>
    <row r="15" spans="2:23" x14ac:dyDescent="0.3">
      <c r="I15" t="s">
        <v>137</v>
      </c>
      <c r="J15">
        <v>1</v>
      </c>
      <c r="K15">
        <v>1</v>
      </c>
      <c r="L15">
        <v>0</v>
      </c>
      <c r="M15">
        <v>0</v>
      </c>
      <c r="N15">
        <v>1</v>
      </c>
      <c r="O15">
        <v>1</v>
      </c>
      <c r="P15">
        <v>0</v>
      </c>
      <c r="Q15">
        <v>0</v>
      </c>
      <c r="R15">
        <v>0</v>
      </c>
      <c r="S15">
        <v>0</v>
      </c>
      <c r="T15">
        <v>0</v>
      </c>
      <c r="U15">
        <v>0</v>
      </c>
      <c r="W15">
        <v>0</v>
      </c>
    </row>
    <row r="16" spans="2:23" x14ac:dyDescent="0.3">
      <c r="B16" t="s">
        <v>203</v>
      </c>
      <c r="I16" t="s">
        <v>138</v>
      </c>
      <c r="J16">
        <v>1</v>
      </c>
      <c r="K16">
        <v>1</v>
      </c>
      <c r="L16">
        <v>1</v>
      </c>
      <c r="M16">
        <v>0</v>
      </c>
      <c r="N16">
        <v>1</v>
      </c>
      <c r="O16">
        <v>1</v>
      </c>
      <c r="P16">
        <v>1</v>
      </c>
      <c r="Q16">
        <v>0</v>
      </c>
      <c r="R16">
        <v>0</v>
      </c>
      <c r="S16">
        <v>0</v>
      </c>
      <c r="T16">
        <v>0</v>
      </c>
      <c r="U16">
        <v>0</v>
      </c>
      <c r="W16">
        <v>0</v>
      </c>
    </row>
    <row r="17" spans="2:23" x14ac:dyDescent="0.3">
      <c r="B17" t="s">
        <v>204</v>
      </c>
      <c r="I17" t="s">
        <v>139</v>
      </c>
      <c r="J17">
        <v>0</v>
      </c>
      <c r="K17">
        <v>1</v>
      </c>
      <c r="L17">
        <v>1</v>
      </c>
      <c r="M17">
        <v>1</v>
      </c>
      <c r="N17">
        <v>0</v>
      </c>
      <c r="O17">
        <v>1</v>
      </c>
      <c r="P17">
        <v>1</v>
      </c>
      <c r="Q17">
        <v>1</v>
      </c>
      <c r="R17">
        <v>0</v>
      </c>
      <c r="S17">
        <v>0</v>
      </c>
      <c r="T17">
        <v>0</v>
      </c>
      <c r="U17">
        <v>0</v>
      </c>
      <c r="W17">
        <v>1</v>
      </c>
    </row>
    <row r="18" spans="2:23" x14ac:dyDescent="0.3">
      <c r="B18" t="s">
        <v>205</v>
      </c>
      <c r="I18" t="s">
        <v>140</v>
      </c>
      <c r="J18">
        <v>0</v>
      </c>
      <c r="K18">
        <v>0</v>
      </c>
      <c r="L18">
        <v>1</v>
      </c>
      <c r="M18">
        <v>1</v>
      </c>
      <c r="N18">
        <v>0</v>
      </c>
      <c r="O18">
        <v>0</v>
      </c>
      <c r="P18">
        <v>1</v>
      </c>
      <c r="Q18">
        <v>1</v>
      </c>
      <c r="R18">
        <v>0</v>
      </c>
      <c r="S18">
        <v>0</v>
      </c>
      <c r="T18">
        <v>0</v>
      </c>
      <c r="U18">
        <v>0</v>
      </c>
      <c r="W18">
        <v>0</v>
      </c>
    </row>
    <row r="19" spans="2:23" x14ac:dyDescent="0.3">
      <c r="B19" t="s">
        <v>206</v>
      </c>
      <c r="I19" t="s">
        <v>141</v>
      </c>
      <c r="J19">
        <v>1</v>
      </c>
      <c r="K19">
        <v>1</v>
      </c>
      <c r="L19">
        <v>0</v>
      </c>
      <c r="M19">
        <v>0</v>
      </c>
      <c r="N19">
        <v>1</v>
      </c>
      <c r="O19">
        <v>1</v>
      </c>
      <c r="P19">
        <v>0</v>
      </c>
      <c r="Q19">
        <v>0</v>
      </c>
      <c r="R19">
        <v>1</v>
      </c>
      <c r="S19">
        <v>1</v>
      </c>
      <c r="T19">
        <v>0</v>
      </c>
      <c r="U19">
        <v>0</v>
      </c>
      <c r="W19">
        <v>0</v>
      </c>
    </row>
    <row r="20" spans="2:23" x14ac:dyDescent="0.3">
      <c r="I20" t="s">
        <v>142</v>
      </c>
      <c r="J20">
        <v>1</v>
      </c>
      <c r="K20">
        <v>1</v>
      </c>
      <c r="L20">
        <v>1</v>
      </c>
      <c r="M20">
        <v>0</v>
      </c>
      <c r="N20">
        <v>1</v>
      </c>
      <c r="O20">
        <v>1</v>
      </c>
      <c r="P20">
        <v>1</v>
      </c>
      <c r="Q20">
        <v>0</v>
      </c>
      <c r="R20">
        <v>1</v>
      </c>
      <c r="S20">
        <v>1</v>
      </c>
      <c r="T20">
        <v>1</v>
      </c>
      <c r="U20">
        <v>0</v>
      </c>
      <c r="W20">
        <v>1</v>
      </c>
    </row>
    <row r="21" spans="2:23" x14ac:dyDescent="0.3">
      <c r="I21" t="s">
        <v>143</v>
      </c>
      <c r="J21">
        <v>0</v>
      </c>
      <c r="K21">
        <v>1</v>
      </c>
      <c r="L21">
        <v>1</v>
      </c>
      <c r="M21">
        <v>1</v>
      </c>
      <c r="N21">
        <v>0</v>
      </c>
      <c r="O21">
        <v>1</v>
      </c>
      <c r="P21">
        <v>1</v>
      </c>
      <c r="Q21">
        <v>1</v>
      </c>
      <c r="R21">
        <v>0</v>
      </c>
      <c r="S21">
        <v>1</v>
      </c>
      <c r="T21">
        <v>1</v>
      </c>
      <c r="U21">
        <v>1</v>
      </c>
      <c r="W21">
        <v>0</v>
      </c>
    </row>
    <row r="22" spans="2:23" x14ac:dyDescent="0.3">
      <c r="I22" t="s">
        <v>144</v>
      </c>
      <c r="J22">
        <v>0</v>
      </c>
      <c r="K22">
        <v>0</v>
      </c>
      <c r="L22">
        <v>1</v>
      </c>
      <c r="M22">
        <v>1</v>
      </c>
      <c r="N22">
        <v>0</v>
      </c>
      <c r="O22">
        <v>0</v>
      </c>
      <c r="P22">
        <v>1</v>
      </c>
      <c r="Q22">
        <v>1</v>
      </c>
      <c r="R22">
        <v>0</v>
      </c>
      <c r="S22">
        <v>0</v>
      </c>
      <c r="T22">
        <v>1</v>
      </c>
      <c r="U22">
        <v>1</v>
      </c>
      <c r="W22">
        <v>0</v>
      </c>
    </row>
    <row r="23" spans="2:23" x14ac:dyDescent="0.3">
      <c r="I23" t="s">
        <v>145</v>
      </c>
      <c r="J23">
        <v>0</v>
      </c>
      <c r="K23">
        <v>0</v>
      </c>
      <c r="L23">
        <v>0</v>
      </c>
      <c r="M23">
        <v>0</v>
      </c>
      <c r="N23">
        <v>1</v>
      </c>
      <c r="O23">
        <v>1</v>
      </c>
      <c r="P23">
        <v>0</v>
      </c>
      <c r="Q23">
        <v>0</v>
      </c>
      <c r="R23">
        <v>1</v>
      </c>
      <c r="S23">
        <v>1</v>
      </c>
      <c r="T23">
        <v>0</v>
      </c>
      <c r="U23">
        <v>0</v>
      </c>
      <c r="W23">
        <v>0</v>
      </c>
    </row>
    <row r="24" spans="2:23" x14ac:dyDescent="0.3">
      <c r="I24" t="s">
        <v>146</v>
      </c>
      <c r="J24">
        <v>0</v>
      </c>
      <c r="K24">
        <v>0</v>
      </c>
      <c r="L24">
        <v>0</v>
      </c>
      <c r="M24">
        <v>0</v>
      </c>
      <c r="N24">
        <v>1</v>
      </c>
      <c r="O24">
        <v>1</v>
      </c>
      <c r="P24">
        <v>1</v>
      </c>
      <c r="Q24">
        <v>0</v>
      </c>
      <c r="R24">
        <v>1</v>
      </c>
      <c r="S24">
        <v>1</v>
      </c>
      <c r="T24">
        <v>1</v>
      </c>
      <c r="U24">
        <v>0</v>
      </c>
      <c r="W24">
        <v>0</v>
      </c>
    </row>
    <row r="25" spans="2:23" x14ac:dyDescent="0.3">
      <c r="I25" t="s">
        <v>147</v>
      </c>
      <c r="J25">
        <v>0</v>
      </c>
      <c r="K25">
        <v>0</v>
      </c>
      <c r="L25">
        <v>0</v>
      </c>
      <c r="M25">
        <v>0</v>
      </c>
      <c r="N25">
        <v>0</v>
      </c>
      <c r="O25">
        <v>1</v>
      </c>
      <c r="P25">
        <v>1</v>
      </c>
      <c r="Q25">
        <v>1</v>
      </c>
      <c r="R25">
        <v>0</v>
      </c>
      <c r="S25">
        <v>1</v>
      </c>
      <c r="T25">
        <v>1</v>
      </c>
      <c r="U25">
        <v>1</v>
      </c>
      <c r="W25">
        <v>0</v>
      </c>
    </row>
    <row r="26" spans="2:23" x14ac:dyDescent="0.3">
      <c r="I26" t="s">
        <v>148</v>
      </c>
      <c r="J26">
        <v>0</v>
      </c>
      <c r="K26">
        <v>0</v>
      </c>
      <c r="L26">
        <v>0</v>
      </c>
      <c r="M26">
        <v>0</v>
      </c>
      <c r="N26">
        <v>0</v>
      </c>
      <c r="O26">
        <v>0</v>
      </c>
      <c r="P26">
        <v>1</v>
      </c>
      <c r="Q26">
        <v>1</v>
      </c>
      <c r="R26">
        <v>0</v>
      </c>
      <c r="S26">
        <v>0</v>
      </c>
      <c r="T26">
        <v>1</v>
      </c>
      <c r="U26">
        <v>1</v>
      </c>
      <c r="W26">
        <v>0</v>
      </c>
    </row>
    <row r="29" spans="2:23" x14ac:dyDescent="0.3">
      <c r="I29" t="s">
        <v>164</v>
      </c>
      <c r="J29">
        <f>SUM(W15:W26)</f>
        <v>2</v>
      </c>
    </row>
    <row r="31" spans="2:23" x14ac:dyDescent="0.3">
      <c r="I31" t="s">
        <v>201</v>
      </c>
      <c r="V31" t="s">
        <v>165</v>
      </c>
    </row>
    <row r="32" spans="2:23" x14ac:dyDescent="0.3">
      <c r="J32" t="s">
        <v>137</v>
      </c>
      <c r="K32" t="s">
        <v>138</v>
      </c>
      <c r="L32" t="s">
        <v>139</v>
      </c>
      <c r="M32" t="s">
        <v>140</v>
      </c>
      <c r="N32" t="s">
        <v>141</v>
      </c>
      <c r="O32" t="s">
        <v>142</v>
      </c>
      <c r="P32" t="s">
        <v>143</v>
      </c>
      <c r="Q32" t="s">
        <v>144</v>
      </c>
      <c r="R32" t="s">
        <v>145</v>
      </c>
      <c r="S32" t="s">
        <v>146</v>
      </c>
      <c r="T32" t="s">
        <v>147</v>
      </c>
      <c r="U32" t="s">
        <v>148</v>
      </c>
    </row>
    <row r="33" spans="9:21" x14ac:dyDescent="0.3">
      <c r="I33" t="s">
        <v>29</v>
      </c>
      <c r="J33">
        <f t="shared" ref="J33:U33" si="0">SUMPRODUCT($W$15:$W$26,J15:J26)</f>
        <v>1</v>
      </c>
      <c r="K33">
        <f>SUMPRODUCT($W$15:$W$26,K15:K26)</f>
        <v>2</v>
      </c>
      <c r="L33">
        <f t="shared" si="0"/>
        <v>2</v>
      </c>
      <c r="M33">
        <f t="shared" si="0"/>
        <v>1</v>
      </c>
      <c r="N33">
        <f t="shared" si="0"/>
        <v>1</v>
      </c>
      <c r="O33">
        <f t="shared" si="0"/>
        <v>2</v>
      </c>
      <c r="P33">
        <f t="shared" si="0"/>
        <v>2</v>
      </c>
      <c r="Q33">
        <f t="shared" si="0"/>
        <v>1</v>
      </c>
      <c r="R33">
        <f t="shared" si="0"/>
        <v>1</v>
      </c>
      <c r="S33">
        <f t="shared" si="0"/>
        <v>1</v>
      </c>
      <c r="T33">
        <f t="shared" si="0"/>
        <v>1</v>
      </c>
      <c r="U33">
        <f t="shared" si="0"/>
        <v>0</v>
      </c>
    </row>
    <row r="35" spans="9:21" x14ac:dyDescent="0.3">
      <c r="I35" t="s">
        <v>202</v>
      </c>
      <c r="J35">
        <v>1</v>
      </c>
      <c r="K35">
        <v>1</v>
      </c>
      <c r="L35">
        <v>1</v>
      </c>
      <c r="M35">
        <v>1</v>
      </c>
      <c r="N35">
        <v>1</v>
      </c>
      <c r="O35">
        <v>1</v>
      </c>
      <c r="P35">
        <v>1</v>
      </c>
      <c r="Q35">
        <v>1</v>
      </c>
      <c r="R35">
        <v>1</v>
      </c>
      <c r="S35">
        <v>1</v>
      </c>
      <c r="T35">
        <v>1</v>
      </c>
      <c r="U35">
        <v>0</v>
      </c>
    </row>
  </sheetData>
  <mergeCells count="12">
    <mergeCell ref="I8:J9"/>
    <mergeCell ref="K8:L9"/>
    <mergeCell ref="M8:N9"/>
    <mergeCell ref="O8:P9"/>
    <mergeCell ref="I4:J5"/>
    <mergeCell ref="K4:L5"/>
    <mergeCell ref="M4:N5"/>
    <mergeCell ref="O4:P5"/>
    <mergeCell ref="I6:J7"/>
    <mergeCell ref="K6:L7"/>
    <mergeCell ref="M6:N7"/>
    <mergeCell ref="O6:P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2A3F-52C3-44F2-9CE5-0603E758FFB3}">
  <dimension ref="B1:P23"/>
  <sheetViews>
    <sheetView workbookViewId="0">
      <selection activeCell="I20" sqref="I20"/>
    </sheetView>
  </sheetViews>
  <sheetFormatPr defaultRowHeight="14.4" x14ac:dyDescent="0.3"/>
  <cols>
    <col min="6" max="6" width="18.59765625" customWidth="1"/>
    <col min="10" max="10" width="13.69921875" customWidth="1"/>
  </cols>
  <sheetData>
    <row r="1" spans="2:16" x14ac:dyDescent="0.3">
      <c r="B1" s="53" t="s">
        <v>232</v>
      </c>
      <c r="C1" s="53"/>
      <c r="D1" s="53"/>
      <c r="E1" s="53"/>
      <c r="F1" s="53"/>
    </row>
    <row r="3" spans="2:16" ht="14.4" customHeight="1" x14ac:dyDescent="0.3">
      <c r="B3" s="36" t="s">
        <v>240</v>
      </c>
      <c r="C3" s="36"/>
      <c r="D3" s="36"/>
      <c r="E3" s="36"/>
      <c r="F3" s="36"/>
    </row>
    <row r="4" spans="2:16" x14ac:dyDescent="0.3">
      <c r="B4" s="36"/>
      <c r="C4" s="36"/>
      <c r="D4" s="36"/>
      <c r="E4" s="36"/>
      <c r="F4" s="36"/>
      <c r="L4" t="s">
        <v>250</v>
      </c>
      <c r="M4" t="s">
        <v>251</v>
      </c>
      <c r="P4">
        <v>20</v>
      </c>
    </row>
    <row r="5" spans="2:16" x14ac:dyDescent="0.3">
      <c r="B5" s="36"/>
      <c r="C5" s="36"/>
      <c r="D5" s="36"/>
      <c r="E5" s="36"/>
      <c r="F5" s="36"/>
      <c r="J5" t="s">
        <v>244</v>
      </c>
      <c r="L5" t="s">
        <v>241</v>
      </c>
      <c r="M5" t="s">
        <v>243</v>
      </c>
      <c r="N5" t="s">
        <v>242</v>
      </c>
      <c r="O5" t="s">
        <v>246</v>
      </c>
      <c r="P5" t="s">
        <v>245</v>
      </c>
    </row>
    <row r="6" spans="2:16" x14ac:dyDescent="0.3">
      <c r="B6" s="36"/>
      <c r="C6" s="36"/>
      <c r="D6" s="36"/>
      <c r="E6" s="36"/>
      <c r="F6" s="36"/>
      <c r="J6">
        <v>8</v>
      </c>
      <c r="K6" t="s">
        <v>137</v>
      </c>
      <c r="L6">
        <v>1</v>
      </c>
      <c r="M6">
        <v>8</v>
      </c>
      <c r="N6">
        <v>30000</v>
      </c>
      <c r="O6">
        <v>9000</v>
      </c>
      <c r="P6">
        <v>2</v>
      </c>
    </row>
    <row r="7" spans="2:16" x14ac:dyDescent="0.3">
      <c r="B7" s="36"/>
      <c r="C7" s="36"/>
      <c r="D7" s="36"/>
      <c r="E7" s="36"/>
      <c r="F7" s="36"/>
      <c r="J7">
        <v>12</v>
      </c>
      <c r="K7" t="s">
        <v>138</v>
      </c>
      <c r="L7">
        <v>0</v>
      </c>
      <c r="M7">
        <v>0</v>
      </c>
      <c r="N7">
        <v>20000</v>
      </c>
      <c r="O7">
        <v>7000</v>
      </c>
      <c r="P7">
        <v>1</v>
      </c>
    </row>
    <row r="8" spans="2:16" x14ac:dyDescent="0.3">
      <c r="B8" s="36"/>
      <c r="C8" s="36"/>
      <c r="D8" s="36"/>
      <c r="E8" s="36"/>
      <c r="F8" s="36"/>
    </row>
    <row r="9" spans="2:16" x14ac:dyDescent="0.3">
      <c r="B9" s="36"/>
      <c r="C9" s="36"/>
      <c r="D9" s="36"/>
      <c r="E9" s="36"/>
      <c r="F9" s="36"/>
    </row>
    <row r="10" spans="2:16" x14ac:dyDescent="0.3">
      <c r="B10" s="36"/>
      <c r="C10" s="36"/>
      <c r="D10" s="36"/>
      <c r="E10" s="36"/>
      <c r="F10" s="36"/>
      <c r="J10" t="s">
        <v>56</v>
      </c>
    </row>
    <row r="11" spans="2:16" x14ac:dyDescent="0.3">
      <c r="B11" s="36"/>
      <c r="C11" s="36"/>
      <c r="D11" s="36"/>
      <c r="E11" s="36"/>
      <c r="F11" s="36"/>
      <c r="K11" t="s">
        <v>57</v>
      </c>
      <c r="L11">
        <f>L6*(M6*O6-N6)+L7*(M7*O7-N7)</f>
        <v>42000</v>
      </c>
    </row>
    <row r="12" spans="2:16" x14ac:dyDescent="0.3">
      <c r="B12" s="36"/>
      <c r="C12" s="36"/>
      <c r="D12" s="36"/>
      <c r="E12" s="36"/>
      <c r="F12" s="36"/>
    </row>
    <row r="13" spans="2:16" x14ac:dyDescent="0.3">
      <c r="B13" s="36"/>
      <c r="C13" s="36"/>
      <c r="D13" s="36"/>
      <c r="E13" s="36"/>
      <c r="F13" s="36"/>
      <c r="K13" t="s">
        <v>165</v>
      </c>
    </row>
    <row r="14" spans="2:16" x14ac:dyDescent="0.3">
      <c r="B14" s="36"/>
      <c r="C14" s="36"/>
      <c r="D14" s="36"/>
      <c r="E14" s="36"/>
      <c r="F14" s="36"/>
      <c r="L14" t="s">
        <v>247</v>
      </c>
      <c r="M14">
        <f>M6</f>
        <v>8</v>
      </c>
      <c r="N14" t="s">
        <v>45</v>
      </c>
      <c r="O14">
        <v>8</v>
      </c>
    </row>
    <row r="15" spans="2:16" x14ac:dyDescent="0.3">
      <c r="B15" s="36"/>
      <c r="C15" s="36"/>
      <c r="D15" s="36"/>
      <c r="E15" s="36"/>
      <c r="F15" s="36"/>
      <c r="L15" t="s">
        <v>248</v>
      </c>
      <c r="M15">
        <f>M7</f>
        <v>0</v>
      </c>
      <c r="N15" t="s">
        <v>45</v>
      </c>
      <c r="O15">
        <v>12</v>
      </c>
    </row>
    <row r="16" spans="2:16" x14ac:dyDescent="0.3">
      <c r="B16" s="36"/>
      <c r="C16" s="36"/>
      <c r="D16" s="36"/>
      <c r="E16" s="36"/>
      <c r="F16" s="36"/>
      <c r="L16" t="s">
        <v>249</v>
      </c>
      <c r="M16">
        <f>SUMPRODUCT(M6:M7,P6:P7,L6:L7)</f>
        <v>16</v>
      </c>
      <c r="N16" t="s">
        <v>45</v>
      </c>
      <c r="O16">
        <v>20</v>
      </c>
    </row>
    <row r="17" spans="2:6" x14ac:dyDescent="0.3">
      <c r="B17" s="36"/>
      <c r="C17" s="36"/>
      <c r="D17" s="36"/>
      <c r="E17" s="36"/>
      <c r="F17" s="36"/>
    </row>
    <row r="18" spans="2:6" x14ac:dyDescent="0.3">
      <c r="B18" s="36"/>
      <c r="C18" s="36"/>
      <c r="D18" s="36"/>
      <c r="E18" s="36"/>
      <c r="F18" s="36"/>
    </row>
    <row r="19" spans="2:6" x14ac:dyDescent="0.3">
      <c r="B19" s="36"/>
      <c r="C19" s="36"/>
      <c r="D19" s="36"/>
      <c r="E19" s="36"/>
      <c r="F19" s="36"/>
    </row>
    <row r="20" spans="2:6" x14ac:dyDescent="0.3">
      <c r="B20" s="36"/>
      <c r="C20" s="36"/>
      <c r="D20" s="36"/>
      <c r="E20" s="36"/>
      <c r="F20" s="36"/>
    </row>
    <row r="21" spans="2:6" x14ac:dyDescent="0.3">
      <c r="B21" s="36"/>
      <c r="C21" s="36"/>
      <c r="D21" s="36"/>
      <c r="E21" s="36"/>
      <c r="F21" s="36"/>
    </row>
    <row r="22" spans="2:6" x14ac:dyDescent="0.3">
      <c r="B22" s="36"/>
      <c r="C22" s="36"/>
      <c r="D22" s="36"/>
      <c r="E22" s="36"/>
      <c r="F22" s="36"/>
    </row>
    <row r="23" spans="2:6" x14ac:dyDescent="0.3">
      <c r="B23" s="36"/>
      <c r="C23" s="36"/>
      <c r="D23" s="36"/>
      <c r="E23" s="36"/>
      <c r="F23" s="36"/>
    </row>
  </sheetData>
  <mergeCells count="2">
    <mergeCell ref="B3:F23"/>
    <mergeCell ref="B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D145-0862-433F-A3F5-C8C57996D9DC}">
  <dimension ref="B2:V26"/>
  <sheetViews>
    <sheetView topLeftCell="A6" workbookViewId="0">
      <selection activeCell="M17" sqref="M17"/>
    </sheetView>
  </sheetViews>
  <sheetFormatPr defaultRowHeight="14.4" x14ac:dyDescent="0.3"/>
  <sheetData>
    <row r="2" spans="2:22" x14ac:dyDescent="0.3">
      <c r="L2">
        <v>6000</v>
      </c>
      <c r="M2">
        <v>4000</v>
      </c>
      <c r="N2">
        <v>2000</v>
      </c>
      <c r="O2">
        <v>1500</v>
      </c>
    </row>
    <row r="3" spans="2:22" x14ac:dyDescent="0.3">
      <c r="B3" s="34" t="s">
        <v>253</v>
      </c>
      <c r="C3" s="34"/>
      <c r="D3" s="34"/>
      <c r="E3" s="34"/>
      <c r="F3" s="34"/>
      <c r="G3" s="34"/>
      <c r="H3" s="34"/>
      <c r="L3" t="s">
        <v>254</v>
      </c>
      <c r="M3" t="s">
        <v>255</v>
      </c>
      <c r="N3" t="s">
        <v>256</v>
      </c>
      <c r="O3" t="s">
        <v>257</v>
      </c>
      <c r="S3" t="s">
        <v>254</v>
      </c>
      <c r="T3" t="s">
        <v>255</v>
      </c>
      <c r="U3" t="s">
        <v>256</v>
      </c>
      <c r="V3" t="s">
        <v>257</v>
      </c>
    </row>
    <row r="4" spans="2:22" x14ac:dyDescent="0.3">
      <c r="B4" s="34"/>
      <c r="C4" s="34"/>
      <c r="D4" s="34"/>
      <c r="E4" s="34"/>
      <c r="F4" s="34"/>
      <c r="G4" s="34"/>
      <c r="H4" s="34"/>
      <c r="J4">
        <v>5000</v>
      </c>
      <c r="K4" t="s">
        <v>258</v>
      </c>
      <c r="L4">
        <v>3</v>
      </c>
      <c r="M4">
        <v>2</v>
      </c>
      <c r="N4">
        <v>7</v>
      </c>
      <c r="O4">
        <v>6</v>
      </c>
      <c r="R4" t="s">
        <v>258</v>
      </c>
      <c r="S4">
        <v>1000</v>
      </c>
      <c r="T4">
        <v>4000</v>
      </c>
    </row>
    <row r="5" spans="2:22" x14ac:dyDescent="0.3">
      <c r="B5" s="34"/>
      <c r="C5" s="34"/>
      <c r="D5" s="34"/>
      <c r="E5" s="34"/>
      <c r="F5" s="34"/>
      <c r="G5" s="34"/>
      <c r="H5" s="34"/>
      <c r="J5">
        <v>6000</v>
      </c>
      <c r="K5" t="s">
        <v>259</v>
      </c>
      <c r="L5">
        <v>7</v>
      </c>
      <c r="M5">
        <v>5</v>
      </c>
      <c r="N5">
        <v>2</v>
      </c>
      <c r="O5">
        <v>3</v>
      </c>
      <c r="R5" t="s">
        <v>259</v>
      </c>
      <c r="S5">
        <v>2500</v>
      </c>
      <c r="U5">
        <v>2000</v>
      </c>
      <c r="V5">
        <v>1500</v>
      </c>
    </row>
    <row r="6" spans="2:22" x14ac:dyDescent="0.3">
      <c r="B6" s="34"/>
      <c r="C6" s="34"/>
      <c r="D6" s="34"/>
      <c r="E6" s="34"/>
      <c r="F6" s="34"/>
      <c r="G6" s="34"/>
      <c r="H6" s="34"/>
      <c r="J6">
        <v>2500</v>
      </c>
      <c r="K6" t="s">
        <v>260</v>
      </c>
      <c r="L6">
        <v>2</v>
      </c>
      <c r="M6">
        <v>5</v>
      </c>
      <c r="N6">
        <v>4</v>
      </c>
      <c r="O6">
        <v>5</v>
      </c>
      <c r="R6" t="s">
        <v>260</v>
      </c>
      <c r="S6">
        <v>2500</v>
      </c>
    </row>
    <row r="7" spans="2:22" x14ac:dyDescent="0.3">
      <c r="B7" s="34"/>
      <c r="C7" s="34"/>
      <c r="D7" s="34"/>
      <c r="E7" s="34"/>
      <c r="F7" s="34"/>
      <c r="G7" s="34"/>
      <c r="H7" s="34"/>
    </row>
    <row r="8" spans="2:22" x14ac:dyDescent="0.3">
      <c r="B8" s="34"/>
      <c r="C8" s="34"/>
      <c r="D8" s="34"/>
      <c r="E8" s="34"/>
      <c r="F8" s="34"/>
      <c r="G8" s="34"/>
      <c r="H8" s="34"/>
      <c r="S8" t="s">
        <v>265</v>
      </c>
      <c r="V8">
        <f>SUMPRODUCT(S4:V6,L4:O6)</f>
        <v>42000</v>
      </c>
    </row>
    <row r="9" spans="2:22" x14ac:dyDescent="0.3">
      <c r="B9" s="34"/>
      <c r="C9" s="34"/>
      <c r="D9" s="34"/>
      <c r="E9" s="34"/>
      <c r="F9" s="34"/>
      <c r="G9" s="34"/>
      <c r="H9" s="34"/>
      <c r="L9" t="s">
        <v>254</v>
      </c>
      <c r="M9" t="s">
        <v>255</v>
      </c>
      <c r="N9" t="s">
        <v>256</v>
      </c>
      <c r="O9" t="s">
        <v>257</v>
      </c>
    </row>
    <row r="10" spans="2:22" x14ac:dyDescent="0.3">
      <c r="B10" s="34"/>
      <c r="C10" s="34"/>
      <c r="D10" s="34"/>
      <c r="E10" s="34"/>
      <c r="F10" s="34"/>
      <c r="G10" s="34"/>
      <c r="H10" s="34"/>
      <c r="K10" t="s">
        <v>258</v>
      </c>
      <c r="L10">
        <v>3500</v>
      </c>
      <c r="M10">
        <v>1500</v>
      </c>
      <c r="N10">
        <v>0</v>
      </c>
      <c r="O10">
        <v>0</v>
      </c>
    </row>
    <row r="11" spans="2:22" x14ac:dyDescent="0.3">
      <c r="B11" s="34"/>
      <c r="C11" s="34"/>
      <c r="D11" s="34"/>
      <c r="E11" s="34"/>
      <c r="F11" s="34"/>
      <c r="G11" s="34"/>
      <c r="H11" s="34"/>
      <c r="K11" t="s">
        <v>259</v>
      </c>
      <c r="L11">
        <v>0</v>
      </c>
      <c r="M11">
        <v>2500</v>
      </c>
      <c r="N11">
        <v>2000</v>
      </c>
      <c r="O11">
        <v>1500</v>
      </c>
    </row>
    <row r="12" spans="2:22" x14ac:dyDescent="0.3">
      <c r="B12" s="34"/>
      <c r="C12" s="34"/>
      <c r="D12" s="34"/>
      <c r="E12" s="34"/>
      <c r="F12" s="34"/>
      <c r="G12" s="34"/>
      <c r="H12" s="34"/>
      <c r="K12" t="s">
        <v>260</v>
      </c>
      <c r="L12">
        <v>2500</v>
      </c>
      <c r="M12">
        <v>0</v>
      </c>
      <c r="N12">
        <v>0</v>
      </c>
      <c r="O12">
        <v>0</v>
      </c>
    </row>
    <row r="13" spans="2:22" x14ac:dyDescent="0.3">
      <c r="B13" s="34"/>
      <c r="C13" s="34"/>
      <c r="D13" s="34"/>
      <c r="E13" s="34"/>
      <c r="F13" s="34"/>
      <c r="G13" s="34"/>
      <c r="H13" s="34"/>
    </row>
    <row r="14" spans="2:22" x14ac:dyDescent="0.3">
      <c r="B14" s="34"/>
      <c r="C14" s="34"/>
      <c r="D14" s="34"/>
      <c r="E14" s="34"/>
      <c r="F14" s="34"/>
      <c r="G14" s="34"/>
      <c r="H14" s="34"/>
      <c r="K14" t="s">
        <v>261</v>
      </c>
    </row>
    <row r="15" spans="2:22" x14ac:dyDescent="0.3">
      <c r="B15" s="34"/>
      <c r="C15" s="34"/>
      <c r="D15" s="34"/>
      <c r="E15" s="34"/>
      <c r="F15" s="34"/>
      <c r="G15" s="34"/>
      <c r="H15" s="34"/>
      <c r="L15" t="s">
        <v>258</v>
      </c>
      <c r="M15">
        <f>SUM(L10:O10)</f>
        <v>5000</v>
      </c>
      <c r="N15" t="s">
        <v>45</v>
      </c>
      <c r="O15">
        <v>5000</v>
      </c>
    </row>
    <row r="16" spans="2:22" x14ac:dyDescent="0.3">
      <c r="B16" s="34"/>
      <c r="C16" s="34"/>
      <c r="D16" s="34"/>
      <c r="E16" s="34"/>
      <c r="F16" s="34"/>
      <c r="G16" s="34"/>
      <c r="H16" s="34"/>
      <c r="L16" t="s">
        <v>259</v>
      </c>
      <c r="M16">
        <f>SUM(L11:P11)</f>
        <v>6000</v>
      </c>
      <c r="N16" t="s">
        <v>45</v>
      </c>
      <c r="O16">
        <v>6000</v>
      </c>
    </row>
    <row r="17" spans="2:16" x14ac:dyDescent="0.3">
      <c r="B17" s="34"/>
      <c r="C17" s="34"/>
      <c r="D17" s="34"/>
      <c r="E17" s="34"/>
      <c r="F17" s="34"/>
      <c r="G17" s="34"/>
      <c r="H17" s="34"/>
      <c r="L17" t="s">
        <v>260</v>
      </c>
      <c r="M17">
        <f>SUM(L12:O12)</f>
        <v>2500</v>
      </c>
      <c r="N17" t="s">
        <v>45</v>
      </c>
      <c r="O17">
        <v>2500</v>
      </c>
    </row>
    <row r="18" spans="2:16" x14ac:dyDescent="0.3">
      <c r="B18" s="34"/>
      <c r="C18" s="34"/>
      <c r="D18" s="34"/>
      <c r="E18" s="34"/>
      <c r="F18" s="34"/>
      <c r="G18" s="34"/>
      <c r="H18" s="34"/>
    </row>
    <row r="19" spans="2:16" x14ac:dyDescent="0.3">
      <c r="B19" s="34"/>
      <c r="C19" s="34"/>
      <c r="D19" s="34"/>
      <c r="E19" s="34"/>
      <c r="F19" s="34"/>
      <c r="G19" s="34"/>
      <c r="H19" s="34"/>
      <c r="K19" t="s">
        <v>262</v>
      </c>
    </row>
    <row r="20" spans="2:16" x14ac:dyDescent="0.3">
      <c r="B20" s="34"/>
      <c r="C20" s="34"/>
      <c r="D20" s="34"/>
      <c r="E20" s="34"/>
      <c r="F20" s="34"/>
      <c r="G20" s="34"/>
      <c r="H20" s="34"/>
      <c r="L20" t="s">
        <v>254</v>
      </c>
      <c r="M20">
        <f>SUM(L10:L12)</f>
        <v>6000</v>
      </c>
      <c r="N20" t="s">
        <v>12</v>
      </c>
      <c r="O20">
        <v>6000</v>
      </c>
    </row>
    <row r="21" spans="2:16" x14ac:dyDescent="0.3">
      <c r="B21" s="34"/>
      <c r="C21" s="34"/>
      <c r="D21" s="34"/>
      <c r="E21" s="34"/>
      <c r="F21" s="34"/>
      <c r="G21" s="34"/>
      <c r="H21" s="34"/>
      <c r="L21" t="s">
        <v>255</v>
      </c>
      <c r="M21">
        <f>SUM(M10:M12)</f>
        <v>4000</v>
      </c>
      <c r="N21" t="s">
        <v>12</v>
      </c>
      <c r="O21">
        <v>4000</v>
      </c>
    </row>
    <row r="22" spans="2:16" x14ac:dyDescent="0.3">
      <c r="B22" s="34"/>
      <c r="C22" s="34"/>
      <c r="D22" s="34"/>
      <c r="E22" s="34"/>
      <c r="F22" s="34"/>
      <c r="G22" s="34"/>
      <c r="H22" s="34"/>
      <c r="L22" t="s">
        <v>256</v>
      </c>
      <c r="M22">
        <f>SUM(N10:N12)</f>
        <v>2000</v>
      </c>
      <c r="N22" t="s">
        <v>12</v>
      </c>
      <c r="O22">
        <v>2000</v>
      </c>
    </row>
    <row r="23" spans="2:16" x14ac:dyDescent="0.3">
      <c r="B23" s="34"/>
      <c r="C23" s="34"/>
      <c r="D23" s="34"/>
      <c r="E23" s="34"/>
      <c r="F23" s="34"/>
      <c r="G23" s="34"/>
      <c r="H23" s="34"/>
      <c r="L23" t="s">
        <v>257</v>
      </c>
      <c r="M23">
        <f>SUM(O10:O12)</f>
        <v>1500</v>
      </c>
      <c r="N23" t="s">
        <v>12</v>
      </c>
      <c r="O23">
        <v>1500</v>
      </c>
    </row>
    <row r="24" spans="2:16" x14ac:dyDescent="0.3">
      <c r="B24" s="34"/>
      <c r="C24" s="34"/>
      <c r="D24" s="34"/>
      <c r="E24" s="34"/>
      <c r="F24" s="34"/>
      <c r="G24" s="34"/>
      <c r="H24" s="34"/>
    </row>
    <row r="25" spans="2:16" x14ac:dyDescent="0.3">
      <c r="B25" s="34"/>
      <c r="C25" s="34"/>
      <c r="D25" s="34"/>
      <c r="E25" s="34"/>
      <c r="F25" s="34"/>
      <c r="G25" s="34"/>
      <c r="H25" s="34"/>
      <c r="K25" t="s">
        <v>263</v>
      </c>
    </row>
    <row r="26" spans="2:16" x14ac:dyDescent="0.3">
      <c r="L26" t="s">
        <v>264</v>
      </c>
      <c r="M26" t="s">
        <v>265</v>
      </c>
      <c r="P26">
        <f>SUMPRODUCT(L4:O6,L10:O12)</f>
        <v>39500</v>
      </c>
    </row>
  </sheetData>
  <mergeCells count="1">
    <mergeCell ref="B3:H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2701-BFB9-4742-B842-52902E7BD8F7}">
  <dimension ref="B2:R27"/>
  <sheetViews>
    <sheetView workbookViewId="0">
      <selection activeCell="K11" sqref="K11"/>
    </sheetView>
  </sheetViews>
  <sheetFormatPr defaultRowHeight="14.4" x14ac:dyDescent="0.3"/>
  <cols>
    <col min="9" max="10" width="8.8984375" style="17"/>
    <col min="11" max="11" width="25.19921875" style="17" customWidth="1"/>
    <col min="12" max="16" width="8.8984375" style="17"/>
  </cols>
  <sheetData>
    <row r="2" spans="2:18" x14ac:dyDescent="0.3">
      <c r="B2" s="34" t="s">
        <v>297</v>
      </c>
      <c r="C2" s="34"/>
      <c r="D2" s="34"/>
      <c r="E2" s="34"/>
      <c r="F2" s="34"/>
    </row>
    <row r="3" spans="2:18" x14ac:dyDescent="0.3">
      <c r="B3" s="34"/>
      <c r="C3" s="34"/>
      <c r="D3" s="34"/>
      <c r="E3" s="34"/>
      <c r="F3" s="34"/>
      <c r="P3" s="17">
        <v>25</v>
      </c>
      <c r="Q3" s="17">
        <v>25</v>
      </c>
    </row>
    <row r="4" spans="2:18" x14ac:dyDescent="0.3">
      <c r="B4" s="34"/>
      <c r="C4" s="34"/>
      <c r="D4" s="34"/>
      <c r="E4" s="34"/>
      <c r="F4" s="34"/>
      <c r="P4" s="17" t="s">
        <v>300</v>
      </c>
      <c r="Q4" s="17" t="s">
        <v>302</v>
      </c>
    </row>
    <row r="5" spans="2:18" x14ac:dyDescent="0.3">
      <c r="B5" s="34"/>
      <c r="C5" s="34"/>
      <c r="D5" s="34"/>
      <c r="E5" s="34"/>
      <c r="F5" s="34"/>
      <c r="M5" s="17" t="s">
        <v>301</v>
      </c>
      <c r="O5" s="17" t="s">
        <v>301</v>
      </c>
      <c r="P5" s="17">
        <v>3</v>
      </c>
      <c r="Q5" s="17">
        <v>5</v>
      </c>
      <c r="R5" s="17"/>
    </row>
    <row r="6" spans="2:18" x14ac:dyDescent="0.3">
      <c r="B6" s="34"/>
      <c r="C6" s="34"/>
      <c r="D6" s="34"/>
      <c r="E6" s="34"/>
      <c r="F6" s="34"/>
      <c r="K6" s="17">
        <v>30</v>
      </c>
      <c r="L6" s="17" t="s">
        <v>298</v>
      </c>
      <c r="M6" s="17">
        <v>4</v>
      </c>
      <c r="O6" s="17" t="s">
        <v>298</v>
      </c>
      <c r="P6" s="17">
        <v>10</v>
      </c>
      <c r="Q6" s="17">
        <v>12</v>
      </c>
      <c r="R6" s="17"/>
    </row>
    <row r="7" spans="2:18" x14ac:dyDescent="0.3">
      <c r="B7" s="34"/>
      <c r="C7" s="34"/>
      <c r="D7" s="34"/>
      <c r="E7" s="34"/>
      <c r="F7" s="34"/>
      <c r="K7" s="17">
        <v>20</v>
      </c>
      <c r="L7" s="17" t="s">
        <v>299</v>
      </c>
      <c r="M7" s="17">
        <v>6</v>
      </c>
      <c r="O7" s="17" t="s">
        <v>299</v>
      </c>
      <c r="P7" s="17">
        <v>11</v>
      </c>
      <c r="Q7" s="17">
        <v>9</v>
      </c>
    </row>
    <row r="8" spans="2:18" x14ac:dyDescent="0.3">
      <c r="B8" s="34"/>
      <c r="C8" s="34"/>
      <c r="D8" s="34"/>
      <c r="E8" s="34"/>
      <c r="F8" s="34"/>
      <c r="Q8" s="17"/>
    </row>
    <row r="9" spans="2:18" x14ac:dyDescent="0.3">
      <c r="B9" s="34"/>
      <c r="C9" s="34"/>
      <c r="D9" s="34"/>
      <c r="E9" s="34"/>
      <c r="F9" s="34"/>
      <c r="Q9" s="17"/>
    </row>
    <row r="10" spans="2:18" x14ac:dyDescent="0.3">
      <c r="B10" s="34"/>
      <c r="C10" s="34"/>
      <c r="D10" s="34"/>
      <c r="E10" s="34"/>
      <c r="F10" s="34"/>
      <c r="Q10" s="17"/>
    </row>
    <row r="11" spans="2:18" x14ac:dyDescent="0.3">
      <c r="B11" s="34"/>
      <c r="C11" s="34"/>
      <c r="D11" s="34"/>
      <c r="E11" s="34"/>
      <c r="F11" s="34"/>
      <c r="L11" s="21"/>
      <c r="M11" s="21" t="s">
        <v>301</v>
      </c>
      <c r="N11" s="21" t="s">
        <v>303</v>
      </c>
      <c r="O11" s="21" t="s">
        <v>304</v>
      </c>
      <c r="P11" s="21" t="s">
        <v>305</v>
      </c>
      <c r="Q11" s="21" t="s">
        <v>306</v>
      </c>
    </row>
    <row r="12" spans="2:18" x14ac:dyDescent="0.3">
      <c r="B12" s="34"/>
      <c r="C12" s="34"/>
      <c r="D12" s="34"/>
      <c r="E12" s="34"/>
      <c r="F12" s="34"/>
      <c r="L12" s="21" t="s">
        <v>298</v>
      </c>
      <c r="M12" s="21">
        <v>30</v>
      </c>
      <c r="N12" s="32">
        <v>25</v>
      </c>
      <c r="O12" s="32">
        <v>5</v>
      </c>
      <c r="P12" s="21">
        <v>0</v>
      </c>
      <c r="Q12" s="21">
        <v>0</v>
      </c>
    </row>
    <row r="13" spans="2:18" x14ac:dyDescent="0.3">
      <c r="B13" s="34"/>
      <c r="C13" s="34"/>
      <c r="D13" s="34"/>
      <c r="E13" s="34"/>
      <c r="F13" s="34"/>
      <c r="L13" s="21" t="s">
        <v>299</v>
      </c>
      <c r="M13" s="21">
        <v>0</v>
      </c>
      <c r="N13" s="22"/>
      <c r="O13" s="22"/>
      <c r="P13" s="21">
        <v>0</v>
      </c>
      <c r="Q13" s="21">
        <v>20</v>
      </c>
    </row>
    <row r="14" spans="2:18" x14ac:dyDescent="0.3">
      <c r="B14" s="34"/>
      <c r="C14" s="34"/>
      <c r="D14" s="34"/>
      <c r="E14" s="34"/>
      <c r="F14" s="34"/>
      <c r="Q14" s="17"/>
    </row>
    <row r="15" spans="2:18" x14ac:dyDescent="0.3">
      <c r="B15" s="34"/>
      <c r="C15" s="34"/>
      <c r="D15" s="34"/>
      <c r="E15" s="34"/>
      <c r="F15" s="34"/>
      <c r="Q15" s="17"/>
    </row>
    <row r="16" spans="2:18" x14ac:dyDescent="0.3">
      <c r="B16" s="34"/>
      <c r="C16" s="34"/>
      <c r="D16" s="34"/>
      <c r="E16" s="34"/>
      <c r="F16" s="34"/>
      <c r="L16" s="17" t="s">
        <v>307</v>
      </c>
      <c r="M16" s="17">
        <f>M12*M6+M13*M7+N12*P5+O12*Q5+P12*P6+Q12*Q6+P13*P7+Q13*Q7</f>
        <v>400</v>
      </c>
      <c r="Q16" s="17"/>
    </row>
    <row r="17" spans="2:17" x14ac:dyDescent="0.3">
      <c r="B17" s="34"/>
      <c r="C17" s="34"/>
      <c r="D17" s="34"/>
      <c r="E17" s="34"/>
      <c r="F17" s="34"/>
      <c r="L17" s="17" t="s">
        <v>308</v>
      </c>
      <c r="Q17" s="17"/>
    </row>
    <row r="18" spans="2:17" x14ac:dyDescent="0.3">
      <c r="B18" s="34"/>
      <c r="C18" s="34"/>
      <c r="D18" s="34"/>
      <c r="E18" s="34"/>
      <c r="F18" s="34"/>
      <c r="Q18" s="17"/>
    </row>
    <row r="19" spans="2:17" x14ac:dyDescent="0.3">
      <c r="B19" s="34"/>
      <c r="C19" s="34"/>
      <c r="D19" s="34"/>
      <c r="E19" s="34"/>
      <c r="F19" s="34"/>
      <c r="M19" s="17" t="s">
        <v>310</v>
      </c>
      <c r="N19" s="17">
        <f>M12+P12+Q12</f>
        <v>30</v>
      </c>
      <c r="O19" s="17" t="s">
        <v>291</v>
      </c>
      <c r="P19" s="17">
        <v>30</v>
      </c>
      <c r="Q19" s="17"/>
    </row>
    <row r="20" spans="2:17" x14ac:dyDescent="0.3">
      <c r="B20" s="34"/>
      <c r="C20" s="34"/>
      <c r="D20" s="34"/>
      <c r="E20" s="34"/>
      <c r="F20" s="34"/>
      <c r="M20" s="17" t="s">
        <v>309</v>
      </c>
      <c r="N20" s="17">
        <f>M13+P13+Q13</f>
        <v>20</v>
      </c>
      <c r="O20" s="17" t="s">
        <v>291</v>
      </c>
      <c r="P20" s="17">
        <v>20</v>
      </c>
      <c r="Q20" s="17"/>
    </row>
    <row r="21" spans="2:17" x14ac:dyDescent="0.3">
      <c r="B21" s="34"/>
      <c r="C21" s="34"/>
      <c r="D21" s="34"/>
      <c r="E21" s="34"/>
      <c r="F21" s="34"/>
      <c r="M21" s="17" t="s">
        <v>311</v>
      </c>
      <c r="N21" s="17">
        <f>SUM(M12:M13)</f>
        <v>30</v>
      </c>
      <c r="O21" s="17" t="s">
        <v>291</v>
      </c>
      <c r="P21" s="17">
        <f>SUM(N12:O12)</f>
        <v>30</v>
      </c>
      <c r="Q21" s="17"/>
    </row>
    <row r="22" spans="2:17" x14ac:dyDescent="0.3">
      <c r="B22" s="34"/>
      <c r="C22" s="34"/>
      <c r="D22" s="34"/>
      <c r="E22" s="34"/>
      <c r="F22" s="34"/>
      <c r="M22" s="17" t="s">
        <v>300</v>
      </c>
      <c r="N22" s="17">
        <f>N12+P12+P13</f>
        <v>25</v>
      </c>
      <c r="O22" s="17" t="s">
        <v>291</v>
      </c>
      <c r="P22" s="17">
        <v>25</v>
      </c>
      <c r="Q22" s="17"/>
    </row>
    <row r="23" spans="2:17" x14ac:dyDescent="0.3">
      <c r="B23" s="34"/>
      <c r="C23" s="34"/>
      <c r="D23" s="34"/>
      <c r="E23" s="34"/>
      <c r="F23" s="34"/>
      <c r="M23" s="17" t="s">
        <v>302</v>
      </c>
      <c r="N23" s="17">
        <f>O12+Q12+Q13</f>
        <v>25</v>
      </c>
      <c r="O23" s="17" t="s">
        <v>291</v>
      </c>
      <c r="P23" s="17">
        <v>25</v>
      </c>
      <c r="Q23" s="17"/>
    </row>
    <row r="24" spans="2:17" x14ac:dyDescent="0.3">
      <c r="B24" s="34"/>
      <c r="C24" s="34"/>
      <c r="D24" s="34"/>
      <c r="E24" s="34"/>
      <c r="F24" s="34"/>
      <c r="Q24" s="17"/>
    </row>
    <row r="25" spans="2:17" x14ac:dyDescent="0.3">
      <c r="B25" s="34"/>
      <c r="C25" s="34"/>
      <c r="D25" s="34"/>
      <c r="E25" s="34"/>
      <c r="F25" s="34"/>
    </row>
    <row r="26" spans="2:17" x14ac:dyDescent="0.3">
      <c r="B26" s="34"/>
      <c r="C26" s="34"/>
      <c r="D26" s="34"/>
      <c r="E26" s="34"/>
      <c r="F26" s="34"/>
    </row>
    <row r="27" spans="2:17" x14ac:dyDescent="0.3">
      <c r="B27" s="34"/>
      <c r="C27" s="34"/>
      <c r="D27" s="34"/>
      <c r="E27" s="34"/>
      <c r="F27" s="34"/>
    </row>
  </sheetData>
  <mergeCells count="1">
    <mergeCell ref="B2:F2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115B-DD47-4BD2-B181-8864B989AB21}">
  <dimension ref="C2:T25"/>
  <sheetViews>
    <sheetView topLeftCell="B5" zoomScale="108" workbookViewId="0">
      <selection activeCell="J25" sqref="J25"/>
    </sheetView>
  </sheetViews>
  <sheetFormatPr defaultRowHeight="14.4" x14ac:dyDescent="0.3"/>
  <cols>
    <col min="17" max="17" width="11.8984375" customWidth="1"/>
  </cols>
  <sheetData>
    <row r="2" spans="3:20" x14ac:dyDescent="0.3">
      <c r="E2" s="53"/>
      <c r="F2" s="53"/>
      <c r="G2" s="53"/>
    </row>
    <row r="3" spans="3:20" x14ac:dyDescent="0.3">
      <c r="C3" s="54" t="s">
        <v>295</v>
      </c>
      <c r="D3" s="54"/>
      <c r="E3" s="54"/>
      <c r="F3" s="54"/>
      <c r="G3" s="54"/>
      <c r="H3" s="54"/>
    </row>
    <row r="4" spans="3:20" x14ac:dyDescent="0.3">
      <c r="C4" s="54"/>
      <c r="D4" s="54"/>
      <c r="E4" s="54"/>
      <c r="F4" s="54"/>
      <c r="G4" s="54"/>
      <c r="H4" s="54"/>
      <c r="L4" s="53" t="s">
        <v>287</v>
      </c>
      <c r="M4" s="53"/>
      <c r="N4" s="53"/>
      <c r="P4" t="s">
        <v>289</v>
      </c>
      <c r="Q4">
        <f>SUMPRODUCT(Q23:S25,L12:N14)</f>
        <v>5060</v>
      </c>
      <c r="S4">
        <v>14778</v>
      </c>
    </row>
    <row r="5" spans="3:20" x14ac:dyDescent="0.3">
      <c r="C5" s="54"/>
      <c r="D5" s="54"/>
      <c r="E5" s="54"/>
      <c r="F5" s="54"/>
      <c r="G5" s="54"/>
      <c r="H5" s="54"/>
      <c r="L5" t="s">
        <v>269</v>
      </c>
      <c r="M5" t="s">
        <v>270</v>
      </c>
      <c r="N5" t="s">
        <v>278</v>
      </c>
      <c r="Q5" t="s">
        <v>292</v>
      </c>
    </row>
    <row r="6" spans="3:20" x14ac:dyDescent="0.3">
      <c r="C6" s="54"/>
      <c r="D6" s="54"/>
      <c r="E6" s="54"/>
      <c r="F6" s="54"/>
      <c r="G6" s="54"/>
      <c r="H6" s="54"/>
      <c r="K6" t="s">
        <v>279</v>
      </c>
      <c r="L6">
        <v>10</v>
      </c>
      <c r="M6">
        <v>20</v>
      </c>
      <c r="N6">
        <v>20</v>
      </c>
    </row>
    <row r="7" spans="3:20" x14ac:dyDescent="0.3">
      <c r="C7" s="54"/>
      <c r="D7" s="54"/>
      <c r="E7" s="54"/>
      <c r="F7" s="54"/>
      <c r="G7" s="54"/>
      <c r="H7" s="54"/>
      <c r="K7" t="s">
        <v>280</v>
      </c>
      <c r="L7">
        <v>20</v>
      </c>
      <c r="M7">
        <v>15</v>
      </c>
      <c r="N7">
        <v>15</v>
      </c>
      <c r="Q7" t="s">
        <v>290</v>
      </c>
    </row>
    <row r="8" spans="3:20" x14ac:dyDescent="0.3">
      <c r="C8" s="54"/>
      <c r="D8" s="54"/>
      <c r="E8" s="54"/>
      <c r="F8" s="54"/>
      <c r="G8" s="54"/>
      <c r="H8" s="54"/>
      <c r="K8" t="s">
        <v>281</v>
      </c>
      <c r="L8">
        <v>5</v>
      </c>
      <c r="M8">
        <v>5</v>
      </c>
      <c r="N8">
        <v>40</v>
      </c>
    </row>
    <row r="9" spans="3:20" x14ac:dyDescent="0.3">
      <c r="C9" s="54"/>
      <c r="D9" s="54"/>
      <c r="E9" s="54"/>
      <c r="F9" s="54"/>
      <c r="G9" s="54"/>
      <c r="H9" s="54"/>
      <c r="Q9" t="s">
        <v>283</v>
      </c>
      <c r="R9">
        <f>SUM(L23:N23)</f>
        <v>50</v>
      </c>
      <c r="S9" t="s">
        <v>291</v>
      </c>
      <c r="T9">
        <v>50</v>
      </c>
    </row>
    <row r="10" spans="3:20" x14ac:dyDescent="0.3">
      <c r="C10" s="54"/>
      <c r="D10" s="54"/>
      <c r="E10" s="54"/>
      <c r="F10" s="54"/>
      <c r="G10" s="54"/>
      <c r="H10" s="54"/>
      <c r="L10" s="53" t="s">
        <v>293</v>
      </c>
      <c r="M10" s="53"/>
      <c r="N10" s="53"/>
      <c r="Q10" t="s">
        <v>284</v>
      </c>
      <c r="R10">
        <f>SUM(L24:N24)</f>
        <v>50</v>
      </c>
      <c r="S10" t="s">
        <v>291</v>
      </c>
      <c r="T10">
        <v>50</v>
      </c>
    </row>
    <row r="11" spans="3:20" x14ac:dyDescent="0.3">
      <c r="C11" s="54"/>
      <c r="D11" s="54"/>
      <c r="E11" s="54"/>
      <c r="F11" s="54"/>
      <c r="G11" s="54"/>
      <c r="H11" s="54"/>
      <c r="L11" t="s">
        <v>269</v>
      </c>
      <c r="M11" t="s">
        <v>270</v>
      </c>
      <c r="N11" t="s">
        <v>282</v>
      </c>
      <c r="Q11" t="s">
        <v>285</v>
      </c>
      <c r="R11">
        <f>SUM(L25:N25)</f>
        <v>50</v>
      </c>
      <c r="S11" t="s">
        <v>291</v>
      </c>
      <c r="T11">
        <v>50</v>
      </c>
    </row>
    <row r="12" spans="3:20" x14ac:dyDescent="0.3">
      <c r="C12" s="54"/>
      <c r="D12" s="54"/>
      <c r="E12" s="54"/>
      <c r="F12" s="54"/>
      <c r="G12" s="54"/>
      <c r="H12" s="54"/>
      <c r="K12" t="s">
        <v>283</v>
      </c>
      <c r="L12">
        <v>1000</v>
      </c>
      <c r="M12">
        <v>1000</v>
      </c>
      <c r="N12">
        <v>1000</v>
      </c>
    </row>
    <row r="13" spans="3:20" x14ac:dyDescent="0.3">
      <c r="C13" s="54"/>
      <c r="D13" s="54"/>
      <c r="E13" s="54"/>
      <c r="F13" s="54"/>
      <c r="G13" s="54"/>
      <c r="H13" s="54"/>
      <c r="K13" t="s">
        <v>284</v>
      </c>
      <c r="L13">
        <v>500</v>
      </c>
      <c r="M13">
        <v>500</v>
      </c>
      <c r="N13">
        <v>500</v>
      </c>
      <c r="Q13" t="s">
        <v>269</v>
      </c>
      <c r="R13">
        <f>SUM(L23:L25)</f>
        <v>70</v>
      </c>
      <c r="S13" t="s">
        <v>291</v>
      </c>
      <c r="T13">
        <v>70</v>
      </c>
    </row>
    <row r="14" spans="3:20" x14ac:dyDescent="0.3">
      <c r="C14" s="54"/>
      <c r="D14" s="54"/>
      <c r="E14" s="54"/>
      <c r="F14" s="54"/>
      <c r="G14" s="54"/>
      <c r="H14" s="54"/>
      <c r="K14" t="s">
        <v>285</v>
      </c>
      <c r="L14">
        <v>1</v>
      </c>
      <c r="M14">
        <v>1</v>
      </c>
      <c r="N14">
        <v>1</v>
      </c>
      <c r="Q14" t="s">
        <v>270</v>
      </c>
      <c r="R14">
        <f>SUM(M23:M25)</f>
        <v>30</v>
      </c>
      <c r="S14" t="s">
        <v>291</v>
      </c>
      <c r="T14">
        <v>30</v>
      </c>
    </row>
    <row r="15" spans="3:20" x14ac:dyDescent="0.3">
      <c r="C15" s="54"/>
      <c r="D15" s="54"/>
      <c r="E15" s="54"/>
      <c r="F15" s="54"/>
      <c r="G15" s="54"/>
      <c r="H15" s="54"/>
      <c r="Q15" t="s">
        <v>282</v>
      </c>
      <c r="R15">
        <f>SUM(N23:N25)</f>
        <v>50</v>
      </c>
      <c r="S15" t="s">
        <v>291</v>
      </c>
      <c r="T15">
        <v>50</v>
      </c>
    </row>
    <row r="16" spans="3:20" x14ac:dyDescent="0.3">
      <c r="C16" s="54"/>
      <c r="D16" s="54"/>
      <c r="E16" s="54"/>
      <c r="F16" s="54"/>
      <c r="G16" s="54"/>
      <c r="H16" s="54"/>
      <c r="L16" s="53" t="s">
        <v>288</v>
      </c>
      <c r="M16" s="53"/>
      <c r="N16" s="53"/>
    </row>
    <row r="17" spans="3:19" x14ac:dyDescent="0.3">
      <c r="C17" s="54"/>
      <c r="D17" s="54"/>
      <c r="E17" s="54"/>
      <c r="F17" s="54"/>
      <c r="G17" s="54"/>
      <c r="H17" s="54"/>
      <c r="L17" t="s">
        <v>269</v>
      </c>
      <c r="M17" t="s">
        <v>270</v>
      </c>
      <c r="N17" t="s">
        <v>282</v>
      </c>
    </row>
    <row r="18" spans="3:19" x14ac:dyDescent="0.3">
      <c r="C18" s="54"/>
      <c r="D18" s="54"/>
      <c r="E18" s="54"/>
      <c r="F18" s="54"/>
      <c r="G18" s="54"/>
      <c r="H18" s="54"/>
      <c r="L18">
        <v>70</v>
      </c>
      <c r="M18">
        <v>30</v>
      </c>
      <c r="N18">
        <v>50</v>
      </c>
    </row>
    <row r="19" spans="3:19" x14ac:dyDescent="0.3">
      <c r="C19" s="54"/>
      <c r="D19" s="54"/>
      <c r="E19" s="54"/>
      <c r="F19" s="54"/>
      <c r="G19" s="54"/>
      <c r="H19" s="54"/>
    </row>
    <row r="20" spans="3:19" x14ac:dyDescent="0.3">
      <c r="C20" s="54"/>
      <c r="D20" s="54"/>
      <c r="E20" s="54"/>
      <c r="F20" s="54"/>
      <c r="G20" s="54"/>
      <c r="H20" s="54"/>
    </row>
    <row r="21" spans="3:19" x14ac:dyDescent="0.3">
      <c r="C21" s="54"/>
      <c r="D21" s="54"/>
      <c r="E21" s="54"/>
      <c r="F21" s="54"/>
      <c r="G21" s="54"/>
      <c r="H21" s="54"/>
      <c r="L21" s="53" t="s">
        <v>286</v>
      </c>
      <c r="M21" s="53"/>
      <c r="N21" s="53"/>
      <c r="Q21" s="53" t="s">
        <v>294</v>
      </c>
      <c r="R21" s="53"/>
      <c r="S21" s="53"/>
    </row>
    <row r="22" spans="3:19" x14ac:dyDescent="0.3">
      <c r="C22" s="54"/>
      <c r="D22" s="54"/>
      <c r="E22" s="54"/>
      <c r="F22" s="54"/>
      <c r="G22" s="54"/>
      <c r="H22" s="54"/>
      <c r="L22" t="s">
        <v>269</v>
      </c>
      <c r="M22" t="s">
        <v>270</v>
      </c>
      <c r="N22" t="s">
        <v>282</v>
      </c>
      <c r="Q22" t="s">
        <v>269</v>
      </c>
      <c r="R22" t="s">
        <v>270</v>
      </c>
      <c r="S22" t="s">
        <v>282</v>
      </c>
    </row>
    <row r="23" spans="3:19" x14ac:dyDescent="0.3">
      <c r="C23" s="54"/>
      <c r="D23" s="54"/>
      <c r="E23" s="54"/>
      <c r="F23" s="54"/>
      <c r="G23" s="54"/>
      <c r="H23" s="54"/>
      <c r="K23" t="s">
        <v>283</v>
      </c>
      <c r="L23">
        <v>10</v>
      </c>
      <c r="M23">
        <v>20</v>
      </c>
      <c r="N23">
        <v>20</v>
      </c>
      <c r="P23" t="s">
        <v>283</v>
      </c>
      <c r="Q23">
        <f>ABS(L23-L6)</f>
        <v>0</v>
      </c>
      <c r="R23">
        <f t="shared" ref="R23:S23" si="0">ABS(M23-M6)</f>
        <v>0</v>
      </c>
      <c r="S23">
        <f t="shared" si="0"/>
        <v>0</v>
      </c>
    </row>
    <row r="24" spans="3:19" x14ac:dyDescent="0.3">
      <c r="K24" t="s">
        <v>284</v>
      </c>
      <c r="L24">
        <v>25</v>
      </c>
      <c r="M24">
        <v>10</v>
      </c>
      <c r="N24">
        <v>15</v>
      </c>
      <c r="P24" t="s">
        <v>284</v>
      </c>
      <c r="Q24">
        <f t="shared" ref="Q24:Q25" si="1">ABS(L24-L7)</f>
        <v>5</v>
      </c>
      <c r="R24">
        <f t="shared" ref="R24:R25" si="2">ABS(M24-M7)</f>
        <v>5</v>
      </c>
      <c r="S24">
        <f t="shared" ref="S24:S25" si="3">ABS(N24-N7)</f>
        <v>0</v>
      </c>
    </row>
    <row r="25" spans="3:19" x14ac:dyDescent="0.3">
      <c r="K25" t="s">
        <v>285</v>
      </c>
      <c r="L25">
        <v>35</v>
      </c>
      <c r="M25">
        <v>0</v>
      </c>
      <c r="N25">
        <v>15</v>
      </c>
      <c r="P25" t="s">
        <v>285</v>
      </c>
      <c r="Q25">
        <f t="shared" si="1"/>
        <v>30</v>
      </c>
      <c r="R25">
        <f t="shared" si="2"/>
        <v>5</v>
      </c>
      <c r="S25">
        <f t="shared" si="3"/>
        <v>25</v>
      </c>
    </row>
  </sheetData>
  <mergeCells count="7">
    <mergeCell ref="L21:N21"/>
    <mergeCell ref="Q21:S21"/>
    <mergeCell ref="C3:H23"/>
    <mergeCell ref="E2:G2"/>
    <mergeCell ref="L4:N4"/>
    <mergeCell ref="L10:N10"/>
    <mergeCell ref="L16:N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673A-8DDE-49F9-9808-3BC849C266E3}">
  <dimension ref="C1:W53"/>
  <sheetViews>
    <sheetView topLeftCell="C1" workbookViewId="0">
      <selection activeCell="H4" sqref="H4"/>
    </sheetView>
  </sheetViews>
  <sheetFormatPr defaultRowHeight="14.4" x14ac:dyDescent="0.3"/>
  <cols>
    <col min="16" max="18" width="8.8984375" style="18"/>
  </cols>
  <sheetData>
    <row r="1" spans="3:23" x14ac:dyDescent="0.3">
      <c r="C1" s="53" t="s">
        <v>296</v>
      </c>
      <c r="D1" s="53"/>
      <c r="E1" s="53"/>
      <c r="F1" s="53"/>
      <c r="O1" t="s">
        <v>276</v>
      </c>
      <c r="P1" s="18">
        <v>10</v>
      </c>
      <c r="Q1" s="18">
        <v>30</v>
      </c>
      <c r="R1" s="18">
        <v>10</v>
      </c>
    </row>
    <row r="2" spans="3:23" x14ac:dyDescent="0.3">
      <c r="C2" t="s">
        <v>276</v>
      </c>
      <c r="D2" s="18">
        <v>10</v>
      </c>
      <c r="E2" s="18">
        <v>30</v>
      </c>
      <c r="F2" s="18">
        <v>10</v>
      </c>
      <c r="O2" t="s">
        <v>277</v>
      </c>
      <c r="P2" s="18">
        <f>SUM(P4:P53)</f>
        <v>10</v>
      </c>
      <c r="Q2" s="18">
        <f t="shared" ref="Q2:R2" si="0">SUM(Q4:Q53)</f>
        <v>30</v>
      </c>
      <c r="R2" s="18">
        <f t="shared" si="0"/>
        <v>10</v>
      </c>
    </row>
    <row r="3" spans="3:23" x14ac:dyDescent="0.3">
      <c r="D3" t="s">
        <v>269</v>
      </c>
      <c r="E3" t="s">
        <v>270</v>
      </c>
      <c r="F3" t="s">
        <v>271</v>
      </c>
      <c r="L3" t="s">
        <v>272</v>
      </c>
      <c r="M3" t="s">
        <v>273</v>
      </c>
      <c r="N3" t="s">
        <v>274</v>
      </c>
      <c r="P3" s="18" t="s">
        <v>272</v>
      </c>
      <c r="Q3" s="18" t="s">
        <v>273</v>
      </c>
      <c r="R3" s="18" t="s">
        <v>274</v>
      </c>
    </row>
    <row r="4" spans="3:23" x14ac:dyDescent="0.3">
      <c r="C4">
        <v>1</v>
      </c>
      <c r="D4">
        <v>1</v>
      </c>
      <c r="E4">
        <v>2</v>
      </c>
      <c r="F4">
        <v>3</v>
      </c>
      <c r="H4">
        <v>50</v>
      </c>
      <c r="I4">
        <v>50</v>
      </c>
      <c r="J4">
        <v>50</v>
      </c>
      <c r="L4">
        <v>3</v>
      </c>
      <c r="M4">
        <v>2</v>
      </c>
      <c r="N4">
        <v>1</v>
      </c>
      <c r="P4" s="19">
        <v>1</v>
      </c>
      <c r="Q4" s="19">
        <v>0</v>
      </c>
      <c r="R4" s="19">
        <v>0</v>
      </c>
      <c r="S4">
        <f>SUM(P4:R4)</f>
        <v>1</v>
      </c>
    </row>
    <row r="5" spans="3:23" x14ac:dyDescent="0.3">
      <c r="C5">
        <v>2</v>
      </c>
      <c r="D5">
        <v>3</v>
      </c>
      <c r="E5">
        <v>2</v>
      </c>
      <c r="F5">
        <v>1</v>
      </c>
      <c r="H5">
        <v>49</v>
      </c>
      <c r="I5">
        <v>49</v>
      </c>
      <c r="J5">
        <v>49</v>
      </c>
      <c r="L5">
        <v>1</v>
      </c>
      <c r="M5">
        <v>2</v>
      </c>
      <c r="N5">
        <v>3</v>
      </c>
      <c r="P5" s="19">
        <v>0</v>
      </c>
      <c r="Q5" s="19">
        <v>0</v>
      </c>
      <c r="R5" s="19">
        <v>1</v>
      </c>
      <c r="S5">
        <f t="shared" ref="S5:S53" si="1">SUM(P5:R5)</f>
        <v>1</v>
      </c>
      <c r="U5" t="s">
        <v>101</v>
      </c>
      <c r="V5" t="s">
        <v>275</v>
      </c>
      <c r="W5">
        <f>SUMPRODUCT(L4:N53,P4:R53,H4:J53)</f>
        <v>3529</v>
      </c>
    </row>
    <row r="6" spans="3:23" x14ac:dyDescent="0.3">
      <c r="C6">
        <v>3</v>
      </c>
      <c r="D6">
        <v>2</v>
      </c>
      <c r="E6">
        <v>1</v>
      </c>
      <c r="F6">
        <v>3</v>
      </c>
      <c r="H6">
        <v>48</v>
      </c>
      <c r="I6">
        <v>48</v>
      </c>
      <c r="J6">
        <v>48</v>
      </c>
      <c r="L6">
        <v>2</v>
      </c>
      <c r="M6">
        <v>3</v>
      </c>
      <c r="N6">
        <v>1</v>
      </c>
      <c r="P6" s="19">
        <v>0</v>
      </c>
      <c r="Q6" s="19">
        <v>1</v>
      </c>
      <c r="R6" s="19">
        <v>0</v>
      </c>
      <c r="S6">
        <f t="shared" si="1"/>
        <v>1</v>
      </c>
    </row>
    <row r="7" spans="3:23" x14ac:dyDescent="0.3">
      <c r="C7">
        <v>4</v>
      </c>
      <c r="D7">
        <v>3</v>
      </c>
      <c r="E7">
        <v>2</v>
      </c>
      <c r="F7">
        <v>1</v>
      </c>
      <c r="H7">
        <v>47</v>
      </c>
      <c r="I7">
        <v>47</v>
      </c>
      <c r="J7">
        <v>47</v>
      </c>
      <c r="L7">
        <v>1</v>
      </c>
      <c r="M7">
        <v>2</v>
      </c>
      <c r="N7">
        <v>3</v>
      </c>
      <c r="P7" s="19">
        <v>0</v>
      </c>
      <c r="Q7" s="19">
        <v>0</v>
      </c>
      <c r="R7" s="19">
        <v>1</v>
      </c>
      <c r="S7">
        <f t="shared" si="1"/>
        <v>1</v>
      </c>
    </row>
    <row r="8" spans="3:23" x14ac:dyDescent="0.3">
      <c r="C8">
        <v>5</v>
      </c>
      <c r="D8">
        <v>1</v>
      </c>
      <c r="E8">
        <v>2</v>
      </c>
      <c r="F8">
        <v>3</v>
      </c>
      <c r="H8">
        <v>46</v>
      </c>
      <c r="I8">
        <v>46</v>
      </c>
      <c r="J8">
        <v>46</v>
      </c>
      <c r="L8">
        <v>3</v>
      </c>
      <c r="M8">
        <v>2</v>
      </c>
      <c r="N8">
        <v>1</v>
      </c>
      <c r="P8" s="19">
        <v>1</v>
      </c>
      <c r="Q8" s="19">
        <v>0</v>
      </c>
      <c r="R8" s="19">
        <v>0</v>
      </c>
      <c r="S8">
        <f t="shared" si="1"/>
        <v>1</v>
      </c>
    </row>
    <row r="9" spans="3:23" x14ac:dyDescent="0.3">
      <c r="C9">
        <v>6</v>
      </c>
      <c r="D9">
        <v>2</v>
      </c>
      <c r="E9">
        <v>1</v>
      </c>
      <c r="F9">
        <v>3</v>
      </c>
      <c r="H9">
        <v>45</v>
      </c>
      <c r="I9">
        <v>45</v>
      </c>
      <c r="J9">
        <v>45</v>
      </c>
      <c r="L9">
        <v>2</v>
      </c>
      <c r="M9">
        <v>3</v>
      </c>
      <c r="N9">
        <v>1</v>
      </c>
      <c r="P9" s="19">
        <v>0</v>
      </c>
      <c r="Q9" s="19">
        <v>1</v>
      </c>
      <c r="R9" s="19">
        <v>0</v>
      </c>
      <c r="S9">
        <f t="shared" si="1"/>
        <v>1</v>
      </c>
    </row>
    <row r="10" spans="3:23" x14ac:dyDescent="0.3">
      <c r="C10">
        <v>7</v>
      </c>
      <c r="D10">
        <v>3</v>
      </c>
      <c r="E10">
        <v>2</v>
      </c>
      <c r="F10">
        <v>1</v>
      </c>
      <c r="H10">
        <v>44</v>
      </c>
      <c r="I10">
        <v>44</v>
      </c>
      <c r="J10">
        <v>44</v>
      </c>
      <c r="L10">
        <v>1</v>
      </c>
      <c r="M10">
        <v>2</v>
      </c>
      <c r="N10">
        <v>3</v>
      </c>
      <c r="P10" s="19">
        <v>0</v>
      </c>
      <c r="Q10" s="19">
        <v>0</v>
      </c>
      <c r="R10" s="19">
        <v>1</v>
      </c>
      <c r="S10">
        <f t="shared" si="1"/>
        <v>1</v>
      </c>
    </row>
    <row r="11" spans="3:23" x14ac:dyDescent="0.3">
      <c r="C11">
        <v>8</v>
      </c>
      <c r="D11">
        <v>3</v>
      </c>
      <c r="E11">
        <v>1</v>
      </c>
      <c r="F11">
        <v>2</v>
      </c>
      <c r="H11">
        <v>43</v>
      </c>
      <c r="I11">
        <v>43</v>
      </c>
      <c r="J11">
        <v>43</v>
      </c>
      <c r="L11">
        <v>1</v>
      </c>
      <c r="M11">
        <v>3</v>
      </c>
      <c r="N11">
        <v>2</v>
      </c>
      <c r="P11" s="19">
        <v>0</v>
      </c>
      <c r="Q11" s="19">
        <v>1</v>
      </c>
      <c r="R11" s="19">
        <v>0</v>
      </c>
      <c r="S11">
        <f t="shared" si="1"/>
        <v>1</v>
      </c>
    </row>
    <row r="12" spans="3:23" x14ac:dyDescent="0.3">
      <c r="C12">
        <v>9</v>
      </c>
      <c r="D12">
        <v>3</v>
      </c>
      <c r="E12">
        <v>2</v>
      </c>
      <c r="F12">
        <v>3</v>
      </c>
      <c r="H12">
        <v>42</v>
      </c>
      <c r="I12">
        <v>42</v>
      </c>
      <c r="J12">
        <v>42</v>
      </c>
      <c r="L12">
        <v>1</v>
      </c>
      <c r="M12">
        <v>2</v>
      </c>
      <c r="N12">
        <v>1</v>
      </c>
      <c r="P12" s="19">
        <v>0</v>
      </c>
      <c r="Q12" s="19">
        <v>1</v>
      </c>
      <c r="R12" s="19">
        <v>0</v>
      </c>
      <c r="S12">
        <f t="shared" si="1"/>
        <v>1</v>
      </c>
    </row>
    <row r="13" spans="3:23" x14ac:dyDescent="0.3">
      <c r="C13">
        <v>10</v>
      </c>
      <c r="D13">
        <v>1</v>
      </c>
      <c r="E13">
        <v>2</v>
      </c>
      <c r="F13">
        <v>3</v>
      </c>
      <c r="H13">
        <v>41</v>
      </c>
      <c r="I13">
        <v>41</v>
      </c>
      <c r="J13">
        <v>41</v>
      </c>
      <c r="L13">
        <v>3</v>
      </c>
      <c r="M13">
        <v>2</v>
      </c>
      <c r="N13">
        <v>1</v>
      </c>
      <c r="P13" s="19">
        <v>1</v>
      </c>
      <c r="Q13" s="19">
        <v>0</v>
      </c>
      <c r="R13" s="19">
        <v>0</v>
      </c>
      <c r="S13">
        <f t="shared" si="1"/>
        <v>1</v>
      </c>
    </row>
    <row r="14" spans="3:23" x14ac:dyDescent="0.3">
      <c r="C14">
        <v>11</v>
      </c>
      <c r="D14">
        <v>3</v>
      </c>
      <c r="E14">
        <v>2</v>
      </c>
      <c r="F14">
        <v>1</v>
      </c>
      <c r="H14">
        <v>40</v>
      </c>
      <c r="I14">
        <v>40</v>
      </c>
      <c r="J14">
        <v>40</v>
      </c>
      <c r="L14">
        <v>1</v>
      </c>
      <c r="M14">
        <v>2</v>
      </c>
      <c r="N14">
        <v>3</v>
      </c>
      <c r="P14" s="19">
        <v>0</v>
      </c>
      <c r="Q14" s="19">
        <v>0</v>
      </c>
      <c r="R14" s="19">
        <v>1</v>
      </c>
      <c r="S14">
        <f t="shared" si="1"/>
        <v>1</v>
      </c>
    </row>
    <row r="15" spans="3:23" x14ac:dyDescent="0.3">
      <c r="C15">
        <v>12</v>
      </c>
      <c r="D15">
        <v>3</v>
      </c>
      <c r="E15">
        <v>2</v>
      </c>
      <c r="F15">
        <v>1</v>
      </c>
      <c r="H15">
        <v>39</v>
      </c>
      <c r="I15">
        <v>39</v>
      </c>
      <c r="J15">
        <v>39</v>
      </c>
      <c r="L15">
        <v>1</v>
      </c>
      <c r="M15">
        <v>2</v>
      </c>
      <c r="N15">
        <v>3</v>
      </c>
      <c r="P15" s="19">
        <v>0</v>
      </c>
      <c r="Q15" s="19">
        <v>0</v>
      </c>
      <c r="R15" s="19">
        <v>1</v>
      </c>
      <c r="S15">
        <f t="shared" si="1"/>
        <v>1</v>
      </c>
    </row>
    <row r="16" spans="3:23" x14ac:dyDescent="0.3">
      <c r="C16">
        <v>13</v>
      </c>
      <c r="D16">
        <v>1</v>
      </c>
      <c r="E16">
        <v>3</v>
      </c>
      <c r="F16">
        <v>2</v>
      </c>
      <c r="H16">
        <v>38</v>
      </c>
      <c r="I16">
        <v>38</v>
      </c>
      <c r="J16">
        <v>38</v>
      </c>
      <c r="L16">
        <v>3</v>
      </c>
      <c r="M16">
        <v>1</v>
      </c>
      <c r="N16">
        <v>2</v>
      </c>
      <c r="P16" s="19">
        <v>1</v>
      </c>
      <c r="Q16" s="19">
        <v>0</v>
      </c>
      <c r="R16" s="19">
        <v>0</v>
      </c>
      <c r="S16">
        <f t="shared" si="1"/>
        <v>1</v>
      </c>
    </row>
    <row r="17" spans="3:19" x14ac:dyDescent="0.3">
      <c r="C17">
        <v>14</v>
      </c>
      <c r="D17">
        <v>1</v>
      </c>
      <c r="E17">
        <v>2</v>
      </c>
      <c r="F17">
        <v>3</v>
      </c>
      <c r="H17">
        <v>37</v>
      </c>
      <c r="I17">
        <v>37</v>
      </c>
      <c r="J17">
        <v>37</v>
      </c>
      <c r="L17">
        <v>3</v>
      </c>
      <c r="M17">
        <v>2</v>
      </c>
      <c r="N17">
        <v>1</v>
      </c>
      <c r="P17" s="19">
        <v>1</v>
      </c>
      <c r="Q17" s="19">
        <v>0</v>
      </c>
      <c r="R17" s="19">
        <v>0</v>
      </c>
      <c r="S17">
        <f t="shared" si="1"/>
        <v>1</v>
      </c>
    </row>
    <row r="18" spans="3:19" x14ac:dyDescent="0.3">
      <c r="C18">
        <v>15</v>
      </c>
      <c r="D18">
        <v>3</v>
      </c>
      <c r="E18">
        <v>1</v>
      </c>
      <c r="F18">
        <v>2</v>
      </c>
      <c r="H18">
        <v>36</v>
      </c>
      <c r="I18">
        <v>36</v>
      </c>
      <c r="J18">
        <v>36</v>
      </c>
      <c r="L18">
        <v>1</v>
      </c>
      <c r="M18">
        <v>3</v>
      </c>
      <c r="N18">
        <v>2</v>
      </c>
      <c r="P18" s="19">
        <v>0</v>
      </c>
      <c r="Q18" s="19">
        <v>1</v>
      </c>
      <c r="R18" s="19">
        <v>0</v>
      </c>
      <c r="S18">
        <f t="shared" si="1"/>
        <v>1</v>
      </c>
    </row>
    <row r="19" spans="3:19" x14ac:dyDescent="0.3">
      <c r="C19">
        <v>16</v>
      </c>
      <c r="D19">
        <v>1</v>
      </c>
      <c r="E19">
        <v>2</v>
      </c>
      <c r="F19">
        <v>3</v>
      </c>
      <c r="H19">
        <v>35</v>
      </c>
      <c r="I19">
        <v>35</v>
      </c>
      <c r="J19">
        <v>35</v>
      </c>
      <c r="L19">
        <v>3</v>
      </c>
      <c r="M19">
        <v>2</v>
      </c>
      <c r="N19">
        <v>1</v>
      </c>
      <c r="P19" s="19">
        <v>1</v>
      </c>
      <c r="Q19" s="19">
        <v>0</v>
      </c>
      <c r="R19" s="19">
        <v>0</v>
      </c>
      <c r="S19">
        <f t="shared" si="1"/>
        <v>1</v>
      </c>
    </row>
    <row r="20" spans="3:19" x14ac:dyDescent="0.3">
      <c r="C20">
        <v>17</v>
      </c>
      <c r="D20">
        <v>3</v>
      </c>
      <c r="E20">
        <v>2</v>
      </c>
      <c r="F20">
        <v>1</v>
      </c>
      <c r="H20">
        <v>34</v>
      </c>
      <c r="I20">
        <v>34</v>
      </c>
      <c r="J20">
        <v>34</v>
      </c>
      <c r="L20">
        <v>1</v>
      </c>
      <c r="M20">
        <v>2</v>
      </c>
      <c r="N20">
        <v>3</v>
      </c>
      <c r="P20" s="19">
        <v>0</v>
      </c>
      <c r="Q20" s="19">
        <v>0</v>
      </c>
      <c r="R20" s="19">
        <v>1</v>
      </c>
      <c r="S20">
        <f t="shared" si="1"/>
        <v>1</v>
      </c>
    </row>
    <row r="21" spans="3:19" x14ac:dyDescent="0.3">
      <c r="C21">
        <v>18</v>
      </c>
      <c r="D21">
        <v>3</v>
      </c>
      <c r="E21">
        <v>1</v>
      </c>
      <c r="F21">
        <v>2</v>
      </c>
      <c r="H21">
        <v>33</v>
      </c>
      <c r="I21">
        <v>33</v>
      </c>
      <c r="J21">
        <v>33</v>
      </c>
      <c r="L21">
        <v>1</v>
      </c>
      <c r="M21">
        <v>3</v>
      </c>
      <c r="N21">
        <v>2</v>
      </c>
      <c r="P21" s="19">
        <v>0</v>
      </c>
      <c r="Q21" s="19">
        <v>1</v>
      </c>
      <c r="R21" s="19">
        <v>0</v>
      </c>
      <c r="S21">
        <f t="shared" si="1"/>
        <v>1</v>
      </c>
    </row>
    <row r="22" spans="3:19" x14ac:dyDescent="0.3">
      <c r="C22">
        <v>19</v>
      </c>
      <c r="D22">
        <v>1</v>
      </c>
      <c r="E22">
        <v>2</v>
      </c>
      <c r="F22">
        <v>3</v>
      </c>
      <c r="H22">
        <v>32</v>
      </c>
      <c r="I22">
        <v>32</v>
      </c>
      <c r="J22">
        <v>32</v>
      </c>
      <c r="L22">
        <v>3</v>
      </c>
      <c r="M22">
        <v>2</v>
      </c>
      <c r="N22">
        <v>1</v>
      </c>
      <c r="P22" s="19">
        <v>1</v>
      </c>
      <c r="Q22" s="19">
        <v>0</v>
      </c>
      <c r="R22" s="19">
        <v>0</v>
      </c>
      <c r="S22">
        <f t="shared" si="1"/>
        <v>1</v>
      </c>
    </row>
    <row r="23" spans="3:19" x14ac:dyDescent="0.3">
      <c r="C23">
        <v>20</v>
      </c>
      <c r="D23">
        <v>1</v>
      </c>
      <c r="E23">
        <v>2</v>
      </c>
      <c r="F23">
        <v>3</v>
      </c>
      <c r="H23">
        <v>31</v>
      </c>
      <c r="I23">
        <v>31</v>
      </c>
      <c r="J23">
        <v>31</v>
      </c>
      <c r="L23">
        <v>3</v>
      </c>
      <c r="M23">
        <v>2</v>
      </c>
      <c r="N23">
        <v>1</v>
      </c>
      <c r="P23" s="19">
        <v>0</v>
      </c>
      <c r="Q23" s="19">
        <v>1</v>
      </c>
      <c r="R23" s="19">
        <v>0</v>
      </c>
      <c r="S23">
        <f t="shared" si="1"/>
        <v>1</v>
      </c>
    </row>
    <row r="24" spans="3:19" x14ac:dyDescent="0.3">
      <c r="C24">
        <v>21</v>
      </c>
      <c r="D24">
        <v>3</v>
      </c>
      <c r="E24">
        <v>1</v>
      </c>
      <c r="F24">
        <v>2</v>
      </c>
      <c r="H24">
        <v>30</v>
      </c>
      <c r="I24">
        <v>30</v>
      </c>
      <c r="J24">
        <v>30</v>
      </c>
      <c r="L24">
        <v>1</v>
      </c>
      <c r="M24">
        <v>3</v>
      </c>
      <c r="N24">
        <v>2</v>
      </c>
      <c r="P24" s="19">
        <v>0</v>
      </c>
      <c r="Q24" s="19">
        <v>1</v>
      </c>
      <c r="R24" s="19">
        <v>0</v>
      </c>
      <c r="S24">
        <f t="shared" si="1"/>
        <v>1</v>
      </c>
    </row>
    <row r="25" spans="3:19" x14ac:dyDescent="0.3">
      <c r="C25">
        <v>22</v>
      </c>
      <c r="D25">
        <v>1</v>
      </c>
      <c r="E25">
        <v>2</v>
      </c>
      <c r="F25">
        <v>3</v>
      </c>
      <c r="H25">
        <v>29</v>
      </c>
      <c r="I25">
        <v>29</v>
      </c>
      <c r="J25">
        <v>29</v>
      </c>
      <c r="L25">
        <v>3</v>
      </c>
      <c r="M25">
        <v>2</v>
      </c>
      <c r="N25">
        <v>1</v>
      </c>
      <c r="P25" s="19">
        <v>0</v>
      </c>
      <c r="Q25" s="19">
        <v>1</v>
      </c>
      <c r="R25" s="19">
        <v>0</v>
      </c>
      <c r="S25">
        <f t="shared" si="1"/>
        <v>1</v>
      </c>
    </row>
    <row r="26" spans="3:19" x14ac:dyDescent="0.3">
      <c r="C26">
        <v>23</v>
      </c>
      <c r="D26">
        <v>1</v>
      </c>
      <c r="E26">
        <v>2</v>
      </c>
      <c r="F26">
        <v>3</v>
      </c>
      <c r="H26">
        <v>28</v>
      </c>
      <c r="I26">
        <v>28</v>
      </c>
      <c r="J26">
        <v>28</v>
      </c>
      <c r="L26">
        <v>3</v>
      </c>
      <c r="M26">
        <v>2</v>
      </c>
      <c r="N26">
        <v>1</v>
      </c>
      <c r="P26" s="19">
        <v>0</v>
      </c>
      <c r="Q26" s="19">
        <v>1</v>
      </c>
      <c r="R26" s="19">
        <v>0</v>
      </c>
      <c r="S26">
        <f t="shared" si="1"/>
        <v>1</v>
      </c>
    </row>
    <row r="27" spans="3:19" x14ac:dyDescent="0.3">
      <c r="C27">
        <v>24</v>
      </c>
      <c r="D27">
        <v>1</v>
      </c>
      <c r="E27">
        <v>2</v>
      </c>
      <c r="F27">
        <v>3</v>
      </c>
      <c r="H27">
        <v>27</v>
      </c>
      <c r="I27">
        <v>27</v>
      </c>
      <c r="J27">
        <v>27</v>
      </c>
      <c r="L27">
        <v>3</v>
      </c>
      <c r="M27">
        <v>2</v>
      </c>
      <c r="N27">
        <v>1</v>
      </c>
      <c r="P27" s="19">
        <v>0</v>
      </c>
      <c r="Q27" s="19">
        <v>1</v>
      </c>
      <c r="R27" s="19">
        <v>0</v>
      </c>
      <c r="S27">
        <f t="shared" si="1"/>
        <v>1</v>
      </c>
    </row>
    <row r="28" spans="3:19" x14ac:dyDescent="0.3">
      <c r="C28">
        <v>25</v>
      </c>
      <c r="D28">
        <v>1</v>
      </c>
      <c r="E28">
        <v>3</v>
      </c>
      <c r="F28">
        <v>2</v>
      </c>
      <c r="H28">
        <v>26</v>
      </c>
      <c r="I28">
        <v>26</v>
      </c>
      <c r="J28">
        <v>26</v>
      </c>
      <c r="L28">
        <v>3</v>
      </c>
      <c r="M28">
        <v>1</v>
      </c>
      <c r="N28">
        <v>2</v>
      </c>
      <c r="P28" s="19">
        <v>1</v>
      </c>
      <c r="Q28" s="19">
        <v>0</v>
      </c>
      <c r="R28" s="19">
        <v>0</v>
      </c>
      <c r="S28">
        <f t="shared" si="1"/>
        <v>1</v>
      </c>
    </row>
    <row r="29" spans="3:19" x14ac:dyDescent="0.3">
      <c r="C29">
        <v>26</v>
      </c>
      <c r="D29">
        <v>1</v>
      </c>
      <c r="E29">
        <v>3</v>
      </c>
      <c r="F29">
        <v>2</v>
      </c>
      <c r="H29">
        <v>25</v>
      </c>
      <c r="I29">
        <v>25</v>
      </c>
      <c r="J29">
        <v>25</v>
      </c>
      <c r="L29">
        <v>3</v>
      </c>
      <c r="M29">
        <v>1</v>
      </c>
      <c r="N29">
        <v>2</v>
      </c>
      <c r="P29" s="19">
        <v>1</v>
      </c>
      <c r="Q29" s="19">
        <v>0</v>
      </c>
      <c r="R29" s="19">
        <v>0</v>
      </c>
      <c r="S29">
        <f t="shared" si="1"/>
        <v>1</v>
      </c>
    </row>
    <row r="30" spans="3:19" x14ac:dyDescent="0.3">
      <c r="C30">
        <v>27</v>
      </c>
      <c r="D30">
        <v>2</v>
      </c>
      <c r="E30">
        <v>1</v>
      </c>
      <c r="F30">
        <v>3</v>
      </c>
      <c r="H30">
        <v>24</v>
      </c>
      <c r="I30">
        <v>24</v>
      </c>
      <c r="J30">
        <v>24</v>
      </c>
      <c r="L30">
        <v>2</v>
      </c>
      <c r="M30">
        <v>3</v>
      </c>
      <c r="N30">
        <v>1</v>
      </c>
      <c r="P30" s="19">
        <v>0</v>
      </c>
      <c r="Q30" s="19">
        <v>1</v>
      </c>
      <c r="R30" s="19">
        <v>0</v>
      </c>
      <c r="S30">
        <f t="shared" si="1"/>
        <v>1</v>
      </c>
    </row>
    <row r="31" spans="3:19" x14ac:dyDescent="0.3">
      <c r="C31">
        <v>28</v>
      </c>
      <c r="D31">
        <v>3</v>
      </c>
      <c r="E31">
        <v>1</v>
      </c>
      <c r="F31">
        <v>2</v>
      </c>
      <c r="H31">
        <v>23</v>
      </c>
      <c r="I31">
        <v>23</v>
      </c>
      <c r="J31">
        <v>23</v>
      </c>
      <c r="L31">
        <v>1</v>
      </c>
      <c r="M31">
        <v>3</v>
      </c>
      <c r="N31">
        <v>2</v>
      </c>
      <c r="P31" s="19">
        <v>0</v>
      </c>
      <c r="Q31" s="19">
        <v>1</v>
      </c>
      <c r="R31" s="19">
        <v>0</v>
      </c>
      <c r="S31">
        <f t="shared" si="1"/>
        <v>1</v>
      </c>
    </row>
    <row r="32" spans="3:19" x14ac:dyDescent="0.3">
      <c r="C32">
        <v>29</v>
      </c>
      <c r="D32">
        <v>2</v>
      </c>
      <c r="E32">
        <v>1</v>
      </c>
      <c r="F32">
        <v>3</v>
      </c>
      <c r="H32">
        <v>22</v>
      </c>
      <c r="I32">
        <v>22</v>
      </c>
      <c r="J32">
        <v>22</v>
      </c>
      <c r="L32">
        <v>2</v>
      </c>
      <c r="M32">
        <v>3</v>
      </c>
      <c r="N32">
        <v>1</v>
      </c>
      <c r="P32" s="19">
        <v>0</v>
      </c>
      <c r="Q32" s="19">
        <v>1</v>
      </c>
      <c r="R32" s="19">
        <v>0</v>
      </c>
      <c r="S32">
        <f t="shared" si="1"/>
        <v>1</v>
      </c>
    </row>
    <row r="33" spans="3:19" x14ac:dyDescent="0.3">
      <c r="C33">
        <v>30</v>
      </c>
      <c r="D33">
        <v>2</v>
      </c>
      <c r="E33">
        <v>3</v>
      </c>
      <c r="F33">
        <v>1</v>
      </c>
      <c r="H33">
        <v>21</v>
      </c>
      <c r="I33">
        <v>21</v>
      </c>
      <c r="J33">
        <v>21</v>
      </c>
      <c r="L33">
        <v>2</v>
      </c>
      <c r="M33">
        <v>1</v>
      </c>
      <c r="N33">
        <v>3</v>
      </c>
      <c r="P33" s="19">
        <v>0</v>
      </c>
      <c r="Q33" s="19">
        <v>0</v>
      </c>
      <c r="R33" s="19">
        <v>1</v>
      </c>
      <c r="S33">
        <f t="shared" si="1"/>
        <v>1</v>
      </c>
    </row>
    <row r="34" spans="3:19" x14ac:dyDescent="0.3">
      <c r="C34">
        <v>31</v>
      </c>
      <c r="D34">
        <v>3</v>
      </c>
      <c r="E34">
        <v>2</v>
      </c>
      <c r="F34">
        <v>1</v>
      </c>
      <c r="H34">
        <v>20</v>
      </c>
      <c r="I34">
        <v>20</v>
      </c>
      <c r="J34">
        <v>20</v>
      </c>
      <c r="L34">
        <v>1</v>
      </c>
      <c r="M34">
        <v>2</v>
      </c>
      <c r="N34">
        <v>3</v>
      </c>
      <c r="P34" s="19">
        <v>0</v>
      </c>
      <c r="Q34" s="19">
        <v>0</v>
      </c>
      <c r="R34" s="19">
        <v>1</v>
      </c>
      <c r="S34">
        <f t="shared" si="1"/>
        <v>1</v>
      </c>
    </row>
    <row r="35" spans="3:19" x14ac:dyDescent="0.3">
      <c r="C35">
        <v>32</v>
      </c>
      <c r="D35">
        <v>2</v>
      </c>
      <c r="E35">
        <v>3</v>
      </c>
      <c r="F35">
        <v>1</v>
      </c>
      <c r="H35">
        <v>19</v>
      </c>
      <c r="I35">
        <v>19</v>
      </c>
      <c r="J35">
        <v>19</v>
      </c>
      <c r="L35">
        <v>2</v>
      </c>
      <c r="M35">
        <v>1</v>
      </c>
      <c r="N35">
        <v>3</v>
      </c>
      <c r="P35" s="19">
        <v>0</v>
      </c>
      <c r="Q35" s="19">
        <v>0</v>
      </c>
      <c r="R35" s="19">
        <v>1</v>
      </c>
      <c r="S35">
        <f t="shared" si="1"/>
        <v>1</v>
      </c>
    </row>
    <row r="36" spans="3:19" x14ac:dyDescent="0.3">
      <c r="C36">
        <v>33</v>
      </c>
      <c r="D36">
        <v>3</v>
      </c>
      <c r="E36">
        <v>2</v>
      </c>
      <c r="F36">
        <v>1</v>
      </c>
      <c r="H36">
        <v>18</v>
      </c>
      <c r="I36">
        <v>18</v>
      </c>
      <c r="J36">
        <v>18</v>
      </c>
      <c r="L36">
        <v>1</v>
      </c>
      <c r="M36">
        <v>2</v>
      </c>
      <c r="N36">
        <v>3</v>
      </c>
      <c r="P36" s="19">
        <v>0</v>
      </c>
      <c r="Q36" s="19">
        <v>1</v>
      </c>
      <c r="R36" s="19">
        <v>0</v>
      </c>
      <c r="S36">
        <f t="shared" si="1"/>
        <v>1</v>
      </c>
    </row>
    <row r="37" spans="3:19" x14ac:dyDescent="0.3">
      <c r="C37">
        <v>34</v>
      </c>
      <c r="D37">
        <v>1</v>
      </c>
      <c r="E37">
        <v>3</v>
      </c>
      <c r="F37">
        <v>2</v>
      </c>
      <c r="H37">
        <v>17</v>
      </c>
      <c r="I37">
        <v>17</v>
      </c>
      <c r="J37">
        <v>17</v>
      </c>
      <c r="L37">
        <v>3</v>
      </c>
      <c r="M37">
        <v>1</v>
      </c>
      <c r="N37">
        <v>2</v>
      </c>
      <c r="P37" s="19">
        <v>1</v>
      </c>
      <c r="Q37" s="19">
        <v>0</v>
      </c>
      <c r="R37" s="19">
        <v>0</v>
      </c>
      <c r="S37">
        <f t="shared" si="1"/>
        <v>1</v>
      </c>
    </row>
    <row r="38" spans="3:19" x14ac:dyDescent="0.3">
      <c r="C38">
        <v>35</v>
      </c>
      <c r="D38">
        <v>2</v>
      </c>
      <c r="E38">
        <v>3</v>
      </c>
      <c r="F38">
        <v>1</v>
      </c>
      <c r="H38">
        <v>16</v>
      </c>
      <c r="I38">
        <v>16</v>
      </c>
      <c r="J38">
        <v>16</v>
      </c>
      <c r="L38">
        <v>2</v>
      </c>
      <c r="M38">
        <v>1</v>
      </c>
      <c r="N38">
        <v>3</v>
      </c>
      <c r="P38" s="19">
        <v>0</v>
      </c>
      <c r="Q38" s="19">
        <v>0</v>
      </c>
      <c r="R38" s="19">
        <v>1</v>
      </c>
      <c r="S38">
        <f t="shared" si="1"/>
        <v>1</v>
      </c>
    </row>
    <row r="39" spans="3:19" x14ac:dyDescent="0.3">
      <c r="C39">
        <v>36</v>
      </c>
      <c r="D39">
        <v>3</v>
      </c>
      <c r="E39">
        <v>2</v>
      </c>
      <c r="F39">
        <v>1</v>
      </c>
      <c r="H39">
        <v>15</v>
      </c>
      <c r="I39">
        <v>15</v>
      </c>
      <c r="J39">
        <v>15</v>
      </c>
      <c r="L39">
        <v>1</v>
      </c>
      <c r="M39">
        <v>2</v>
      </c>
      <c r="N39">
        <v>3</v>
      </c>
      <c r="P39" s="19">
        <v>0</v>
      </c>
      <c r="Q39" s="19">
        <v>1</v>
      </c>
      <c r="R39" s="19">
        <v>0</v>
      </c>
      <c r="S39">
        <f t="shared" si="1"/>
        <v>1</v>
      </c>
    </row>
    <row r="40" spans="3:19" x14ac:dyDescent="0.3">
      <c r="C40">
        <v>37</v>
      </c>
      <c r="D40">
        <v>1</v>
      </c>
      <c r="E40">
        <v>2</v>
      </c>
      <c r="F40">
        <v>3</v>
      </c>
      <c r="H40">
        <v>14</v>
      </c>
      <c r="I40">
        <v>14</v>
      </c>
      <c r="J40">
        <v>14</v>
      </c>
      <c r="L40">
        <v>3</v>
      </c>
      <c r="M40">
        <v>2</v>
      </c>
      <c r="N40">
        <v>1</v>
      </c>
      <c r="P40" s="19">
        <v>0</v>
      </c>
      <c r="Q40" s="19">
        <v>1</v>
      </c>
      <c r="R40" s="19">
        <v>0</v>
      </c>
      <c r="S40">
        <f t="shared" si="1"/>
        <v>1</v>
      </c>
    </row>
    <row r="41" spans="3:19" x14ac:dyDescent="0.3">
      <c r="C41">
        <v>38</v>
      </c>
      <c r="D41">
        <v>3</v>
      </c>
      <c r="E41">
        <v>1</v>
      </c>
      <c r="F41">
        <v>2</v>
      </c>
      <c r="H41">
        <v>13</v>
      </c>
      <c r="I41">
        <v>13</v>
      </c>
      <c r="J41">
        <v>13</v>
      </c>
      <c r="L41">
        <v>1</v>
      </c>
      <c r="M41">
        <v>3</v>
      </c>
      <c r="N41">
        <v>2</v>
      </c>
      <c r="P41" s="19">
        <v>0</v>
      </c>
      <c r="Q41" s="19">
        <v>1</v>
      </c>
      <c r="R41" s="19">
        <v>0</v>
      </c>
      <c r="S41">
        <f t="shared" si="1"/>
        <v>1</v>
      </c>
    </row>
    <row r="42" spans="3:19" x14ac:dyDescent="0.3">
      <c r="C42">
        <v>39</v>
      </c>
      <c r="D42">
        <v>1</v>
      </c>
      <c r="E42">
        <v>2</v>
      </c>
      <c r="F42">
        <v>3</v>
      </c>
      <c r="H42">
        <v>12</v>
      </c>
      <c r="I42">
        <v>12</v>
      </c>
      <c r="J42">
        <v>12</v>
      </c>
      <c r="L42">
        <v>3</v>
      </c>
      <c r="M42">
        <v>2</v>
      </c>
      <c r="N42">
        <v>1</v>
      </c>
      <c r="P42" s="19">
        <v>0</v>
      </c>
      <c r="Q42" s="19">
        <v>1</v>
      </c>
      <c r="R42" s="19">
        <v>0</v>
      </c>
      <c r="S42">
        <f t="shared" si="1"/>
        <v>1</v>
      </c>
    </row>
    <row r="43" spans="3:19" x14ac:dyDescent="0.3">
      <c r="C43">
        <v>40</v>
      </c>
      <c r="D43">
        <v>1</v>
      </c>
      <c r="E43">
        <v>3</v>
      </c>
      <c r="F43">
        <v>3</v>
      </c>
      <c r="H43">
        <v>11</v>
      </c>
      <c r="I43">
        <v>11</v>
      </c>
      <c r="J43">
        <v>11</v>
      </c>
      <c r="L43">
        <v>3</v>
      </c>
      <c r="M43">
        <v>1</v>
      </c>
      <c r="N43">
        <v>1</v>
      </c>
      <c r="P43" s="19">
        <v>0</v>
      </c>
      <c r="Q43" s="19">
        <v>1</v>
      </c>
      <c r="R43" s="19">
        <v>0</v>
      </c>
      <c r="S43">
        <f t="shared" si="1"/>
        <v>1</v>
      </c>
    </row>
    <row r="44" spans="3:19" x14ac:dyDescent="0.3">
      <c r="C44">
        <v>41</v>
      </c>
      <c r="D44">
        <v>1</v>
      </c>
      <c r="E44">
        <v>2</v>
      </c>
      <c r="F44">
        <v>3</v>
      </c>
      <c r="H44">
        <v>10</v>
      </c>
      <c r="I44">
        <v>10</v>
      </c>
      <c r="J44">
        <v>10</v>
      </c>
      <c r="L44">
        <v>3</v>
      </c>
      <c r="M44">
        <v>2</v>
      </c>
      <c r="N44">
        <v>1</v>
      </c>
      <c r="P44" s="19">
        <v>0</v>
      </c>
      <c r="Q44" s="19">
        <v>1</v>
      </c>
      <c r="R44" s="19">
        <v>0</v>
      </c>
      <c r="S44">
        <f t="shared" si="1"/>
        <v>1</v>
      </c>
    </row>
    <row r="45" spans="3:19" x14ac:dyDescent="0.3">
      <c r="C45">
        <v>42</v>
      </c>
      <c r="D45">
        <v>2</v>
      </c>
      <c r="E45">
        <v>3</v>
      </c>
      <c r="F45">
        <v>1</v>
      </c>
      <c r="H45">
        <v>9</v>
      </c>
      <c r="I45">
        <v>9</v>
      </c>
      <c r="J45">
        <v>9</v>
      </c>
      <c r="L45">
        <v>2</v>
      </c>
      <c r="M45">
        <v>1</v>
      </c>
      <c r="N45">
        <v>3</v>
      </c>
      <c r="P45" s="19">
        <v>0</v>
      </c>
      <c r="Q45" s="19">
        <v>1</v>
      </c>
      <c r="R45" s="19">
        <v>0</v>
      </c>
      <c r="S45">
        <f t="shared" si="1"/>
        <v>1</v>
      </c>
    </row>
    <row r="46" spans="3:19" x14ac:dyDescent="0.3">
      <c r="C46">
        <v>43</v>
      </c>
      <c r="D46">
        <v>2</v>
      </c>
      <c r="E46">
        <v>1</v>
      </c>
      <c r="F46">
        <v>3</v>
      </c>
      <c r="H46">
        <v>8</v>
      </c>
      <c r="I46">
        <v>8</v>
      </c>
      <c r="J46">
        <v>8</v>
      </c>
      <c r="L46">
        <v>2</v>
      </c>
      <c r="M46">
        <v>3</v>
      </c>
      <c r="N46">
        <v>1</v>
      </c>
      <c r="P46" s="19">
        <v>0</v>
      </c>
      <c r="Q46" s="19">
        <v>1</v>
      </c>
      <c r="R46" s="19">
        <v>0</v>
      </c>
      <c r="S46">
        <f t="shared" si="1"/>
        <v>1</v>
      </c>
    </row>
    <row r="47" spans="3:19" x14ac:dyDescent="0.3">
      <c r="C47">
        <v>44</v>
      </c>
      <c r="D47">
        <v>1</v>
      </c>
      <c r="E47">
        <v>2</v>
      </c>
      <c r="F47">
        <v>3</v>
      </c>
      <c r="H47">
        <v>7</v>
      </c>
      <c r="I47">
        <v>7</v>
      </c>
      <c r="J47">
        <v>7</v>
      </c>
      <c r="L47">
        <v>3</v>
      </c>
      <c r="M47">
        <v>2</v>
      </c>
      <c r="N47">
        <v>1</v>
      </c>
      <c r="P47" s="19">
        <v>0</v>
      </c>
      <c r="Q47" s="19">
        <v>1</v>
      </c>
      <c r="R47" s="19">
        <v>0</v>
      </c>
      <c r="S47">
        <f t="shared" si="1"/>
        <v>1</v>
      </c>
    </row>
    <row r="48" spans="3:19" x14ac:dyDescent="0.3">
      <c r="C48">
        <v>45</v>
      </c>
      <c r="D48">
        <v>3</v>
      </c>
      <c r="E48">
        <v>2</v>
      </c>
      <c r="F48">
        <v>1</v>
      </c>
      <c r="H48">
        <v>6</v>
      </c>
      <c r="I48">
        <v>6</v>
      </c>
      <c r="J48">
        <v>6</v>
      </c>
      <c r="L48">
        <v>1</v>
      </c>
      <c r="M48">
        <v>2</v>
      </c>
      <c r="N48">
        <v>3</v>
      </c>
      <c r="P48" s="19">
        <v>0</v>
      </c>
      <c r="Q48" s="19">
        <v>1</v>
      </c>
      <c r="R48" s="19">
        <v>0</v>
      </c>
      <c r="S48">
        <f t="shared" si="1"/>
        <v>1</v>
      </c>
    </row>
    <row r="49" spans="3:19" x14ac:dyDescent="0.3">
      <c r="C49">
        <v>46</v>
      </c>
      <c r="D49">
        <v>1</v>
      </c>
      <c r="E49">
        <v>3</v>
      </c>
      <c r="F49">
        <v>2</v>
      </c>
      <c r="H49">
        <v>5</v>
      </c>
      <c r="I49">
        <v>5</v>
      </c>
      <c r="J49">
        <v>5</v>
      </c>
      <c r="L49">
        <v>3</v>
      </c>
      <c r="M49">
        <v>1</v>
      </c>
      <c r="N49">
        <v>2</v>
      </c>
      <c r="P49" s="19">
        <v>0</v>
      </c>
      <c r="Q49" s="19">
        <v>1</v>
      </c>
      <c r="R49" s="19">
        <v>0</v>
      </c>
      <c r="S49">
        <f t="shared" si="1"/>
        <v>1</v>
      </c>
    </row>
    <row r="50" spans="3:19" x14ac:dyDescent="0.3">
      <c r="C50">
        <v>47</v>
      </c>
      <c r="D50">
        <v>1</v>
      </c>
      <c r="E50">
        <v>2</v>
      </c>
      <c r="F50">
        <v>3</v>
      </c>
      <c r="H50">
        <v>4</v>
      </c>
      <c r="I50">
        <v>4</v>
      </c>
      <c r="J50">
        <v>4</v>
      </c>
      <c r="L50">
        <v>3</v>
      </c>
      <c r="M50">
        <v>2</v>
      </c>
      <c r="N50">
        <v>1</v>
      </c>
      <c r="P50" s="19">
        <v>0</v>
      </c>
      <c r="Q50" s="19">
        <v>1</v>
      </c>
      <c r="R50" s="19">
        <v>0</v>
      </c>
      <c r="S50">
        <f t="shared" si="1"/>
        <v>1</v>
      </c>
    </row>
    <row r="51" spans="3:19" x14ac:dyDescent="0.3">
      <c r="C51">
        <v>48</v>
      </c>
      <c r="D51">
        <v>1</v>
      </c>
      <c r="E51">
        <v>2</v>
      </c>
      <c r="F51">
        <v>3</v>
      </c>
      <c r="H51">
        <v>3</v>
      </c>
      <c r="I51">
        <v>3</v>
      </c>
      <c r="J51">
        <v>3</v>
      </c>
      <c r="L51">
        <v>3</v>
      </c>
      <c r="M51">
        <v>2</v>
      </c>
      <c r="N51">
        <v>1</v>
      </c>
      <c r="P51" s="19">
        <v>0</v>
      </c>
      <c r="Q51" s="19">
        <v>1</v>
      </c>
      <c r="R51" s="19">
        <v>0</v>
      </c>
      <c r="S51">
        <f t="shared" si="1"/>
        <v>1</v>
      </c>
    </row>
    <row r="52" spans="3:19" x14ac:dyDescent="0.3">
      <c r="C52">
        <v>49</v>
      </c>
      <c r="D52">
        <v>2</v>
      </c>
      <c r="E52">
        <v>1</v>
      </c>
      <c r="F52">
        <v>3</v>
      </c>
      <c r="H52">
        <v>2</v>
      </c>
      <c r="I52">
        <v>2</v>
      </c>
      <c r="J52">
        <v>2</v>
      </c>
      <c r="L52">
        <v>2</v>
      </c>
      <c r="M52">
        <v>3</v>
      </c>
      <c r="N52">
        <v>1</v>
      </c>
      <c r="P52" s="19">
        <v>0</v>
      </c>
      <c r="Q52" s="19">
        <v>1</v>
      </c>
      <c r="R52" s="19">
        <v>0</v>
      </c>
      <c r="S52">
        <f t="shared" si="1"/>
        <v>1</v>
      </c>
    </row>
    <row r="53" spans="3:19" x14ac:dyDescent="0.3">
      <c r="C53">
        <v>50</v>
      </c>
      <c r="D53">
        <v>3</v>
      </c>
      <c r="E53">
        <v>1</v>
      </c>
      <c r="F53">
        <v>2</v>
      </c>
      <c r="H53">
        <v>1</v>
      </c>
      <c r="I53">
        <v>1</v>
      </c>
      <c r="J53">
        <v>1</v>
      </c>
      <c r="L53">
        <v>1</v>
      </c>
      <c r="M53">
        <v>3</v>
      </c>
      <c r="N53">
        <v>2</v>
      </c>
      <c r="P53" s="19">
        <v>0</v>
      </c>
      <c r="Q53" s="19">
        <v>1</v>
      </c>
      <c r="R53" s="19">
        <v>0</v>
      </c>
      <c r="S53">
        <f t="shared" si="1"/>
        <v>1</v>
      </c>
    </row>
  </sheetData>
  <mergeCells count="1">
    <mergeCell ref="C1:F1"/>
  </mergeCells>
  <conditionalFormatting sqref="L4:N53">
    <cfRule type="cellIs" dxfId="1" priority="2" operator="equal">
      <formula>3</formula>
    </cfRule>
  </conditionalFormatting>
  <conditionalFormatting sqref="P4:R53">
    <cfRule type="cellIs" dxfId="0" priority="1" operator="equal">
      <formula>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5FDA-ACF5-43BD-B9CE-21A970799F25}">
  <dimension ref="B1:W35"/>
  <sheetViews>
    <sheetView topLeftCell="D20" workbookViewId="0">
      <selection activeCell="R35" sqref="R35"/>
    </sheetView>
  </sheetViews>
  <sheetFormatPr defaultRowHeight="14.4" x14ac:dyDescent="0.3"/>
  <sheetData>
    <row r="1" spans="2:23" ht="17.3" x14ac:dyDescent="0.3">
      <c r="I1" s="4" t="s">
        <v>207</v>
      </c>
    </row>
    <row r="3" spans="2:23" ht="15" thickBot="1" x14ac:dyDescent="0.35"/>
    <row r="4" spans="2:23" x14ac:dyDescent="0.3">
      <c r="I4" s="41" t="s">
        <v>137</v>
      </c>
      <c r="J4" s="42"/>
      <c r="K4" s="41" t="s">
        <v>138</v>
      </c>
      <c r="L4" s="42"/>
      <c r="M4" s="41" t="s">
        <v>139</v>
      </c>
      <c r="N4" s="42"/>
      <c r="O4" s="41" t="s">
        <v>140</v>
      </c>
      <c r="P4" s="42"/>
    </row>
    <row r="5" spans="2:23" ht="15" thickBot="1" x14ac:dyDescent="0.35">
      <c r="I5" s="43"/>
      <c r="J5" s="44"/>
      <c r="K5" s="43"/>
      <c r="L5" s="44"/>
      <c r="M5" s="43"/>
      <c r="N5" s="44"/>
      <c r="O5" s="43"/>
      <c r="P5" s="44"/>
    </row>
    <row r="6" spans="2:23" x14ac:dyDescent="0.3">
      <c r="I6" s="41" t="s">
        <v>141</v>
      </c>
      <c r="J6" s="42"/>
      <c r="K6" s="41" t="s">
        <v>142</v>
      </c>
      <c r="L6" s="42"/>
      <c r="M6" s="41" t="s">
        <v>143</v>
      </c>
      <c r="N6" s="42"/>
      <c r="O6" s="41" t="s">
        <v>144</v>
      </c>
      <c r="P6" s="42"/>
    </row>
    <row r="7" spans="2:23" ht="15" thickBot="1" x14ac:dyDescent="0.35">
      <c r="I7" s="43"/>
      <c r="J7" s="44"/>
      <c r="K7" s="43"/>
      <c r="L7" s="44"/>
      <c r="M7" s="43"/>
      <c r="N7" s="44"/>
      <c r="O7" s="43"/>
      <c r="P7" s="44"/>
    </row>
    <row r="8" spans="2:23" x14ac:dyDescent="0.3">
      <c r="I8" s="41" t="s">
        <v>145</v>
      </c>
      <c r="J8" s="42"/>
      <c r="K8" s="41" t="s">
        <v>146</v>
      </c>
      <c r="L8" s="42"/>
      <c r="M8" s="41" t="s">
        <v>147</v>
      </c>
      <c r="N8" s="42"/>
      <c r="O8" s="41" t="s">
        <v>148</v>
      </c>
      <c r="P8" s="42"/>
    </row>
    <row r="9" spans="2:23" ht="15" thickBot="1" x14ac:dyDescent="0.35">
      <c r="I9" s="43"/>
      <c r="J9" s="44"/>
      <c r="K9" s="43"/>
      <c r="L9" s="44"/>
      <c r="M9" s="43"/>
      <c r="N9" s="44"/>
      <c r="O9" s="43"/>
      <c r="P9" s="44"/>
    </row>
    <row r="14" spans="2:23" x14ac:dyDescent="0.3">
      <c r="J14" t="s">
        <v>137</v>
      </c>
      <c r="K14" t="s">
        <v>138</v>
      </c>
      <c r="L14" t="s">
        <v>139</v>
      </c>
      <c r="M14" t="s">
        <v>140</v>
      </c>
      <c r="N14" t="s">
        <v>141</v>
      </c>
      <c r="O14" t="s">
        <v>142</v>
      </c>
      <c r="P14" t="s">
        <v>143</v>
      </c>
      <c r="Q14" t="s">
        <v>144</v>
      </c>
      <c r="R14" t="s">
        <v>145</v>
      </c>
      <c r="S14" t="s">
        <v>146</v>
      </c>
      <c r="T14" t="s">
        <v>147</v>
      </c>
      <c r="U14" t="s">
        <v>148</v>
      </c>
      <c r="W14" t="s">
        <v>200</v>
      </c>
    </row>
    <row r="15" spans="2:23" x14ac:dyDescent="0.3">
      <c r="I15" t="s">
        <v>137</v>
      </c>
      <c r="J15">
        <v>1</v>
      </c>
      <c r="K15">
        <v>1</v>
      </c>
      <c r="L15">
        <v>0</v>
      </c>
      <c r="M15">
        <v>0</v>
      </c>
      <c r="N15">
        <v>1</v>
      </c>
      <c r="O15">
        <v>1</v>
      </c>
      <c r="P15">
        <v>0</v>
      </c>
      <c r="Q15">
        <v>0</v>
      </c>
      <c r="R15">
        <v>0</v>
      </c>
      <c r="S15">
        <v>0</v>
      </c>
      <c r="T15">
        <v>0</v>
      </c>
      <c r="U15">
        <v>0</v>
      </c>
      <c r="W15">
        <v>0</v>
      </c>
    </row>
    <row r="16" spans="2:23" x14ac:dyDescent="0.3">
      <c r="B16" t="s">
        <v>203</v>
      </c>
      <c r="I16" t="s">
        <v>138</v>
      </c>
      <c r="J16">
        <v>1</v>
      </c>
      <c r="K16">
        <v>1</v>
      </c>
      <c r="L16">
        <v>1</v>
      </c>
      <c r="M16">
        <v>0</v>
      </c>
      <c r="N16">
        <v>1</v>
      </c>
      <c r="O16">
        <v>1</v>
      </c>
      <c r="P16">
        <v>1</v>
      </c>
      <c r="Q16">
        <v>0</v>
      </c>
      <c r="R16">
        <v>0</v>
      </c>
      <c r="S16">
        <v>0</v>
      </c>
      <c r="T16">
        <v>0</v>
      </c>
      <c r="U16">
        <v>0</v>
      </c>
      <c r="W16">
        <v>0</v>
      </c>
    </row>
    <row r="17" spans="2:23" x14ac:dyDescent="0.3">
      <c r="B17" t="s">
        <v>204</v>
      </c>
      <c r="I17" t="s">
        <v>139</v>
      </c>
      <c r="J17">
        <v>0</v>
      </c>
      <c r="K17">
        <v>1</v>
      </c>
      <c r="L17">
        <v>1</v>
      </c>
      <c r="M17">
        <v>1</v>
      </c>
      <c r="N17">
        <v>0</v>
      </c>
      <c r="O17">
        <v>1</v>
      </c>
      <c r="P17">
        <v>1</v>
      </c>
      <c r="Q17">
        <v>1</v>
      </c>
      <c r="R17">
        <v>0</v>
      </c>
      <c r="S17">
        <v>0</v>
      </c>
      <c r="T17">
        <v>0</v>
      </c>
      <c r="U17">
        <v>0</v>
      </c>
      <c r="W17">
        <v>0</v>
      </c>
    </row>
    <row r="18" spans="2:23" x14ac:dyDescent="0.3">
      <c r="B18" t="s">
        <v>205</v>
      </c>
      <c r="I18" t="s">
        <v>140</v>
      </c>
      <c r="J18">
        <v>0</v>
      </c>
      <c r="K18">
        <v>0</v>
      </c>
      <c r="L18">
        <v>1</v>
      </c>
      <c r="M18">
        <v>1</v>
      </c>
      <c r="N18">
        <v>0</v>
      </c>
      <c r="O18">
        <v>0</v>
      </c>
      <c r="P18">
        <v>1</v>
      </c>
      <c r="Q18">
        <v>1</v>
      </c>
      <c r="R18">
        <v>0</v>
      </c>
      <c r="S18">
        <v>0</v>
      </c>
      <c r="T18">
        <v>0</v>
      </c>
      <c r="U18">
        <v>0</v>
      </c>
      <c r="W18">
        <v>0</v>
      </c>
    </row>
    <row r="19" spans="2:23" x14ac:dyDescent="0.3">
      <c r="B19" t="s">
        <v>206</v>
      </c>
      <c r="I19" t="s">
        <v>141</v>
      </c>
      <c r="J19">
        <v>1</v>
      </c>
      <c r="K19">
        <v>1</v>
      </c>
      <c r="L19">
        <v>0</v>
      </c>
      <c r="M19">
        <v>0</v>
      </c>
      <c r="N19">
        <v>1</v>
      </c>
      <c r="O19">
        <v>1</v>
      </c>
      <c r="P19">
        <v>0</v>
      </c>
      <c r="Q19">
        <v>0</v>
      </c>
      <c r="R19">
        <v>1</v>
      </c>
      <c r="S19">
        <v>1</v>
      </c>
      <c r="T19">
        <v>0</v>
      </c>
      <c r="U19">
        <v>0</v>
      </c>
      <c r="W19">
        <v>1</v>
      </c>
    </row>
    <row r="20" spans="2:23" x14ac:dyDescent="0.3">
      <c r="I20" t="s">
        <v>142</v>
      </c>
      <c r="J20">
        <v>1</v>
      </c>
      <c r="K20">
        <v>1</v>
      </c>
      <c r="L20">
        <v>1</v>
      </c>
      <c r="M20">
        <v>0</v>
      </c>
      <c r="N20">
        <v>1</v>
      </c>
      <c r="O20">
        <v>1</v>
      </c>
      <c r="P20">
        <v>1</v>
      </c>
      <c r="Q20">
        <v>0</v>
      </c>
      <c r="R20">
        <v>1</v>
      </c>
      <c r="S20">
        <v>1</v>
      </c>
      <c r="T20">
        <v>1</v>
      </c>
      <c r="U20">
        <v>0</v>
      </c>
      <c r="W20">
        <v>1</v>
      </c>
    </row>
    <row r="21" spans="2:23" x14ac:dyDescent="0.3">
      <c r="I21" t="s">
        <v>143</v>
      </c>
      <c r="J21">
        <v>0</v>
      </c>
      <c r="K21">
        <v>1</v>
      </c>
      <c r="L21">
        <v>1</v>
      </c>
      <c r="M21">
        <v>1</v>
      </c>
      <c r="N21">
        <v>0</v>
      </c>
      <c r="O21">
        <v>1</v>
      </c>
      <c r="P21">
        <v>1</v>
      </c>
      <c r="Q21">
        <v>1</v>
      </c>
      <c r="R21">
        <v>0</v>
      </c>
      <c r="S21">
        <v>1</v>
      </c>
      <c r="T21">
        <v>1</v>
      </c>
      <c r="U21">
        <v>1</v>
      </c>
      <c r="W21">
        <v>1</v>
      </c>
    </row>
    <row r="22" spans="2:23" x14ac:dyDescent="0.3">
      <c r="I22" t="s">
        <v>144</v>
      </c>
      <c r="J22">
        <v>0</v>
      </c>
      <c r="K22">
        <v>0</v>
      </c>
      <c r="L22">
        <v>1</v>
      </c>
      <c r="M22">
        <v>1</v>
      </c>
      <c r="N22">
        <v>0</v>
      </c>
      <c r="O22">
        <v>0</v>
      </c>
      <c r="P22">
        <v>1</v>
      </c>
      <c r="Q22">
        <v>1</v>
      </c>
      <c r="R22">
        <v>0</v>
      </c>
      <c r="S22">
        <v>0</v>
      </c>
      <c r="T22">
        <v>1</v>
      </c>
      <c r="U22">
        <v>1</v>
      </c>
      <c r="W22">
        <v>1</v>
      </c>
    </row>
    <row r="23" spans="2:23" x14ac:dyDescent="0.3">
      <c r="I23" t="s">
        <v>145</v>
      </c>
      <c r="J23">
        <v>0</v>
      </c>
      <c r="K23">
        <v>0</v>
      </c>
      <c r="L23">
        <v>0</v>
      </c>
      <c r="M23">
        <v>0</v>
      </c>
      <c r="N23">
        <v>1</v>
      </c>
      <c r="O23">
        <v>1</v>
      </c>
      <c r="P23">
        <v>0</v>
      </c>
      <c r="Q23">
        <v>0</v>
      </c>
      <c r="R23">
        <v>1</v>
      </c>
      <c r="S23">
        <v>1</v>
      </c>
      <c r="T23">
        <v>0</v>
      </c>
      <c r="U23">
        <v>0</v>
      </c>
      <c r="W23">
        <v>0</v>
      </c>
    </row>
    <row r="24" spans="2:23" x14ac:dyDescent="0.3">
      <c r="I24" t="s">
        <v>146</v>
      </c>
      <c r="J24">
        <v>0</v>
      </c>
      <c r="K24">
        <v>0</v>
      </c>
      <c r="L24">
        <v>0</v>
      </c>
      <c r="M24">
        <v>0</v>
      </c>
      <c r="N24">
        <v>1</v>
      </c>
      <c r="O24">
        <v>1</v>
      </c>
      <c r="P24">
        <v>1</v>
      </c>
      <c r="Q24">
        <v>0</v>
      </c>
      <c r="R24">
        <v>1</v>
      </c>
      <c r="S24">
        <v>1</v>
      </c>
      <c r="T24">
        <v>1</v>
      </c>
      <c r="U24">
        <v>0</v>
      </c>
      <c r="W24">
        <v>0</v>
      </c>
    </row>
    <row r="25" spans="2:23" x14ac:dyDescent="0.3">
      <c r="I25" t="s">
        <v>147</v>
      </c>
      <c r="J25">
        <v>0</v>
      </c>
      <c r="K25">
        <v>0</v>
      </c>
      <c r="L25">
        <v>0</v>
      </c>
      <c r="M25">
        <v>0</v>
      </c>
      <c r="N25">
        <v>0</v>
      </c>
      <c r="O25">
        <v>1</v>
      </c>
      <c r="P25">
        <v>1</v>
      </c>
      <c r="Q25">
        <v>1</v>
      </c>
      <c r="R25">
        <v>0</v>
      </c>
      <c r="S25">
        <v>1</v>
      </c>
      <c r="T25">
        <v>1</v>
      </c>
      <c r="U25">
        <v>1</v>
      </c>
      <c r="W25">
        <v>0</v>
      </c>
    </row>
    <row r="26" spans="2:23" x14ac:dyDescent="0.3">
      <c r="I26" t="s">
        <v>148</v>
      </c>
      <c r="J26">
        <v>0</v>
      </c>
      <c r="K26">
        <v>0</v>
      </c>
      <c r="L26">
        <v>0</v>
      </c>
      <c r="M26">
        <v>0</v>
      </c>
      <c r="N26">
        <v>0</v>
      </c>
      <c r="O26">
        <v>0</v>
      </c>
      <c r="P26">
        <v>1</v>
      </c>
      <c r="Q26">
        <v>1</v>
      </c>
      <c r="R26">
        <v>0</v>
      </c>
      <c r="S26">
        <v>0</v>
      </c>
      <c r="T26">
        <v>1</v>
      </c>
      <c r="U26">
        <v>1</v>
      </c>
      <c r="W26">
        <v>0</v>
      </c>
    </row>
    <row r="29" spans="2:23" x14ac:dyDescent="0.3">
      <c r="I29" t="s">
        <v>164</v>
      </c>
      <c r="J29">
        <f>SUM(W15:W26)</f>
        <v>4</v>
      </c>
    </row>
    <row r="31" spans="2:23" x14ac:dyDescent="0.3">
      <c r="I31" t="s">
        <v>201</v>
      </c>
      <c r="V31" t="s">
        <v>165</v>
      </c>
    </row>
    <row r="32" spans="2:23" x14ac:dyDescent="0.3">
      <c r="J32" t="s">
        <v>137</v>
      </c>
      <c r="K32" t="s">
        <v>138</v>
      </c>
      <c r="L32" t="s">
        <v>139</v>
      </c>
      <c r="M32" t="s">
        <v>140</v>
      </c>
      <c r="N32" t="s">
        <v>141</v>
      </c>
      <c r="O32" t="s">
        <v>142</v>
      </c>
      <c r="P32" t="s">
        <v>143</v>
      </c>
      <c r="Q32" t="s">
        <v>144</v>
      </c>
      <c r="R32" t="s">
        <v>145</v>
      </c>
      <c r="S32" t="s">
        <v>146</v>
      </c>
      <c r="T32" t="s">
        <v>147</v>
      </c>
      <c r="U32" t="s">
        <v>148</v>
      </c>
    </row>
    <row r="33" spans="9:21" x14ac:dyDescent="0.3">
      <c r="I33" t="s">
        <v>29</v>
      </c>
      <c r="J33">
        <f t="shared" ref="J33:U33" si="0">SUMPRODUCT($W$15:$W$26,J15:J26)</f>
        <v>2</v>
      </c>
      <c r="K33">
        <f>SUMPRODUCT($W$15:$W$26,K15:K26)</f>
        <v>3</v>
      </c>
      <c r="L33">
        <f t="shared" si="0"/>
        <v>3</v>
      </c>
      <c r="M33">
        <f t="shared" si="0"/>
        <v>2</v>
      </c>
      <c r="N33">
        <f t="shared" si="0"/>
        <v>2</v>
      </c>
      <c r="O33">
        <f t="shared" si="0"/>
        <v>3</v>
      </c>
      <c r="P33">
        <f t="shared" si="0"/>
        <v>3</v>
      </c>
      <c r="Q33">
        <f t="shared" si="0"/>
        <v>2</v>
      </c>
      <c r="R33">
        <f t="shared" si="0"/>
        <v>2</v>
      </c>
      <c r="S33">
        <f t="shared" si="0"/>
        <v>3</v>
      </c>
      <c r="T33">
        <f t="shared" si="0"/>
        <v>3</v>
      </c>
      <c r="U33">
        <f t="shared" si="0"/>
        <v>2</v>
      </c>
    </row>
    <row r="35" spans="9:21" x14ac:dyDescent="0.3">
      <c r="I35" t="s">
        <v>202</v>
      </c>
      <c r="J35">
        <v>2</v>
      </c>
      <c r="K35">
        <v>2</v>
      </c>
      <c r="L35">
        <v>2</v>
      </c>
      <c r="M35">
        <v>2</v>
      </c>
      <c r="N35">
        <v>2</v>
      </c>
      <c r="O35">
        <v>2</v>
      </c>
      <c r="P35">
        <v>2</v>
      </c>
      <c r="Q35">
        <v>2</v>
      </c>
      <c r="R35">
        <v>2</v>
      </c>
      <c r="S35">
        <v>2</v>
      </c>
      <c r="T35">
        <v>2</v>
      </c>
      <c r="U35">
        <v>2</v>
      </c>
    </row>
  </sheetData>
  <mergeCells count="12">
    <mergeCell ref="I8:J9"/>
    <mergeCell ref="K8:L9"/>
    <mergeCell ref="M8:N9"/>
    <mergeCell ref="O8:P9"/>
    <mergeCell ref="I4:J5"/>
    <mergeCell ref="K4:L5"/>
    <mergeCell ref="M4:N5"/>
    <mergeCell ref="O4:P5"/>
    <mergeCell ref="I6:J7"/>
    <mergeCell ref="K6:L7"/>
    <mergeCell ref="M6:N7"/>
    <mergeCell ref="O6:P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3A79-17FC-4ADF-8C6A-6CF272FE4848}">
  <dimension ref="A1:BQ29"/>
  <sheetViews>
    <sheetView zoomScale="85" workbookViewId="0">
      <selection activeCell="A23" sqref="A23"/>
    </sheetView>
  </sheetViews>
  <sheetFormatPr defaultRowHeight="14.4" x14ac:dyDescent="0.3"/>
  <cols>
    <col min="1" max="12" width="12.59765625" customWidth="1"/>
    <col min="14" max="78" width="5.09765625" customWidth="1"/>
  </cols>
  <sheetData>
    <row r="1" spans="1:69" ht="23.5" x14ac:dyDescent="0.45">
      <c r="A1" s="56" t="s">
        <v>345</v>
      </c>
      <c r="B1" s="56"/>
      <c r="C1" s="56"/>
      <c r="D1" s="56"/>
      <c r="E1" s="56"/>
      <c r="F1" s="56"/>
      <c r="G1" s="56"/>
    </row>
    <row r="2" spans="1:69" ht="43.2" x14ac:dyDescent="0.3">
      <c r="A2" s="10" t="s">
        <v>320</v>
      </c>
      <c r="B2" s="10" t="s">
        <v>321</v>
      </c>
      <c r="C2" s="10" t="s">
        <v>322</v>
      </c>
      <c r="D2" s="24" t="s">
        <v>317</v>
      </c>
      <c r="E2" s="24" t="s">
        <v>318</v>
      </c>
      <c r="F2" s="24" t="s">
        <v>319</v>
      </c>
      <c r="G2" s="24" t="s">
        <v>329</v>
      </c>
    </row>
    <row r="3" spans="1:69" ht="14.4" customHeight="1" x14ac:dyDescent="0.3">
      <c r="A3" s="11" t="s">
        <v>312</v>
      </c>
      <c r="B3" s="11">
        <v>9</v>
      </c>
      <c r="C3" s="23">
        <v>1</v>
      </c>
      <c r="D3">
        <f>MIN(B3:C3)</f>
        <v>1</v>
      </c>
      <c r="E3" t="str">
        <f>IF(B3&lt;C3,"A","B")</f>
        <v>B</v>
      </c>
      <c r="F3">
        <f>RANK(D3, $D$3:$D$12,1)</f>
        <v>1</v>
      </c>
      <c r="G3">
        <f>RANK(F3,$F$3:$F$12,1)+COUNTIFS($F$3:F3,F3)-1</f>
        <v>1</v>
      </c>
      <c r="L3" s="30" t="s">
        <v>346</v>
      </c>
      <c r="M3" s="31" t="s">
        <v>344</v>
      </c>
      <c r="N3" s="6">
        <v>1</v>
      </c>
      <c r="O3" s="6">
        <v>2</v>
      </c>
      <c r="P3" s="6">
        <v>3</v>
      </c>
      <c r="Q3" s="6">
        <v>4</v>
      </c>
      <c r="R3" s="6">
        <v>5</v>
      </c>
      <c r="S3" s="6">
        <v>6</v>
      </c>
      <c r="T3" s="6">
        <v>7</v>
      </c>
      <c r="U3" s="6">
        <v>8</v>
      </c>
      <c r="V3" s="6">
        <v>9</v>
      </c>
      <c r="W3" s="6">
        <v>10</v>
      </c>
      <c r="X3" s="6">
        <v>11</v>
      </c>
      <c r="Y3" s="6">
        <v>12</v>
      </c>
      <c r="Z3" s="6">
        <v>13</v>
      </c>
      <c r="AA3" s="6">
        <v>14</v>
      </c>
      <c r="AB3" s="6">
        <v>15</v>
      </c>
      <c r="AC3" s="6">
        <v>16</v>
      </c>
      <c r="AD3" s="6">
        <v>17</v>
      </c>
      <c r="AE3" s="6">
        <v>18</v>
      </c>
      <c r="AF3" s="6">
        <v>19</v>
      </c>
      <c r="AG3" s="6">
        <v>20</v>
      </c>
      <c r="AH3" s="6">
        <v>21</v>
      </c>
      <c r="AI3" s="6">
        <v>22</v>
      </c>
      <c r="AJ3" s="6">
        <v>23</v>
      </c>
      <c r="AK3" s="6">
        <v>24</v>
      </c>
      <c r="AL3" s="6">
        <v>25</v>
      </c>
      <c r="AM3" s="6">
        <v>26</v>
      </c>
      <c r="AN3" s="6">
        <v>27</v>
      </c>
      <c r="AO3" s="6">
        <v>28</v>
      </c>
      <c r="AP3" s="6">
        <v>29</v>
      </c>
      <c r="AQ3" s="6">
        <v>30</v>
      </c>
      <c r="AR3" s="6">
        <v>31</v>
      </c>
      <c r="AS3" s="6">
        <v>32</v>
      </c>
      <c r="AT3" s="6">
        <v>33</v>
      </c>
      <c r="AU3" s="6">
        <v>34</v>
      </c>
      <c r="AV3" s="6">
        <v>35</v>
      </c>
      <c r="AW3" s="6">
        <v>36</v>
      </c>
      <c r="AX3" s="6">
        <v>37</v>
      </c>
      <c r="AY3" s="6">
        <v>38</v>
      </c>
      <c r="AZ3" s="6">
        <v>39</v>
      </c>
      <c r="BA3" s="6">
        <v>40</v>
      </c>
      <c r="BB3" s="6">
        <v>41</v>
      </c>
      <c r="BC3" s="6">
        <v>42</v>
      </c>
      <c r="BD3" s="6">
        <v>43</v>
      </c>
      <c r="BE3" s="6">
        <v>44</v>
      </c>
      <c r="BF3" s="6">
        <v>45</v>
      </c>
      <c r="BG3" s="6">
        <v>46</v>
      </c>
      <c r="BH3" s="6">
        <v>47</v>
      </c>
      <c r="BI3" s="6">
        <v>48</v>
      </c>
      <c r="BJ3" s="6">
        <v>49</v>
      </c>
      <c r="BK3" s="6">
        <v>50</v>
      </c>
      <c r="BL3" s="6">
        <v>51</v>
      </c>
      <c r="BM3" s="6">
        <v>52</v>
      </c>
      <c r="BN3" s="6">
        <v>53</v>
      </c>
      <c r="BO3" s="6">
        <v>54</v>
      </c>
      <c r="BP3" s="6">
        <v>55</v>
      </c>
      <c r="BQ3" s="6">
        <v>56</v>
      </c>
    </row>
    <row r="4" spans="1:69" ht="14.4" customHeight="1" x14ac:dyDescent="0.3">
      <c r="A4" s="11" t="s">
        <v>313</v>
      </c>
      <c r="B4" s="25">
        <v>2</v>
      </c>
      <c r="C4" s="26">
        <v>8</v>
      </c>
      <c r="D4">
        <f t="shared" ref="D4:D12" si="0">MIN(B4:C4)</f>
        <v>2</v>
      </c>
      <c r="E4" t="str">
        <f t="shared" ref="E4:E12" si="1">IF(B4&lt;C4,"A","B")</f>
        <v>A</v>
      </c>
      <c r="F4">
        <f t="shared" ref="F4:F12" si="2">RANK(D4, $D$3:$D$12,1)</f>
        <v>3</v>
      </c>
      <c r="G4">
        <f>RANK(F4,$F$3:$F$12,1)+COUNTIFS($F$3:F4,F4)-1</f>
        <v>3</v>
      </c>
      <c r="L4" s="30" t="s">
        <v>327</v>
      </c>
      <c r="M4" s="30">
        <v>1</v>
      </c>
      <c r="N4" s="5">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row>
    <row r="5" spans="1:69" ht="14.4" customHeight="1" x14ac:dyDescent="0.3">
      <c r="A5" s="11" t="s">
        <v>314</v>
      </c>
      <c r="B5" s="26">
        <v>6</v>
      </c>
      <c r="C5" s="26">
        <v>4</v>
      </c>
      <c r="D5">
        <f t="shared" si="0"/>
        <v>4</v>
      </c>
      <c r="E5" t="str">
        <f t="shared" si="1"/>
        <v>B</v>
      </c>
      <c r="F5">
        <f t="shared" si="2"/>
        <v>7</v>
      </c>
      <c r="G5">
        <f>RANK(F5,$F$3:$F$12,1)+COUNTIFS($F$3:F5,F5)-1</f>
        <v>7</v>
      </c>
      <c r="L5" s="30"/>
      <c r="M5" s="30">
        <v>6</v>
      </c>
      <c r="N5">
        <v>1</v>
      </c>
      <c r="O5" s="27">
        <v>1</v>
      </c>
      <c r="P5" s="27">
        <v>1</v>
      </c>
      <c r="Q5" s="27">
        <v>1</v>
      </c>
      <c r="R5" s="27">
        <v>1</v>
      </c>
      <c r="S5" s="27">
        <v>1</v>
      </c>
      <c r="T5" s="27">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row>
    <row r="6" spans="1:69" ht="14.4" customHeight="1" x14ac:dyDescent="0.3">
      <c r="A6" s="11" t="s">
        <v>315</v>
      </c>
      <c r="B6" s="26">
        <v>7</v>
      </c>
      <c r="C6" s="25">
        <v>3</v>
      </c>
      <c r="D6">
        <f t="shared" si="0"/>
        <v>3</v>
      </c>
      <c r="E6" t="str">
        <f t="shared" si="1"/>
        <v>B</v>
      </c>
      <c r="F6">
        <f t="shared" si="2"/>
        <v>5</v>
      </c>
      <c r="G6">
        <f>RANK(F6,$F$3:$F$12,1)+COUNTIFS($F$3:F6,F6)-1</f>
        <v>5</v>
      </c>
      <c r="L6" s="30" t="s">
        <v>313</v>
      </c>
      <c r="M6" s="30">
        <v>2</v>
      </c>
      <c r="N6">
        <v>1</v>
      </c>
      <c r="O6" s="5">
        <v>1</v>
      </c>
      <c r="P6" s="5">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row>
    <row r="7" spans="1:69" ht="14.4" customHeight="1" x14ac:dyDescent="0.3">
      <c r="A7" s="11" t="s">
        <v>323</v>
      </c>
      <c r="B7" s="23">
        <v>4</v>
      </c>
      <c r="C7" s="11">
        <v>9</v>
      </c>
      <c r="D7">
        <f t="shared" si="0"/>
        <v>4</v>
      </c>
      <c r="E7" t="str">
        <f t="shared" si="1"/>
        <v>A</v>
      </c>
      <c r="F7">
        <f t="shared" si="2"/>
        <v>7</v>
      </c>
      <c r="G7">
        <f>RANK(F7,$F$3:$F$12,1)+COUNTIFS($F$3:F7,F7)-1</f>
        <v>8</v>
      </c>
      <c r="L7" s="30"/>
      <c r="M7" s="30">
        <v>8</v>
      </c>
      <c r="N7">
        <v>1</v>
      </c>
      <c r="O7">
        <v>1</v>
      </c>
      <c r="P7">
        <v>1</v>
      </c>
      <c r="Q7">
        <v>1</v>
      </c>
      <c r="R7">
        <v>1</v>
      </c>
      <c r="S7">
        <v>1</v>
      </c>
      <c r="T7">
        <v>1</v>
      </c>
      <c r="U7" s="27">
        <v>1</v>
      </c>
      <c r="V7" s="27">
        <v>1</v>
      </c>
      <c r="W7" s="27">
        <v>1</v>
      </c>
      <c r="X7" s="27">
        <v>1</v>
      </c>
      <c r="Y7" s="27">
        <v>1</v>
      </c>
      <c r="Z7" s="27">
        <v>1</v>
      </c>
      <c r="AA7" s="27">
        <v>1</v>
      </c>
      <c r="AB7" s="2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row>
    <row r="8" spans="1:69" ht="14.4" customHeight="1" x14ac:dyDescent="0.3">
      <c r="A8" s="11" t="s">
        <v>324</v>
      </c>
      <c r="B8" s="26">
        <v>10</v>
      </c>
      <c r="C8" s="25">
        <v>2</v>
      </c>
      <c r="D8">
        <f t="shared" si="0"/>
        <v>2</v>
      </c>
      <c r="E8" t="str">
        <f t="shared" si="1"/>
        <v>B</v>
      </c>
      <c r="F8">
        <f t="shared" si="2"/>
        <v>3</v>
      </c>
      <c r="G8">
        <f>RANK(F8,$F$3:$F$12,1)+COUNTIFS($F$3:F8,F8)-1</f>
        <v>4</v>
      </c>
      <c r="L8" s="30" t="s">
        <v>325</v>
      </c>
      <c r="M8" s="30">
        <v>3</v>
      </c>
      <c r="N8">
        <v>1</v>
      </c>
      <c r="O8">
        <v>1</v>
      </c>
      <c r="P8">
        <v>1</v>
      </c>
      <c r="Q8" s="5">
        <v>1</v>
      </c>
      <c r="R8" s="5">
        <v>1</v>
      </c>
      <c r="S8" s="5">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row>
    <row r="9" spans="1:69" ht="14.4" customHeight="1" x14ac:dyDescent="0.3">
      <c r="A9" s="11" t="s">
        <v>325</v>
      </c>
      <c r="B9" s="25">
        <v>3</v>
      </c>
      <c r="C9" s="26">
        <v>7</v>
      </c>
      <c r="D9">
        <f t="shared" si="0"/>
        <v>3</v>
      </c>
      <c r="E9" t="str">
        <f t="shared" si="1"/>
        <v>A</v>
      </c>
      <c r="F9">
        <f t="shared" si="2"/>
        <v>5</v>
      </c>
      <c r="G9">
        <f>RANK(F9,$F$3:$F$12,1)+COUNTIFS($F$3:F9,F9)-1</f>
        <v>6</v>
      </c>
      <c r="L9" s="30"/>
      <c r="M9" s="30">
        <v>7</v>
      </c>
      <c r="N9">
        <v>1</v>
      </c>
      <c r="O9">
        <v>1</v>
      </c>
      <c r="P9">
        <v>1</v>
      </c>
      <c r="Q9">
        <v>1</v>
      </c>
      <c r="R9">
        <v>1</v>
      </c>
      <c r="S9">
        <v>1</v>
      </c>
      <c r="T9">
        <v>1</v>
      </c>
      <c r="U9">
        <v>1</v>
      </c>
      <c r="V9">
        <v>1</v>
      </c>
      <c r="W9">
        <v>1</v>
      </c>
      <c r="X9">
        <v>1</v>
      </c>
      <c r="Y9">
        <v>1</v>
      </c>
      <c r="Z9">
        <v>1</v>
      </c>
      <c r="AA9">
        <v>1</v>
      </c>
      <c r="AB9">
        <v>1</v>
      </c>
      <c r="AC9" s="27">
        <v>1</v>
      </c>
      <c r="AD9" s="27">
        <v>1</v>
      </c>
      <c r="AE9" s="27">
        <v>1</v>
      </c>
      <c r="AF9" s="27">
        <v>1</v>
      </c>
      <c r="AG9" s="27">
        <v>1</v>
      </c>
      <c r="AH9" s="27">
        <v>1</v>
      </c>
      <c r="AI9" s="27">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row>
    <row r="10" spans="1:69" ht="14.4" customHeight="1" x14ac:dyDescent="0.3">
      <c r="A10" s="11" t="s">
        <v>326</v>
      </c>
      <c r="B10" s="26">
        <v>8</v>
      </c>
      <c r="C10" s="26">
        <v>5</v>
      </c>
      <c r="D10">
        <f t="shared" si="0"/>
        <v>5</v>
      </c>
      <c r="E10" t="str">
        <f t="shared" si="1"/>
        <v>B</v>
      </c>
      <c r="F10">
        <f t="shared" si="2"/>
        <v>10</v>
      </c>
      <c r="G10">
        <f>RANK(F10,$F$3:$F$12,1)+COUNTIFS($F$3:F10,F10)-1</f>
        <v>10</v>
      </c>
      <c r="L10" s="30" t="s">
        <v>323</v>
      </c>
      <c r="M10" s="30">
        <v>4</v>
      </c>
      <c r="N10">
        <v>1</v>
      </c>
      <c r="O10">
        <v>1</v>
      </c>
      <c r="P10">
        <v>1</v>
      </c>
      <c r="Q10">
        <v>1</v>
      </c>
      <c r="R10">
        <v>1</v>
      </c>
      <c r="S10">
        <v>1</v>
      </c>
      <c r="T10" s="5">
        <v>1</v>
      </c>
      <c r="U10" s="5">
        <v>1</v>
      </c>
      <c r="V10" s="5">
        <v>1</v>
      </c>
      <c r="W10" s="5">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row>
    <row r="11" spans="1:69" ht="14.4" customHeight="1" x14ac:dyDescent="0.3">
      <c r="A11" s="11" t="s">
        <v>327</v>
      </c>
      <c r="B11" s="25">
        <v>1</v>
      </c>
      <c r="C11" s="26">
        <v>6</v>
      </c>
      <c r="D11">
        <f t="shared" si="0"/>
        <v>1</v>
      </c>
      <c r="E11" t="str">
        <f t="shared" si="1"/>
        <v>A</v>
      </c>
      <c r="F11">
        <f t="shared" si="2"/>
        <v>1</v>
      </c>
      <c r="G11">
        <f>RANK(F11,$F$3:$F$12,1)+COUNTIFS($F$3:F11,F11)-1</f>
        <v>2</v>
      </c>
      <c r="L11" s="30"/>
      <c r="M11" s="30">
        <v>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s="28">
        <v>1</v>
      </c>
      <c r="AK11" s="28">
        <v>1</v>
      </c>
      <c r="AL11" s="28">
        <v>1</v>
      </c>
      <c r="AM11" s="28">
        <v>1</v>
      </c>
      <c r="AN11" s="28">
        <v>1</v>
      </c>
      <c r="AO11" s="28">
        <v>1</v>
      </c>
      <c r="AP11" s="28">
        <v>1</v>
      </c>
      <c r="AQ11" s="28">
        <v>1</v>
      </c>
      <c r="AR11" s="28">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row>
    <row r="12" spans="1:69" ht="14.4" customHeight="1" x14ac:dyDescent="0.3">
      <c r="A12" s="11" t="s">
        <v>328</v>
      </c>
      <c r="B12" s="26">
        <v>5</v>
      </c>
      <c r="C12" s="25">
        <v>4</v>
      </c>
      <c r="D12">
        <f t="shared" si="0"/>
        <v>4</v>
      </c>
      <c r="E12" t="str">
        <f t="shared" si="1"/>
        <v>B</v>
      </c>
      <c r="F12">
        <f t="shared" si="2"/>
        <v>7</v>
      </c>
      <c r="G12">
        <f>RANK(F12,$F$3:$F$12,1)+COUNTIFS($F$3:F12,F12)-1</f>
        <v>9</v>
      </c>
      <c r="L12" s="30" t="s">
        <v>326</v>
      </c>
      <c r="M12" s="30">
        <v>8</v>
      </c>
      <c r="N12">
        <v>1</v>
      </c>
      <c r="O12">
        <v>1</v>
      </c>
      <c r="P12">
        <v>1</v>
      </c>
      <c r="Q12">
        <v>1</v>
      </c>
      <c r="R12">
        <v>1</v>
      </c>
      <c r="S12">
        <v>1</v>
      </c>
      <c r="T12">
        <v>1</v>
      </c>
      <c r="U12">
        <v>1</v>
      </c>
      <c r="V12">
        <v>1</v>
      </c>
      <c r="W12">
        <v>1</v>
      </c>
      <c r="X12" s="5">
        <v>1</v>
      </c>
      <c r="Y12" s="5">
        <v>1</v>
      </c>
      <c r="Z12" s="5">
        <v>1</v>
      </c>
      <c r="AA12" s="5">
        <v>1</v>
      </c>
      <c r="AB12" s="5">
        <v>1</v>
      </c>
      <c r="AC12" s="5">
        <v>1</v>
      </c>
      <c r="AD12" s="5">
        <v>1</v>
      </c>
      <c r="AE12" s="5">
        <v>1</v>
      </c>
      <c r="AF12" s="5">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row>
    <row r="13" spans="1:69" ht="14.4" customHeight="1" x14ac:dyDescent="0.3">
      <c r="L13" s="30"/>
      <c r="M13" s="30">
        <v>5</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s="27">
        <v>1</v>
      </c>
      <c r="AT13" s="27">
        <v>1</v>
      </c>
      <c r="AU13" s="27">
        <v>1</v>
      </c>
      <c r="AV13" s="27">
        <v>1</v>
      </c>
      <c r="AW13" s="27">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row>
    <row r="14" spans="1:69" ht="28.8" customHeight="1" x14ac:dyDescent="0.3">
      <c r="A14" s="55" t="s">
        <v>343</v>
      </c>
      <c r="B14" s="55"/>
      <c r="C14" s="55"/>
      <c r="L14" s="30" t="s">
        <v>328</v>
      </c>
      <c r="M14" s="30">
        <v>5</v>
      </c>
      <c r="N14">
        <v>1</v>
      </c>
      <c r="O14">
        <v>1</v>
      </c>
      <c r="P14">
        <v>1</v>
      </c>
      <c r="Q14">
        <v>1</v>
      </c>
      <c r="R14">
        <v>1</v>
      </c>
      <c r="S14">
        <v>1</v>
      </c>
      <c r="T14">
        <v>1</v>
      </c>
      <c r="U14">
        <v>1</v>
      </c>
      <c r="V14">
        <v>1</v>
      </c>
      <c r="W14">
        <v>1</v>
      </c>
      <c r="X14">
        <v>1</v>
      </c>
      <c r="Y14">
        <v>1</v>
      </c>
      <c r="Z14">
        <v>1</v>
      </c>
      <c r="AA14">
        <v>1</v>
      </c>
      <c r="AB14">
        <v>1</v>
      </c>
      <c r="AC14">
        <v>1</v>
      </c>
      <c r="AD14">
        <v>1</v>
      </c>
      <c r="AE14">
        <v>1</v>
      </c>
      <c r="AF14">
        <v>1</v>
      </c>
      <c r="AG14" s="5">
        <v>1</v>
      </c>
      <c r="AH14" s="5">
        <v>1</v>
      </c>
      <c r="AI14" s="5">
        <v>1</v>
      </c>
      <c r="AJ14" s="5">
        <v>1</v>
      </c>
      <c r="AK14" s="5">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row>
    <row r="15" spans="1:69" ht="14.4" customHeight="1" x14ac:dyDescent="0.3">
      <c r="A15" t="s">
        <v>330</v>
      </c>
      <c r="L15" s="30"/>
      <c r="M15" s="30">
        <v>4</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s="27">
        <v>1</v>
      </c>
      <c r="AY15" s="27">
        <v>1</v>
      </c>
      <c r="AZ15" s="27">
        <v>1</v>
      </c>
      <c r="BA15" s="27">
        <v>1</v>
      </c>
      <c r="BB15">
        <v>1</v>
      </c>
      <c r="BC15">
        <v>1</v>
      </c>
      <c r="BD15">
        <v>1</v>
      </c>
      <c r="BE15">
        <v>1</v>
      </c>
      <c r="BF15">
        <v>1</v>
      </c>
      <c r="BG15">
        <v>1</v>
      </c>
      <c r="BH15">
        <v>1</v>
      </c>
      <c r="BI15">
        <v>1</v>
      </c>
      <c r="BJ15">
        <v>1</v>
      </c>
      <c r="BK15">
        <v>1</v>
      </c>
      <c r="BL15">
        <v>1</v>
      </c>
      <c r="BM15">
        <v>1</v>
      </c>
      <c r="BN15">
        <v>1</v>
      </c>
      <c r="BO15">
        <v>1</v>
      </c>
      <c r="BP15">
        <v>1</v>
      </c>
      <c r="BQ15">
        <v>1</v>
      </c>
    </row>
    <row r="16" spans="1:69" ht="14.4" customHeight="1" x14ac:dyDescent="0.3">
      <c r="L16" s="30" t="s">
        <v>314</v>
      </c>
      <c r="M16" s="30">
        <v>6</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s="5">
        <v>1</v>
      </c>
      <c r="AM16" s="5">
        <v>1</v>
      </c>
      <c r="AN16" s="5">
        <v>1</v>
      </c>
      <c r="AO16" s="5">
        <v>1</v>
      </c>
      <c r="AP16" s="5">
        <v>1</v>
      </c>
      <c r="AQ16" s="5">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row>
    <row r="17" spans="1:69" ht="14.4" customHeight="1" x14ac:dyDescent="0.3">
      <c r="A17" t="s">
        <v>331</v>
      </c>
      <c r="L17" s="30"/>
      <c r="M17" s="30">
        <v>4</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s="27">
        <v>1</v>
      </c>
      <c r="BC17" s="27">
        <v>1</v>
      </c>
      <c r="BD17" s="27">
        <v>1</v>
      </c>
      <c r="BE17" s="27">
        <v>1</v>
      </c>
      <c r="BF17">
        <v>1</v>
      </c>
      <c r="BG17">
        <v>1</v>
      </c>
      <c r="BH17">
        <v>1</v>
      </c>
      <c r="BI17">
        <v>1</v>
      </c>
      <c r="BJ17">
        <v>1</v>
      </c>
      <c r="BK17">
        <v>1</v>
      </c>
      <c r="BL17">
        <v>1</v>
      </c>
      <c r="BM17">
        <v>1</v>
      </c>
      <c r="BN17">
        <v>1</v>
      </c>
      <c r="BO17">
        <v>1</v>
      </c>
      <c r="BP17">
        <v>1</v>
      </c>
      <c r="BQ17">
        <v>1</v>
      </c>
    </row>
    <row r="18" spans="1:69" ht="14.4" customHeight="1" x14ac:dyDescent="0.3">
      <c r="L18" s="30" t="s">
        <v>315</v>
      </c>
      <c r="M18" s="30">
        <v>7</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s="5">
        <v>1</v>
      </c>
      <c r="AS18" s="5">
        <v>1</v>
      </c>
      <c r="AT18" s="5">
        <v>1</v>
      </c>
      <c r="AU18" s="5">
        <v>1</v>
      </c>
      <c r="AV18" s="5">
        <v>1</v>
      </c>
      <c r="AW18" s="5">
        <v>1</v>
      </c>
      <c r="AX18" s="5">
        <v>1</v>
      </c>
      <c r="AY18">
        <v>1</v>
      </c>
      <c r="AZ18">
        <v>1</v>
      </c>
      <c r="BA18">
        <v>1</v>
      </c>
      <c r="BB18">
        <v>1</v>
      </c>
      <c r="BC18">
        <v>1</v>
      </c>
      <c r="BD18">
        <v>1</v>
      </c>
      <c r="BE18">
        <v>1</v>
      </c>
      <c r="BF18">
        <v>1</v>
      </c>
      <c r="BG18">
        <v>1</v>
      </c>
      <c r="BH18">
        <v>1</v>
      </c>
      <c r="BI18">
        <v>1</v>
      </c>
      <c r="BJ18">
        <v>1</v>
      </c>
      <c r="BK18">
        <v>1</v>
      </c>
      <c r="BL18">
        <v>1</v>
      </c>
      <c r="BM18">
        <v>1</v>
      </c>
      <c r="BN18">
        <v>1</v>
      </c>
      <c r="BO18">
        <v>1</v>
      </c>
      <c r="BP18">
        <v>1</v>
      </c>
      <c r="BQ18">
        <v>1</v>
      </c>
    </row>
    <row r="19" spans="1:69" ht="14.4" customHeight="1" x14ac:dyDescent="0.3">
      <c r="L19" s="30"/>
      <c r="M19" s="30">
        <v>3</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s="27">
        <v>1</v>
      </c>
      <c r="BG19" s="27">
        <v>1</v>
      </c>
      <c r="BH19" s="27">
        <v>1</v>
      </c>
      <c r="BI19">
        <v>1</v>
      </c>
      <c r="BJ19">
        <v>1</v>
      </c>
      <c r="BK19">
        <v>1</v>
      </c>
      <c r="BL19">
        <v>1</v>
      </c>
      <c r="BM19">
        <v>1</v>
      </c>
      <c r="BN19">
        <v>1</v>
      </c>
      <c r="BO19">
        <v>1</v>
      </c>
      <c r="BP19">
        <v>1</v>
      </c>
      <c r="BQ19">
        <v>1</v>
      </c>
    </row>
    <row r="20" spans="1:69" ht="14.4" customHeight="1" x14ac:dyDescent="0.3">
      <c r="L20" s="30" t="s">
        <v>324</v>
      </c>
      <c r="M20" s="30">
        <v>10</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s="5">
        <v>1</v>
      </c>
      <c r="AZ20" s="5">
        <v>1</v>
      </c>
      <c r="BA20" s="5">
        <v>1</v>
      </c>
      <c r="BB20" s="5">
        <v>1</v>
      </c>
      <c r="BC20" s="5">
        <v>1</v>
      </c>
      <c r="BD20" s="5">
        <v>1</v>
      </c>
      <c r="BE20" s="5">
        <v>1</v>
      </c>
      <c r="BF20" s="5">
        <v>1</v>
      </c>
      <c r="BG20" s="5">
        <v>1</v>
      </c>
      <c r="BH20" s="5">
        <v>1</v>
      </c>
      <c r="BI20">
        <v>1</v>
      </c>
      <c r="BJ20">
        <v>1</v>
      </c>
      <c r="BK20">
        <v>1</v>
      </c>
      <c r="BL20">
        <v>1</v>
      </c>
      <c r="BM20">
        <v>1</v>
      </c>
      <c r="BN20">
        <v>1</v>
      </c>
      <c r="BO20">
        <v>1</v>
      </c>
      <c r="BP20">
        <v>1</v>
      </c>
      <c r="BQ20">
        <v>1</v>
      </c>
    </row>
    <row r="21" spans="1:69" ht="14.4" customHeight="1" x14ac:dyDescent="0.3">
      <c r="A21" s="20">
        <v>1</v>
      </c>
      <c r="B21" s="20">
        <v>2</v>
      </c>
      <c r="C21" s="20">
        <v>3</v>
      </c>
      <c r="D21" s="20">
        <v>4</v>
      </c>
      <c r="E21" s="20">
        <v>5</v>
      </c>
      <c r="F21" s="20">
        <v>6</v>
      </c>
      <c r="G21" s="20">
        <v>7</v>
      </c>
      <c r="H21" s="20">
        <v>8</v>
      </c>
      <c r="I21" s="20">
        <v>9</v>
      </c>
      <c r="J21" s="29">
        <v>10</v>
      </c>
      <c r="K21" s="17"/>
      <c r="L21" s="30"/>
      <c r="M21" s="30">
        <v>2</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s="27">
        <v>1</v>
      </c>
      <c r="BJ21" s="27">
        <v>1</v>
      </c>
      <c r="BK21">
        <v>1</v>
      </c>
      <c r="BL21">
        <v>1</v>
      </c>
      <c r="BM21">
        <v>1</v>
      </c>
      <c r="BN21">
        <v>1</v>
      </c>
      <c r="BO21">
        <v>1</v>
      </c>
      <c r="BP21">
        <v>1</v>
      </c>
      <c r="BQ21">
        <v>1</v>
      </c>
    </row>
    <row r="22" spans="1:69" ht="14.4" customHeight="1" x14ac:dyDescent="0.3">
      <c r="A22" s="20" t="s">
        <v>333</v>
      </c>
      <c r="B22" s="20" t="s">
        <v>334</v>
      </c>
      <c r="C22" s="20" t="s">
        <v>337</v>
      </c>
      <c r="D22" s="20" t="s">
        <v>339</v>
      </c>
      <c r="E22" s="20" t="s">
        <v>341</v>
      </c>
      <c r="F22" s="20" t="s">
        <v>340</v>
      </c>
      <c r="G22" s="20" t="s">
        <v>338</v>
      </c>
      <c r="H22" s="20" t="s">
        <v>336</v>
      </c>
      <c r="I22" s="20" t="s">
        <v>335</v>
      </c>
      <c r="J22" s="29" t="s">
        <v>332</v>
      </c>
      <c r="K22" s="17"/>
      <c r="L22" s="30" t="s">
        <v>312</v>
      </c>
      <c r="M22" s="30">
        <v>5</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s="5">
        <v>1</v>
      </c>
      <c r="BJ22" s="5">
        <v>1</v>
      </c>
      <c r="BK22" s="5">
        <v>1</v>
      </c>
      <c r="BL22" s="5">
        <v>1</v>
      </c>
      <c r="BM22" s="5">
        <v>1</v>
      </c>
      <c r="BN22">
        <v>1</v>
      </c>
      <c r="BO22">
        <v>1</v>
      </c>
      <c r="BP22">
        <v>1</v>
      </c>
      <c r="BQ22">
        <v>1</v>
      </c>
    </row>
    <row r="23" spans="1:69" ht="14.4" customHeight="1" x14ac:dyDescent="0.3">
      <c r="L23" s="30"/>
      <c r="M23" s="30">
        <v>4</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s="27">
        <v>1</v>
      </c>
      <c r="BO23" s="27">
        <v>1</v>
      </c>
      <c r="BP23" s="27">
        <v>1</v>
      </c>
      <c r="BQ23" s="27">
        <v>1</v>
      </c>
    </row>
    <row r="24" spans="1:69" ht="14.4" customHeight="1" x14ac:dyDescent="0.3">
      <c r="A24" t="s">
        <v>342</v>
      </c>
    </row>
    <row r="25" spans="1:69" ht="14.4" customHeight="1" x14ac:dyDescent="0.3"/>
    <row r="26" spans="1:69" ht="14.4" customHeight="1" x14ac:dyDescent="0.3"/>
    <row r="27" spans="1:69" x14ac:dyDescent="0.3">
      <c r="A27" t="s">
        <v>347</v>
      </c>
    </row>
    <row r="28" spans="1:69" x14ac:dyDescent="0.3">
      <c r="C28" t="s">
        <v>348</v>
      </c>
    </row>
    <row r="29" spans="1:69" x14ac:dyDescent="0.3">
      <c r="C29" t="s">
        <v>349</v>
      </c>
    </row>
  </sheetData>
  <mergeCells count="2">
    <mergeCell ref="A14:C14"/>
    <mergeCell ref="A1:G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D526-6630-404C-926C-864E71FCECB2}">
  <dimension ref="A1:G110"/>
  <sheetViews>
    <sheetView topLeftCell="A16" workbookViewId="0">
      <selection activeCell="D16" sqref="D16"/>
    </sheetView>
  </sheetViews>
  <sheetFormatPr defaultRowHeight="14.4" x14ac:dyDescent="0.3"/>
  <cols>
    <col min="3" max="3" width="46.3984375" customWidth="1"/>
  </cols>
  <sheetData>
    <row r="1" spans="1:7" x14ac:dyDescent="0.3">
      <c r="A1" t="s">
        <v>72</v>
      </c>
    </row>
    <row r="3" spans="1:7" ht="23.5" x14ac:dyDescent="0.3">
      <c r="B3">
        <v>1</v>
      </c>
      <c r="C3" t="s">
        <v>73</v>
      </c>
      <c r="D3" t="s">
        <v>134</v>
      </c>
      <c r="G3" s="12"/>
    </row>
    <row r="4" spans="1:7" x14ac:dyDescent="0.3">
      <c r="B4">
        <v>2</v>
      </c>
      <c r="C4" t="s">
        <v>135</v>
      </c>
      <c r="D4" t="s">
        <v>134</v>
      </c>
      <c r="G4" s="13"/>
    </row>
    <row r="5" spans="1:7" x14ac:dyDescent="0.3">
      <c r="B5">
        <v>3</v>
      </c>
      <c r="C5" t="s">
        <v>78</v>
      </c>
      <c r="D5" t="s">
        <v>134</v>
      </c>
      <c r="G5" s="14"/>
    </row>
    <row r="6" spans="1:7" x14ac:dyDescent="0.3">
      <c r="B6">
        <v>4</v>
      </c>
      <c r="C6" t="s">
        <v>74</v>
      </c>
      <c r="D6" t="s">
        <v>134</v>
      </c>
      <c r="G6" s="13"/>
    </row>
    <row r="7" spans="1:7" x14ac:dyDescent="0.3">
      <c r="B7">
        <v>5</v>
      </c>
      <c r="C7" t="s">
        <v>266</v>
      </c>
      <c r="D7" t="s">
        <v>134</v>
      </c>
      <c r="G7" s="13"/>
    </row>
    <row r="8" spans="1:7" x14ac:dyDescent="0.3">
      <c r="B8">
        <v>6</v>
      </c>
      <c r="C8" t="s">
        <v>267</v>
      </c>
      <c r="D8" t="s">
        <v>134</v>
      </c>
      <c r="G8" s="13"/>
    </row>
    <row r="9" spans="1:7" x14ac:dyDescent="0.3">
      <c r="B9">
        <v>7</v>
      </c>
      <c r="C9" t="s">
        <v>77</v>
      </c>
      <c r="D9" t="s">
        <v>134</v>
      </c>
      <c r="G9" s="13"/>
    </row>
    <row r="10" spans="1:7" x14ac:dyDescent="0.3">
      <c r="B10">
        <v>8</v>
      </c>
      <c r="C10" t="s">
        <v>220</v>
      </c>
      <c r="D10" t="s">
        <v>134</v>
      </c>
      <c r="G10" s="14"/>
    </row>
    <row r="11" spans="1:7" x14ac:dyDescent="0.3">
      <c r="B11">
        <v>9</v>
      </c>
      <c r="C11" t="s">
        <v>221</v>
      </c>
      <c r="D11" t="s">
        <v>134</v>
      </c>
      <c r="G11" s="13"/>
    </row>
    <row r="12" spans="1:7" x14ac:dyDescent="0.3">
      <c r="B12">
        <v>10</v>
      </c>
      <c r="C12" t="s">
        <v>94</v>
      </c>
      <c r="D12" t="s">
        <v>134</v>
      </c>
      <c r="G12" s="13"/>
    </row>
    <row r="13" spans="1:7" x14ac:dyDescent="0.3">
      <c r="B13">
        <v>11</v>
      </c>
      <c r="C13" t="s">
        <v>76</v>
      </c>
      <c r="D13" t="s">
        <v>134</v>
      </c>
      <c r="G13" s="13"/>
    </row>
    <row r="14" spans="1:7" x14ac:dyDescent="0.3">
      <c r="B14">
        <v>12</v>
      </c>
      <c r="C14" t="s">
        <v>268</v>
      </c>
      <c r="D14" t="s">
        <v>134</v>
      </c>
      <c r="G14" s="13"/>
    </row>
    <row r="15" spans="1:7" x14ac:dyDescent="0.3">
      <c r="B15">
        <v>13</v>
      </c>
      <c r="C15" t="s">
        <v>225</v>
      </c>
      <c r="D15" t="s">
        <v>134</v>
      </c>
      <c r="G15" s="13"/>
    </row>
    <row r="16" spans="1:7" x14ac:dyDescent="0.3">
      <c r="B16">
        <v>14</v>
      </c>
      <c r="C16" t="s">
        <v>316</v>
      </c>
      <c r="G16" s="13"/>
    </row>
    <row r="17" spans="2:7" x14ac:dyDescent="0.3">
      <c r="B17">
        <v>15</v>
      </c>
      <c r="C17" t="s">
        <v>75</v>
      </c>
      <c r="G17" s="14"/>
    </row>
    <row r="18" spans="2:7" x14ac:dyDescent="0.3">
      <c r="B18">
        <v>16</v>
      </c>
      <c r="C18" t="s">
        <v>79</v>
      </c>
      <c r="G18" s="13"/>
    </row>
    <row r="19" spans="2:7" x14ac:dyDescent="0.3">
      <c r="B19">
        <v>17</v>
      </c>
      <c r="C19" t="s">
        <v>80</v>
      </c>
      <c r="G19" s="13"/>
    </row>
    <row r="20" spans="2:7" x14ac:dyDescent="0.3">
      <c r="B20">
        <v>18</v>
      </c>
      <c r="C20" t="s">
        <v>81</v>
      </c>
      <c r="G20" s="14"/>
    </row>
    <row r="21" spans="2:7" x14ac:dyDescent="0.3">
      <c r="B21">
        <v>19</v>
      </c>
      <c r="C21" t="s">
        <v>82</v>
      </c>
      <c r="G21" s="13"/>
    </row>
    <row r="22" spans="2:7" x14ac:dyDescent="0.3">
      <c r="B22">
        <v>20</v>
      </c>
      <c r="C22" t="s">
        <v>83</v>
      </c>
    </row>
    <row r="23" spans="2:7" x14ac:dyDescent="0.3">
      <c r="B23">
        <v>21</v>
      </c>
      <c r="C23" t="s">
        <v>84</v>
      </c>
    </row>
    <row r="24" spans="2:7" x14ac:dyDescent="0.3">
      <c r="B24">
        <v>22</v>
      </c>
      <c r="C24" t="s">
        <v>85</v>
      </c>
    </row>
    <row r="25" spans="2:7" ht="23.05" x14ac:dyDescent="0.3">
      <c r="B25">
        <v>23</v>
      </c>
      <c r="C25" t="s">
        <v>86</v>
      </c>
      <c r="G25" s="12"/>
    </row>
    <row r="26" spans="2:7" x14ac:dyDescent="0.3">
      <c r="B26">
        <v>24</v>
      </c>
      <c r="C26" t="s">
        <v>87</v>
      </c>
      <c r="G26" s="13"/>
    </row>
    <row r="27" spans="2:7" x14ac:dyDescent="0.3">
      <c r="B27">
        <v>25</v>
      </c>
      <c r="C27" t="s">
        <v>88</v>
      </c>
      <c r="G27" s="14"/>
    </row>
    <row r="28" spans="2:7" x14ac:dyDescent="0.3">
      <c r="B28">
        <v>26</v>
      </c>
      <c r="C28" t="s">
        <v>89</v>
      </c>
      <c r="G28" s="13"/>
    </row>
    <row r="29" spans="2:7" x14ac:dyDescent="0.3">
      <c r="B29">
        <v>27</v>
      </c>
      <c r="C29" t="s">
        <v>90</v>
      </c>
      <c r="G29" s="13"/>
    </row>
    <row r="30" spans="2:7" x14ac:dyDescent="0.3">
      <c r="B30">
        <v>28</v>
      </c>
      <c r="C30" t="s">
        <v>91</v>
      </c>
      <c r="G30" s="14"/>
    </row>
    <row r="31" spans="2:7" x14ac:dyDescent="0.3">
      <c r="B31">
        <v>29</v>
      </c>
      <c r="C31" t="s">
        <v>92</v>
      </c>
      <c r="G31" s="13"/>
    </row>
    <row r="32" spans="2:7" x14ac:dyDescent="0.3">
      <c r="B32">
        <v>30</v>
      </c>
      <c r="C32" t="s">
        <v>93</v>
      </c>
      <c r="G32" s="14"/>
    </row>
    <row r="33" spans="2:7" x14ac:dyDescent="0.3">
      <c r="B33">
        <v>31</v>
      </c>
      <c r="C33" t="s">
        <v>222</v>
      </c>
      <c r="G33" s="13"/>
    </row>
    <row r="34" spans="2:7" x14ac:dyDescent="0.3">
      <c r="G34" s="13"/>
    </row>
    <row r="35" spans="2:7" x14ac:dyDescent="0.3">
      <c r="G35" s="14"/>
    </row>
    <row r="36" spans="2:7" x14ac:dyDescent="0.3">
      <c r="G36" s="13"/>
    </row>
    <row r="37" spans="2:7" x14ac:dyDescent="0.3">
      <c r="G37" s="13"/>
    </row>
    <row r="38" spans="2:7" x14ac:dyDescent="0.3">
      <c r="G38" s="14"/>
    </row>
    <row r="39" spans="2:7" x14ac:dyDescent="0.3">
      <c r="G39" s="13"/>
    </row>
    <row r="40" spans="2:7" x14ac:dyDescent="0.3">
      <c r="G40" s="13"/>
    </row>
    <row r="41" spans="2:7" x14ac:dyDescent="0.3">
      <c r="G41" s="15"/>
    </row>
    <row r="42" spans="2:7" x14ac:dyDescent="0.3">
      <c r="G42" s="16"/>
    </row>
    <row r="43" spans="2:7" x14ac:dyDescent="0.3">
      <c r="G43" s="13"/>
    </row>
    <row r="44" spans="2:7" x14ac:dyDescent="0.3">
      <c r="G44" s="14"/>
    </row>
    <row r="45" spans="2:7" x14ac:dyDescent="0.3">
      <c r="G45" s="13"/>
    </row>
    <row r="49" spans="7:7" ht="23.05" x14ac:dyDescent="0.3">
      <c r="G49" s="12"/>
    </row>
    <row r="50" spans="7:7" x14ac:dyDescent="0.3">
      <c r="G50" s="13"/>
    </row>
    <row r="51" spans="7:7" x14ac:dyDescent="0.3">
      <c r="G51" s="14"/>
    </row>
    <row r="52" spans="7:7" x14ac:dyDescent="0.3">
      <c r="G52" s="13"/>
    </row>
    <row r="53" spans="7:7" x14ac:dyDescent="0.3">
      <c r="G53" s="13"/>
    </row>
    <row r="54" spans="7:7" x14ac:dyDescent="0.3">
      <c r="G54" s="14"/>
    </row>
    <row r="55" spans="7:7" x14ac:dyDescent="0.3">
      <c r="G55" s="13"/>
    </row>
    <row r="56" spans="7:7" x14ac:dyDescent="0.3">
      <c r="G56" s="13"/>
    </row>
    <row r="57" spans="7:7" x14ac:dyDescent="0.3">
      <c r="G57" s="14"/>
    </row>
    <row r="58" spans="7:7" x14ac:dyDescent="0.3">
      <c r="G58" s="13"/>
    </row>
    <row r="59" spans="7:7" x14ac:dyDescent="0.3">
      <c r="G59" s="13"/>
    </row>
    <row r="60" spans="7:7" x14ac:dyDescent="0.3">
      <c r="G60" s="14"/>
    </row>
    <row r="61" spans="7:7" x14ac:dyDescent="0.3">
      <c r="G61" s="13"/>
    </row>
    <row r="65" spans="7:7" ht="23.05" x14ac:dyDescent="0.3">
      <c r="G65" s="12"/>
    </row>
    <row r="66" spans="7:7" x14ac:dyDescent="0.3">
      <c r="G66" s="13"/>
    </row>
    <row r="67" spans="7:7" x14ac:dyDescent="0.3">
      <c r="G67" s="14"/>
    </row>
    <row r="68" spans="7:7" x14ac:dyDescent="0.3">
      <c r="G68" s="13"/>
    </row>
    <row r="69" spans="7:7" x14ac:dyDescent="0.3">
      <c r="G69" s="14"/>
    </row>
    <row r="70" spans="7:7" x14ac:dyDescent="0.3">
      <c r="G70" s="13"/>
    </row>
    <row r="71" spans="7:7" x14ac:dyDescent="0.3">
      <c r="G71" s="14"/>
    </row>
    <row r="72" spans="7:7" x14ac:dyDescent="0.3">
      <c r="G72" s="13"/>
    </row>
    <row r="73" spans="7:7" x14ac:dyDescent="0.3">
      <c r="G73" s="14"/>
    </row>
    <row r="74" spans="7:7" x14ac:dyDescent="0.3">
      <c r="G74" s="13"/>
    </row>
    <row r="75" spans="7:7" x14ac:dyDescent="0.3">
      <c r="G75" s="14"/>
    </row>
    <row r="76" spans="7:7" x14ac:dyDescent="0.3">
      <c r="G76" s="13"/>
    </row>
    <row r="77" spans="7:7" x14ac:dyDescent="0.3">
      <c r="G77" s="14"/>
    </row>
    <row r="78" spans="7:7" x14ac:dyDescent="0.3">
      <c r="G78" s="13"/>
    </row>
    <row r="79" spans="7:7" x14ac:dyDescent="0.3">
      <c r="G79" s="13"/>
    </row>
    <row r="80" spans="7:7" x14ac:dyDescent="0.3">
      <c r="G80" s="14"/>
    </row>
    <row r="84" spans="7:7" ht="23.05" x14ac:dyDescent="0.3">
      <c r="G84" s="12"/>
    </row>
    <row r="85" spans="7:7" x14ac:dyDescent="0.3">
      <c r="G85" s="13"/>
    </row>
    <row r="86" spans="7:7" x14ac:dyDescent="0.3">
      <c r="G86" s="14"/>
    </row>
    <row r="87" spans="7:7" x14ac:dyDescent="0.3">
      <c r="G87" s="13"/>
    </row>
    <row r="88" spans="7:7" x14ac:dyDescent="0.3">
      <c r="G88" s="14"/>
    </row>
    <row r="92" spans="7:7" ht="23.05" x14ac:dyDescent="0.3">
      <c r="G92" s="12"/>
    </row>
    <row r="93" spans="7:7" x14ac:dyDescent="0.3">
      <c r="G93" s="13"/>
    </row>
    <row r="94" spans="7:7" x14ac:dyDescent="0.3">
      <c r="G94" s="14"/>
    </row>
    <row r="95" spans="7:7" x14ac:dyDescent="0.3">
      <c r="G95" s="13"/>
    </row>
    <row r="96" spans="7:7" x14ac:dyDescent="0.3">
      <c r="G96" s="13"/>
    </row>
    <row r="97" spans="7:7" x14ac:dyDescent="0.3">
      <c r="G97" s="14"/>
    </row>
    <row r="98" spans="7:7" x14ac:dyDescent="0.3">
      <c r="G98" s="13"/>
    </row>
    <row r="102" spans="7:7" ht="23.05" x14ac:dyDescent="0.3">
      <c r="G102" s="12"/>
    </row>
    <row r="103" spans="7:7" x14ac:dyDescent="0.3">
      <c r="G103" s="13"/>
    </row>
    <row r="104" spans="7:7" x14ac:dyDescent="0.3">
      <c r="G104" s="14"/>
    </row>
    <row r="105" spans="7:7" x14ac:dyDescent="0.3">
      <c r="G105" s="13"/>
    </row>
    <row r="106" spans="7:7" x14ac:dyDescent="0.3">
      <c r="G106" s="14"/>
    </row>
    <row r="107" spans="7:7" x14ac:dyDescent="0.3">
      <c r="G107" s="13"/>
    </row>
    <row r="108" spans="7:7" x14ac:dyDescent="0.3">
      <c r="G108" s="14"/>
    </row>
    <row r="109" spans="7:7" x14ac:dyDescent="0.3">
      <c r="G109" s="13"/>
    </row>
    <row r="110" spans="7:7" x14ac:dyDescent="0.3">
      <c r="G11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sumproduct </vt:lpstr>
      <vt:lpstr>MIN</vt:lpstr>
      <vt:lpstr>MAX 1</vt:lpstr>
      <vt:lpstr>MAX 2</vt:lpstr>
      <vt:lpstr>MAX 3</vt:lpstr>
      <vt:lpstr>BIN MIN</vt:lpstr>
      <vt:lpstr>BIN MIN 2</vt:lpstr>
      <vt:lpstr>bin max 3</vt:lpstr>
      <vt:lpstr>BIN MAX</vt:lpstr>
      <vt:lpstr>BIN MAX 2</vt:lpstr>
      <vt:lpstr>BIN MIN 3</vt:lpstr>
      <vt:lpstr>BIN MIN 4</vt:lpstr>
      <vt:lpstr>MIX INT</vt:lpstr>
      <vt:lpstr>TR 1</vt:lpstr>
      <vt:lpstr>TS</vt:lpstr>
      <vt:lpstr>TR 2</vt:lpstr>
      <vt:lpstr>TR 3</vt:lpstr>
      <vt:lpstr>Sheet3</vt:lpstr>
      <vt:lpstr>JS</vt:lpstr>
      <vt:lpstr>Topics Optimistic</vt:lpstr>
      <vt:lpstr>JT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2026-02-14T17:34:55Z</dcterms:modified>
</cp:coreProperties>
</file>